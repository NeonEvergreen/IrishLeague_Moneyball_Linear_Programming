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Z player stats" sheetId="1" r:id="rId4"/>
    <sheet state="visible" name="Completed Table" sheetId="2" r:id="rId5"/>
    <sheet state="visible" name="Teams" sheetId="3" r:id="rId6"/>
    <sheet state="visible" name="2024 league results" sheetId="4" r:id="rId7"/>
    <sheet state="visible" name="Player Results" sheetId="5" r:id="rId8"/>
    <sheet state="visible" name="Player pricing " sheetId="6" r:id="rId9"/>
    <sheet state="visible" name="A-Z player cost" sheetId="7" r:id="rId10"/>
  </sheets>
  <definedNames>
    <definedName hidden="1" localSheetId="1" name="_xlnm._FilterDatabase">'Completed Table'!$AA$1:$AA$987</definedName>
  </definedNames>
  <calcPr/>
</workbook>
</file>

<file path=xl/sharedStrings.xml><?xml version="1.0" encoding="utf-8"?>
<sst xmlns="http://schemas.openxmlformats.org/spreadsheetml/2006/main" count="13190" uniqueCount="2711">
  <si>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</si>
  <si>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</si>
  <si>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</si>
  <si>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</si>
  <si>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</si>
  <si>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</si>
  <si>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</si>
  <si>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</si>
  <si>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</si>
  <si>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</si>
  <si>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</si>
  <si>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</si>
  <si>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 xml:space="preserve"> G+A</t>
  </si>
  <si>
    <t>G-PK</t>
  </si>
  <si>
    <t>PK</t>
  </si>
  <si>
    <t>PKatt</t>
  </si>
  <si>
    <t>CrdY</t>
  </si>
  <si>
    <t>CrdR</t>
  </si>
  <si>
    <t>Gls/G</t>
  </si>
  <si>
    <t>Ast/G</t>
  </si>
  <si>
    <t xml:space="preserve"> G+A/G</t>
  </si>
  <si>
    <t>G-PK/G</t>
  </si>
  <si>
    <t>G+A-PK/G</t>
  </si>
  <si>
    <t>Matches</t>
  </si>
  <si>
    <t>Aaron Bolger</t>
  </si>
  <si>
    <t>IRL</t>
  </si>
  <si>
    <t>MF</t>
  </si>
  <si>
    <t>St Patrick's</t>
  </si>
  <si>
    <r>
      <rPr>
        <rFont val="Verdana, sans-serif"/>
        <color rgb="FF1155CC"/>
        <u/>
      </rPr>
      <t>Matches</t>
    </r>
  </si>
  <si>
    <t>Aaron Greene</t>
  </si>
  <si>
    <t>FW,MF</t>
  </si>
  <si>
    <t>Shamrock Rovers</t>
  </si>
  <si>
    <r>
      <rPr>
        <rFont val="Verdana, sans-serif"/>
        <color rgb="FF1155CC"/>
        <u/>
      </rPr>
      <t>Matches</t>
    </r>
  </si>
  <si>
    <t>Aaron Haper-Bailey</t>
  </si>
  <si>
    <t>ENG</t>
  </si>
  <si>
    <t>DF</t>
  </si>
  <si>
    <t>Drogheda United</t>
  </si>
  <si>
    <r>
      <rPr>
        <rFont val="Verdana, sans-serif"/>
        <color rgb="FF1155CC"/>
        <u/>
      </rPr>
      <t>Matches</t>
    </r>
  </si>
  <si>
    <t>Aaron McEneff</t>
  </si>
  <si>
    <r>
      <rPr>
        <rFont val="Verdana, sans-serif"/>
        <color rgb="FF1155CC"/>
        <u/>
      </rPr>
      <t>Matches</t>
    </r>
  </si>
  <si>
    <t>Aaron McNally</t>
  </si>
  <si>
    <r>
      <rPr>
        <rFont val="Verdana, sans-serif"/>
        <color rgb="FF1155CC"/>
        <u/>
      </rPr>
      <t>Matches</t>
    </r>
  </si>
  <si>
    <t>Aboubacar Keita</t>
  </si>
  <si>
    <t>USA</t>
  </si>
  <si>
    <t>Bohemian FC</t>
  </si>
  <si>
    <r>
      <rPr>
        <rFont val="Verdana, sans-serif"/>
        <color rgb="FF1155CC"/>
        <u/>
      </rPr>
      <t>Matches</t>
    </r>
  </si>
  <si>
    <t>Adam Foley</t>
  </si>
  <si>
    <t>MF,FW</t>
  </si>
  <si>
    <r>
      <rPr>
        <rFont val="Verdana, sans-serif"/>
        <color rgb="FF1155CC"/>
        <u/>
      </rPr>
      <t>Matches</t>
    </r>
  </si>
  <si>
    <t>Adam McDonnell</t>
  </si>
  <si>
    <r>
      <rPr>
        <rFont val="Verdana, sans-serif"/>
        <color rgb="FF1155CC"/>
        <u/>
      </rPr>
      <t>Matches</t>
    </r>
  </si>
  <si>
    <t>Adam O'Reilly</t>
  </si>
  <si>
    <t>Derry City</t>
  </si>
  <si>
    <r>
      <rPr>
        <rFont val="Verdana, sans-serif"/>
        <color rgb="FF1155CC"/>
        <u/>
      </rPr>
      <t>Matches</t>
    </r>
  </si>
  <si>
    <t>Aidan Keena</t>
  </si>
  <si>
    <t>FW</t>
  </si>
  <si>
    <r>
      <rPr>
        <rFont val="Verdana, sans-serif"/>
        <color rgb="FF1155CC"/>
        <u/>
      </rPr>
      <t>Matches</t>
    </r>
  </si>
  <si>
    <t>Aiden O'Brien</t>
  </si>
  <si>
    <t>Shelbourne FC</t>
  </si>
  <si>
    <r>
      <rPr>
        <rFont val="Verdana, sans-serif"/>
        <color rgb="FF1155CC"/>
        <u/>
      </rPr>
      <t>Matches</t>
    </r>
  </si>
  <si>
    <t>Al Amin Kazeem</t>
  </si>
  <si>
    <r>
      <rPr>
        <rFont val="Verdana, sans-serif"/>
        <color rgb="FF1155CC"/>
        <u/>
      </rPr>
      <t>Matches</t>
    </r>
  </si>
  <si>
    <t>Galway United</t>
  </si>
  <si>
    <r>
      <rPr>
        <rFont val="Verdana, sans-serif"/>
        <color rgb="FF1155CC"/>
        <u/>
      </rPr>
      <t>Matches</t>
    </r>
  </si>
  <si>
    <t>Alex Greive</t>
  </si>
  <si>
    <t>NZL</t>
  </si>
  <si>
    <r>
      <rPr>
        <rFont val="Verdana, sans-serif"/>
        <color rgb="FF1155CC"/>
        <u/>
      </rPr>
      <t>Matches</t>
    </r>
  </si>
  <si>
    <t>Alex Nolan</t>
  </si>
  <si>
    <r>
      <rPr>
        <rFont val="Verdana, sans-serif"/>
        <color rgb="FF1155CC"/>
        <u/>
      </rPr>
      <t>Matches</t>
    </r>
  </si>
  <si>
    <t>Ali Coote</t>
  </si>
  <si>
    <t>SCO</t>
  </si>
  <si>
    <r>
      <rPr>
        <rFont val="Verdana, sans-serif"/>
        <color rgb="FF1155CC"/>
        <u/>
      </rPr>
      <t>Matches</t>
    </r>
  </si>
  <si>
    <t>Andre Wisdom</t>
  </si>
  <si>
    <r>
      <rPr>
        <rFont val="Verdana, sans-serif"/>
        <color rgb="FF1155CC"/>
        <u/>
      </rPr>
      <t>Matches</t>
    </r>
  </si>
  <si>
    <t>Andrew Quinn</t>
  </si>
  <si>
    <r>
      <rPr>
        <rFont val="Verdana, sans-serif"/>
        <color rgb="FF1155CC"/>
        <u/>
      </rPr>
      <t>Matches</t>
    </r>
  </si>
  <si>
    <t>Andrew Wogan</t>
  </si>
  <si>
    <t>GK</t>
  </si>
  <si>
    <r>
      <rPr>
        <rFont val="Verdana, sans-serif"/>
        <color rgb="FF1155CC"/>
        <u/>
      </rPr>
      <t>Matches</t>
    </r>
  </si>
  <si>
    <t>Andy Boyle</t>
  </si>
  <si>
    <t>Dundalk FC</t>
  </si>
  <si>
    <r>
      <rPr>
        <rFont val="Verdana, sans-serif"/>
        <color rgb="FF1155CC"/>
        <u/>
      </rPr>
      <t>Matches</t>
    </r>
  </si>
  <si>
    <t>Anto Breslin</t>
  </si>
  <si>
    <t>DF,MF</t>
  </si>
  <si>
    <r>
      <rPr>
        <rFont val="Verdana, sans-serif"/>
        <color rgb="FF1155CC"/>
        <u/>
      </rPr>
      <t>Matches</t>
    </r>
  </si>
  <si>
    <t>Aodh Dervin</t>
  </si>
  <si>
    <r>
      <rPr>
        <rFont val="Verdana, sans-serif"/>
        <color rgb="FF1155CC"/>
        <u/>
      </rPr>
      <t>Matches</t>
    </r>
  </si>
  <si>
    <t>MF,DF</t>
  </si>
  <si>
    <r>
      <rPr>
        <rFont val="Verdana, sans-serif"/>
        <color rgb="FF1155CC"/>
        <u/>
      </rPr>
      <t>Matches</t>
    </r>
  </si>
  <si>
    <t>Archie Davies</t>
  </si>
  <si>
    <r>
      <rPr>
        <rFont val="Verdana, sans-serif"/>
        <color rgb="FF1155CC"/>
        <u/>
      </rPr>
      <t>Matches</t>
    </r>
  </si>
  <si>
    <t>Archie Meekison</t>
  </si>
  <si>
    <r>
      <rPr>
        <rFont val="Verdana, sans-serif"/>
        <color rgb="FF1155CC"/>
        <u/>
      </rPr>
      <t>Matches</t>
    </r>
  </si>
  <si>
    <t>Axel Sjöberg</t>
  </si>
  <si>
    <t>SWE</t>
  </si>
  <si>
    <r>
      <rPr>
        <rFont val="Verdana, sans-serif"/>
        <color rgb="FF1155CC"/>
        <u/>
      </rPr>
      <t>Matches</t>
    </r>
  </si>
  <si>
    <t>Barry Crowe-Baggley</t>
  </si>
  <si>
    <t>NIR</t>
  </si>
  <si>
    <t>Waterford United</t>
  </si>
  <si>
    <r>
      <rPr>
        <rFont val="Verdana, sans-serif"/>
        <color rgb="FF1155CC"/>
        <u/>
      </rPr>
      <t>Matches</t>
    </r>
  </si>
  <si>
    <t>Bartłomiej Kukułowicz</t>
  </si>
  <si>
    <t>POL</t>
  </si>
  <si>
    <r>
      <rPr>
        <rFont val="Verdana, sans-serif"/>
        <color rgb="FF1155CC"/>
        <u/>
      </rPr>
      <t>Matches</t>
    </r>
  </si>
  <si>
    <t>Ben Doherty</t>
  </si>
  <si>
    <r>
      <rPr>
        <rFont val="Verdana, sans-serif"/>
        <color rgb="FF1155CC"/>
        <u/>
      </rPr>
      <t>Matches</t>
    </r>
  </si>
  <si>
    <t>Ben McCormack</t>
  </si>
  <si>
    <r>
      <rPr>
        <rFont val="Verdana, sans-serif"/>
        <color rgb="FF1155CC"/>
        <u/>
      </rPr>
      <t>Matches</t>
    </r>
  </si>
  <si>
    <t>Bobby Burns</t>
  </si>
  <si>
    <r>
      <rPr>
        <rFont val="Verdana, sans-serif"/>
        <color rgb="FF1155CC"/>
        <u/>
      </rPr>
      <t>Matches</t>
    </r>
  </si>
  <si>
    <t>Bobby Faulkner</t>
  </si>
  <si>
    <r>
      <rPr>
        <rFont val="Verdana, sans-serif"/>
        <color rgb="FF1155CC"/>
        <u/>
      </rPr>
      <t>Matches</t>
    </r>
  </si>
  <si>
    <t>Brandon Kavanagh</t>
  </si>
  <si>
    <r>
      <rPr>
        <rFont val="Verdana, sans-serif"/>
        <color rgb="FF1155CC"/>
        <u/>
      </rPr>
      <t>Matches</t>
    </r>
  </si>
  <si>
    <t>Brendan Clarke</t>
  </si>
  <si>
    <r>
      <rPr>
        <rFont val="Verdana, sans-serif"/>
        <color rgb="FF1155CC"/>
        <u/>
      </rPr>
      <t>Matches</t>
    </r>
  </si>
  <si>
    <t>Brian Maher</t>
  </si>
  <si>
    <r>
      <rPr>
        <rFont val="Verdana, sans-serif"/>
        <color rgb="FF1155CC"/>
        <u/>
      </rPr>
      <t>Matches</t>
    </r>
  </si>
  <si>
    <t>Brian McManus</t>
  </si>
  <si>
    <r>
      <rPr>
        <rFont val="Verdana, sans-serif"/>
        <color rgb="FF1155CC"/>
        <u/>
      </rPr>
      <t>Matches</t>
    </r>
  </si>
  <si>
    <t>Bridel Bosakani</t>
  </si>
  <si>
    <r>
      <rPr>
        <rFont val="Verdana, sans-serif"/>
        <color rgb="FF1155CC"/>
        <u/>
      </rPr>
      <t>Matches</t>
    </r>
  </si>
  <si>
    <t>Cameron Dummigan</t>
  </si>
  <si>
    <r>
      <rPr>
        <rFont val="Verdana, sans-serif"/>
        <color rgb="FF1155CC"/>
        <u/>
      </rPr>
      <t>Matches</t>
    </r>
  </si>
  <si>
    <t>Cameron Elliott</t>
  </si>
  <si>
    <r>
      <rPr>
        <rFont val="Verdana, sans-serif"/>
        <color rgb="FF1155CC"/>
        <u/>
      </rPr>
      <t>Matches</t>
    </r>
  </si>
  <si>
    <t>Cameron McJannett</t>
  </si>
  <si>
    <r>
      <rPr>
        <rFont val="Verdana, sans-serif"/>
        <color rgb="FF1155CC"/>
        <u/>
      </rPr>
      <t>Matches</t>
    </r>
  </si>
  <si>
    <t>Charlie Wiggett</t>
  </si>
  <si>
    <t>Sligo Rovers</t>
  </si>
  <si>
    <r>
      <rPr>
        <rFont val="Verdana, sans-serif"/>
        <color rgb="FF1155CC"/>
        <u/>
      </rPr>
      <t>Matches</t>
    </r>
  </si>
  <si>
    <t>Christie Pattison</t>
  </si>
  <si>
    <r>
      <rPr>
        <rFont val="Verdana, sans-serif"/>
        <color rgb="FF1155CC"/>
        <u/>
      </rPr>
      <t>Matches</t>
    </r>
  </si>
  <si>
    <t>Christopher Forrester</t>
  </si>
  <si>
    <r>
      <rPr>
        <rFont val="Verdana, sans-serif"/>
        <color rgb="FF1155CC"/>
        <u/>
      </rPr>
      <t>Matches</t>
    </r>
  </si>
  <si>
    <t>Cian Barrett</t>
  </si>
  <si>
    <r>
      <rPr>
        <rFont val="Verdana, sans-serif"/>
        <color rgb="FF1155CC"/>
        <u/>
      </rPr>
      <t>Matches</t>
    </r>
  </si>
  <si>
    <t>Cian Byrne</t>
  </si>
  <si>
    <r>
      <rPr>
        <rFont val="Verdana, sans-serif"/>
        <color rgb="FF1155CC"/>
        <u/>
      </rPr>
      <t>Matches</t>
    </r>
  </si>
  <si>
    <t>Cian Dillon</t>
  </si>
  <si>
    <r>
      <rPr>
        <rFont val="Verdana, sans-serif"/>
        <color rgb="FF1155CC"/>
        <u/>
      </rPr>
      <t>Matches</t>
    </r>
  </si>
  <si>
    <t>Cian Kavanagh</t>
  </si>
  <si>
    <r>
      <rPr>
        <rFont val="Verdana, sans-serif"/>
        <color rgb="FF1155CC"/>
        <u/>
      </rPr>
      <t>Matches</t>
    </r>
  </si>
  <si>
    <t>Ciarán Coll</t>
  </si>
  <si>
    <r>
      <rPr>
        <rFont val="Verdana, sans-serif"/>
        <color rgb="FF1155CC"/>
        <u/>
      </rPr>
      <t>Matches</t>
    </r>
  </si>
  <si>
    <t>Ciaran McGuckin</t>
  </si>
  <si>
    <r>
      <rPr>
        <rFont val="Verdana, sans-serif"/>
        <color rgb="FF1155CC"/>
        <u/>
      </rPr>
      <t>Matches</t>
    </r>
  </si>
  <si>
    <t>Ciaron Harkin</t>
  </si>
  <si>
    <r>
      <rPr>
        <rFont val="Verdana, sans-serif"/>
        <color rgb="FF1155CC"/>
        <u/>
      </rPr>
      <t>Matches</t>
    </r>
  </si>
  <si>
    <t>Cillian Tollett</t>
  </si>
  <si>
    <r>
      <rPr>
        <rFont val="Verdana, sans-serif"/>
        <color rgb="FF1155CC"/>
        <u/>
      </rPr>
      <t>Matches</t>
    </r>
  </si>
  <si>
    <t>Colm Horgan</t>
  </si>
  <si>
    <r>
      <rPr>
        <rFont val="Verdana, sans-serif"/>
        <color rgb="FF1155CC"/>
        <u/>
      </rPr>
      <t>Matches</t>
    </r>
  </si>
  <si>
    <t>Colm Whelan</t>
  </si>
  <si>
    <r>
      <rPr>
        <rFont val="Verdana, sans-serif"/>
        <color rgb="FF1155CC"/>
        <u/>
      </rPr>
      <t>Matches</t>
    </r>
  </si>
  <si>
    <t>Conan Noonan</t>
  </si>
  <si>
    <r>
      <rPr>
        <rFont val="Verdana, sans-serif"/>
        <color rgb="FF1155CC"/>
        <u/>
      </rPr>
      <t>Matches</t>
    </r>
  </si>
  <si>
    <t>Connor Evans</t>
  </si>
  <si>
    <t>WAL</t>
  </si>
  <si>
    <r>
      <rPr>
        <rFont val="Verdana, sans-serif"/>
        <color rgb="FF1155CC"/>
        <u/>
      </rPr>
      <t>Matches</t>
    </r>
  </si>
  <si>
    <t>Connor Malley</t>
  </si>
  <si>
    <r>
      <rPr>
        <rFont val="Verdana, sans-serif"/>
        <color rgb="FF1155CC"/>
        <u/>
      </rPr>
      <t>Matches</t>
    </r>
  </si>
  <si>
    <t>Connor Parsons</t>
  </si>
  <si>
    <r>
      <rPr>
        <rFont val="Verdana, sans-serif"/>
        <color rgb="FF1155CC"/>
        <u/>
      </rPr>
      <t>Matches</t>
    </r>
  </si>
  <si>
    <t>Conor Kane</t>
  </si>
  <si>
    <r>
      <rPr>
        <rFont val="Verdana, sans-serif"/>
        <color rgb="FF1155CC"/>
        <u/>
      </rPr>
      <t>Matches</t>
    </r>
  </si>
  <si>
    <t>Conor Kearns</t>
  </si>
  <si>
    <r>
      <rPr>
        <rFont val="Verdana, sans-serif"/>
        <color rgb="FF1155CC"/>
        <u/>
      </rPr>
      <t>Matches</t>
    </r>
  </si>
  <si>
    <t>Conor Keeley</t>
  </si>
  <si>
    <r>
      <rPr>
        <rFont val="Verdana, sans-serif"/>
        <color rgb="FF1155CC"/>
        <u/>
      </rPr>
      <t>Matches</t>
    </r>
  </si>
  <si>
    <t>Conor McCormack</t>
  </si>
  <si>
    <r>
      <rPr>
        <rFont val="Verdana, sans-serif"/>
        <color rgb="FF1155CC"/>
        <u/>
      </rPr>
      <t>Matches</t>
    </r>
  </si>
  <si>
    <t>Conor O'Keeffe</t>
  </si>
  <si>
    <r>
      <rPr>
        <rFont val="Verdana, sans-serif"/>
        <color rgb="FF1155CC"/>
        <u/>
      </rPr>
      <t>Matches</t>
    </r>
  </si>
  <si>
    <t>Conor Reynolds</t>
  </si>
  <si>
    <r>
      <rPr>
        <rFont val="Verdana, sans-serif"/>
        <color rgb="FF1155CC"/>
        <u/>
      </rPr>
      <t>Matches</t>
    </r>
  </si>
  <si>
    <t>Cory O'Sullivan</t>
  </si>
  <si>
    <r>
      <rPr>
        <rFont val="Verdana, sans-serif"/>
        <color rgb="FF1155CC"/>
        <u/>
      </rPr>
      <t>Matches</t>
    </r>
  </si>
  <si>
    <t>Daire Patton</t>
  </si>
  <si>
    <r>
      <rPr>
        <rFont val="Verdana, sans-serif"/>
        <color rgb="FF1155CC"/>
        <u/>
      </rPr>
      <t>Matches</t>
    </r>
  </si>
  <si>
    <t>Dan Pike</t>
  </si>
  <si>
    <r>
      <rPr>
        <rFont val="Verdana, sans-serif"/>
        <color rgb="FF1155CC"/>
        <u/>
      </rPr>
      <t>Matches</t>
    </r>
  </si>
  <si>
    <t>Daniel Cleary</t>
  </si>
  <si>
    <r>
      <rPr>
        <rFont val="Verdana, sans-serif"/>
        <color rgb="FF1155CC"/>
        <u/>
      </rPr>
      <t>Matches</t>
    </r>
  </si>
  <si>
    <t>Daniel Kelly</t>
  </si>
  <si>
    <r>
      <rPr>
        <rFont val="Verdana, sans-serif"/>
        <color rgb="FF1155CC"/>
        <u/>
      </rPr>
      <t>Matches</t>
    </r>
  </si>
  <si>
    <t>Daniel Mandroiu</t>
  </si>
  <si>
    <r>
      <rPr>
        <rFont val="Verdana, sans-serif"/>
        <color rgb="FF1155CC"/>
        <u/>
      </rPr>
      <t>Matches</t>
    </r>
  </si>
  <si>
    <t>Daniel Ring</t>
  </si>
  <si>
    <r>
      <rPr>
        <rFont val="Verdana, sans-serif"/>
        <color rgb="FF1155CC"/>
        <u/>
      </rPr>
      <t>Matches</t>
    </r>
  </si>
  <si>
    <t>Danny Grant</t>
  </si>
  <si>
    <r>
      <rPr>
        <rFont val="Verdana, sans-serif"/>
        <color rgb="FF1155CC"/>
        <u/>
      </rPr>
      <t>Matches</t>
    </r>
  </si>
  <si>
    <t>Danny Mullen</t>
  </si>
  <si>
    <r>
      <rPr>
        <rFont val="Verdana, sans-serif"/>
        <color rgb="FF1155CC"/>
        <u/>
      </rPr>
      <t>Matches</t>
    </r>
  </si>
  <si>
    <t>Danny Rogers</t>
  </si>
  <si>
    <r>
      <rPr>
        <rFont val="Verdana, sans-serif"/>
        <color rgb="FF1155CC"/>
        <u/>
      </rPr>
      <t>Matches</t>
    </r>
  </si>
  <si>
    <t>Dara Keane</t>
  </si>
  <si>
    <r>
      <rPr>
        <rFont val="Verdana, sans-serif"/>
        <color rgb="FF1155CC"/>
        <u/>
      </rPr>
      <t>Matches</t>
    </r>
  </si>
  <si>
    <t>Darragh Burns</t>
  </si>
  <si>
    <r>
      <rPr>
        <rFont val="Verdana, sans-serif"/>
        <color rgb="FF1155CC"/>
        <u/>
      </rPr>
      <t>Matches</t>
    </r>
  </si>
  <si>
    <t>Darragh Leahy</t>
  </si>
  <si>
    <r>
      <rPr>
        <rFont val="Verdana, sans-serif"/>
        <color rgb="FF1155CC"/>
        <u/>
      </rPr>
      <t>Matches</t>
    </r>
  </si>
  <si>
    <t>Darragh Markey</t>
  </si>
  <si>
    <r>
      <rPr>
        <rFont val="Verdana, sans-serif"/>
        <color rgb="FF1155CC"/>
        <u/>
      </rPr>
      <t>Matches</t>
    </r>
  </si>
  <si>
    <t>Darragh Nugent</t>
  </si>
  <si>
    <r>
      <rPr>
        <rFont val="Verdana, sans-serif"/>
        <color rgb="FF1155CC"/>
        <u/>
      </rPr>
      <t>Matches</t>
    </r>
  </si>
  <si>
    <t>Darragh Power</t>
  </si>
  <si>
    <r>
      <rPr>
        <rFont val="Verdana, sans-serif"/>
        <color rgb="FF1155CC"/>
        <u/>
      </rPr>
      <t>Matches</t>
    </r>
  </si>
  <si>
    <t>Daryl Horgan</t>
  </si>
  <si>
    <r>
      <rPr>
        <rFont val="Verdana, sans-serif"/>
        <color rgb="FF1155CC"/>
        <u/>
      </rPr>
      <t>Matches</t>
    </r>
  </si>
  <si>
    <t>David Hurley</t>
  </si>
  <si>
    <r>
      <rPr>
        <rFont val="Verdana, sans-serif"/>
        <color rgb="FF1155CC"/>
        <u/>
      </rPr>
      <t>Matches</t>
    </r>
  </si>
  <si>
    <t>David Webster</t>
  </si>
  <si>
    <r>
      <rPr>
        <rFont val="Verdana, sans-serif"/>
        <color rgb="FF1155CC"/>
        <u/>
      </rPr>
      <t>Matches</t>
    </r>
  </si>
  <si>
    <t>Dawson Devoy</t>
  </si>
  <si>
    <r>
      <rPr>
        <rFont val="Verdana, sans-serif"/>
        <color rgb="FF1155CC"/>
        <u/>
      </rPr>
      <t>Matches</t>
    </r>
  </si>
  <si>
    <t>Dayle Rooney</t>
  </si>
  <si>
    <r>
      <rPr>
        <rFont val="Verdana, sans-serif"/>
        <color rgb="FF1155CC"/>
        <u/>
      </rPr>
      <t>Matches</t>
    </r>
  </si>
  <si>
    <t>Dean McMenamy</t>
  </si>
  <si>
    <r>
      <rPr>
        <rFont val="Verdana, sans-serif"/>
        <color rgb="FF1155CC"/>
        <u/>
      </rPr>
      <t>Matches</t>
    </r>
  </si>
  <si>
    <t>Dean Williams</t>
  </si>
  <si>
    <r>
      <rPr>
        <rFont val="Verdana, sans-serif"/>
        <color rgb="FF1155CC"/>
        <u/>
      </rPr>
      <t>Matches</t>
    </r>
  </si>
  <si>
    <t>Declan McDaid</t>
  </si>
  <si>
    <r>
      <rPr>
        <rFont val="Verdana, sans-serif"/>
        <color rgb="FF1155CC"/>
        <u/>
      </rPr>
      <t>Matches</t>
    </r>
  </si>
  <si>
    <t>Douglas James-Taylor</t>
  </si>
  <si>
    <r>
      <rPr>
        <rFont val="Verdana, sans-serif"/>
        <color rgb="FF1155CC"/>
        <u/>
      </rPr>
      <t>Matches</t>
    </r>
  </si>
  <si>
    <t>Duncan Idehen</t>
  </si>
  <si>
    <r>
      <rPr>
        <rFont val="Verdana, sans-serif"/>
        <color rgb="FF1155CC"/>
        <u/>
      </rPr>
      <t>Matches</t>
    </r>
  </si>
  <si>
    <t>Dylan Connolly</t>
  </si>
  <si>
    <r>
      <rPr>
        <rFont val="Verdana, sans-serif"/>
        <color rgb="FF1155CC"/>
        <u/>
      </rPr>
      <t>Matches</t>
    </r>
  </si>
  <si>
    <t>Dylan Watts</t>
  </si>
  <si>
    <r>
      <rPr>
        <rFont val="Verdana, sans-serif"/>
        <color rgb="FF1155CC"/>
        <u/>
      </rPr>
      <t>Matches</t>
    </r>
  </si>
  <si>
    <t>Ed McGinty</t>
  </si>
  <si>
    <r>
      <rPr>
        <rFont val="Verdana, sans-serif"/>
        <color rgb="FF1155CC"/>
        <u/>
      </rPr>
      <t>Matches</t>
    </r>
  </si>
  <si>
    <t>Edward McCarthy</t>
  </si>
  <si>
    <r>
      <rPr>
        <rFont val="Verdana, sans-serif"/>
        <color rgb="FF1155CC"/>
        <u/>
      </rPr>
      <t>Matches</t>
    </r>
  </si>
  <si>
    <t>Elicha Ahui</t>
  </si>
  <si>
    <r>
      <rPr>
        <rFont val="Verdana, sans-serif"/>
        <color rgb="FF1155CC"/>
        <u/>
      </rPr>
      <t>Matches</t>
    </r>
  </si>
  <si>
    <t>Ellis Chapman</t>
  </si>
  <si>
    <r>
      <rPr>
        <rFont val="Verdana, sans-serif"/>
        <color rgb="FF1155CC"/>
        <u/>
      </rPr>
      <t>Matches</t>
    </r>
  </si>
  <si>
    <t>Emre Topcu</t>
  </si>
  <si>
    <r>
      <rPr>
        <rFont val="Verdana, sans-serif"/>
        <color rgb="FF1155CC"/>
        <u/>
      </rPr>
      <t>Matches</t>
    </r>
  </si>
  <si>
    <t>Eoin Kenny</t>
  </si>
  <si>
    <r>
      <rPr>
        <rFont val="Verdana, sans-serif"/>
        <color rgb="FF1155CC"/>
        <u/>
      </rPr>
      <t>Matches</t>
    </r>
  </si>
  <si>
    <t>Evan Caffrey</t>
  </si>
  <si>
    <r>
      <rPr>
        <rFont val="Verdana, sans-serif"/>
        <color rgb="FF1155CC"/>
        <u/>
      </rPr>
      <t>Matches</t>
    </r>
  </si>
  <si>
    <t>Evan Haddock</t>
  </si>
  <si>
    <r>
      <rPr>
        <rFont val="Verdana, sans-serif"/>
        <color rgb="FF1155CC"/>
        <u/>
      </rPr>
      <t>Matches</t>
    </r>
  </si>
  <si>
    <t>Evan Weir</t>
  </si>
  <si>
    <r>
      <rPr>
        <rFont val="Verdana, sans-serif"/>
        <color rgb="FF1155CC"/>
        <u/>
      </rPr>
      <t>Matches</t>
    </r>
  </si>
  <si>
    <t>Fabrice Hartmann</t>
  </si>
  <si>
    <t>GER</t>
  </si>
  <si>
    <r>
      <rPr>
        <rFont val="Verdana, sans-serif"/>
        <color rgb="FF1155CC"/>
        <u/>
      </rPr>
      <t>Matches</t>
    </r>
  </si>
  <si>
    <t>Felix Goddard</t>
  </si>
  <si>
    <r>
      <rPr>
        <rFont val="Verdana, sans-serif"/>
        <color rgb="FF1155CC"/>
        <u/>
      </rPr>
      <t>Matches</t>
    </r>
  </si>
  <si>
    <t>Filip Piszczek</t>
  </si>
  <si>
    <r>
      <rPr>
        <rFont val="Verdana, sans-serif"/>
        <color rgb="FF1155CC"/>
        <u/>
      </rPr>
      <t>Matches</t>
    </r>
  </si>
  <si>
    <t>Francely Lomboto</t>
  </si>
  <si>
    <r>
      <rPr>
        <rFont val="Verdana, sans-serif"/>
        <color rgb="FF1155CC"/>
        <u/>
      </rPr>
      <t>Matches</t>
    </r>
  </si>
  <si>
    <t>Frantz Pierrot</t>
  </si>
  <si>
    <t>HAI</t>
  </si>
  <si>
    <r>
      <rPr>
        <rFont val="Verdana, sans-serif"/>
        <color rgb="FF1155CC"/>
        <u/>
      </rPr>
      <t>Matches</t>
    </r>
  </si>
  <si>
    <t>Gareth McElroy</t>
  </si>
  <si>
    <r>
      <rPr>
        <rFont val="Verdana, sans-serif"/>
        <color rgb="FF1155CC"/>
        <u/>
      </rPr>
      <t>Matches</t>
    </r>
  </si>
  <si>
    <t>Garry Buckley</t>
  </si>
  <si>
    <r>
      <rPr>
        <rFont val="Verdana, sans-serif"/>
        <color rgb="FF1155CC"/>
        <u/>
      </rPr>
      <t>Matches</t>
    </r>
  </si>
  <si>
    <t>Gary Deegan</t>
  </si>
  <si>
    <r>
      <rPr>
        <rFont val="Verdana, sans-serif"/>
        <color rgb="FF1155CC"/>
        <u/>
      </rPr>
      <t>Matches</t>
    </r>
  </si>
  <si>
    <t>Gary O'Neill</t>
  </si>
  <si>
    <r>
      <rPr>
        <rFont val="Verdana, sans-serif"/>
        <color rgb="FF1155CC"/>
        <u/>
      </rPr>
      <t>Matches</t>
    </r>
  </si>
  <si>
    <t>Gavin Molloy</t>
  </si>
  <si>
    <r>
      <rPr>
        <rFont val="Verdana, sans-serif"/>
        <color rgb="FF1155CC"/>
        <u/>
      </rPr>
      <t>Matches</t>
    </r>
  </si>
  <si>
    <t>Gbemi Arubi</t>
  </si>
  <si>
    <r>
      <rPr>
        <rFont val="Verdana, sans-serif"/>
        <color rgb="FF1155CC"/>
        <u/>
      </rPr>
      <t>Matches</t>
    </r>
  </si>
  <si>
    <t>George Shelvey</t>
  </si>
  <si>
    <r>
      <rPr>
        <rFont val="Verdana, sans-serif"/>
        <color rgb="FF1155CC"/>
        <u/>
      </rPr>
      <t>Matches</t>
    </r>
  </si>
  <si>
    <t>Glenn McCourt</t>
  </si>
  <si>
    <r>
      <rPr>
        <rFont val="Verdana, sans-serif"/>
        <color rgb="FF1155CC"/>
        <u/>
      </rPr>
      <t>Matches</t>
    </r>
  </si>
  <si>
    <t>Graham Burke</t>
  </si>
  <si>
    <r>
      <rPr>
        <rFont val="Verdana, sans-serif"/>
        <color rgb="FF1155CC"/>
        <u/>
      </rPr>
      <t>Matches</t>
    </r>
  </si>
  <si>
    <t>Grant Horton</t>
  </si>
  <si>
    <r>
      <rPr>
        <rFont val="Verdana, sans-serif"/>
        <color rgb="FF1155CC"/>
        <u/>
      </rPr>
      <t>Matches</t>
    </r>
  </si>
  <si>
    <t>Greg Cunningham</t>
  </si>
  <si>
    <r>
      <rPr>
        <rFont val="Verdana, sans-serif"/>
        <color rgb="FF1155CC"/>
        <u/>
      </rPr>
      <t>Matches</t>
    </r>
  </si>
  <si>
    <t>Harry Wood</t>
  </si>
  <si>
    <r>
      <rPr>
        <rFont val="Verdana, sans-serif"/>
        <color rgb="FF1155CC"/>
        <u/>
      </rPr>
      <t>Matches</t>
    </r>
  </si>
  <si>
    <t>Harvey Macadam</t>
  </si>
  <si>
    <r>
      <rPr>
        <rFont val="Verdana, sans-serif"/>
        <color rgb="FF1155CC"/>
        <u/>
      </rPr>
      <t>Matches</t>
    </r>
  </si>
  <si>
    <t>Hayden Cann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</si>
  <si>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</si>
  <si>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</si>
  <si>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Hayden Muller</t>
  </si>
  <si>
    <r>
      <rPr>
        <rFont val="Verdana, sans-serif"/>
        <color rgb="FF1155CC"/>
        <u/>
      </rPr>
      <t>Matches</t>
    </r>
  </si>
  <si>
    <t>Jack Byrne</t>
  </si>
  <si>
    <r>
      <rPr>
        <rFont val="Verdana, sans-serif"/>
        <color rgb="FF1155CC"/>
        <u/>
      </rPr>
      <t>Matches</t>
    </r>
  </si>
  <si>
    <t>Jack Henry-Francis</t>
  </si>
  <si>
    <r>
      <rPr>
        <rFont val="Verdana, sans-serif"/>
        <color rgb="FF1155CC"/>
        <u/>
      </rPr>
      <t>Matches</t>
    </r>
  </si>
  <si>
    <t>Jack Keaney</t>
  </si>
  <si>
    <r>
      <rPr>
        <rFont val="Verdana, sans-serif"/>
        <color rgb="FF1155CC"/>
        <u/>
      </rPr>
      <t>Matches</t>
    </r>
  </si>
  <si>
    <t>Jacob Davenport</t>
  </si>
  <si>
    <r>
      <rPr>
        <rFont val="Verdana, sans-serif"/>
        <color rgb="FF1155CC"/>
        <u/>
      </rPr>
      <t>Matches</t>
    </r>
  </si>
  <si>
    <t>Jad Hakiki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</si>
  <si>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</si>
  <si>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</si>
  <si>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Jake Carroll</t>
  </si>
  <si>
    <r>
      <rPr>
        <rFont val="Verdana, sans-serif"/>
        <color rgb="FF1155CC"/>
        <u/>
      </rPr>
      <t>Matches</t>
    </r>
  </si>
  <si>
    <t>Jake Mulraney</t>
  </si>
  <si>
    <r>
      <rPr>
        <rFont val="Verdana, sans-serif"/>
        <color rgb="FF1155CC"/>
        <u/>
      </rPr>
      <t>Matches</t>
    </r>
  </si>
  <si>
    <t>James Akintunde</t>
  </si>
  <si>
    <r>
      <rPr>
        <rFont val="Verdana, sans-serif"/>
        <color rgb="FF1155CC"/>
        <u/>
      </rPr>
      <t>Matches</t>
    </r>
  </si>
  <si>
    <t>James Bolger</t>
  </si>
  <si>
    <r>
      <rPr>
        <rFont val="Verdana, sans-serif"/>
        <color rgb="FF1155CC"/>
        <u/>
      </rPr>
      <t>Matches</t>
    </r>
  </si>
  <si>
    <t>James Byrne</t>
  </si>
  <si>
    <r>
      <rPr>
        <rFont val="Verdana, sans-serif"/>
        <color rgb="FF1155CC"/>
        <u/>
      </rPr>
      <t>Matches</t>
    </r>
  </si>
  <si>
    <t>James Clarke</t>
  </si>
  <si>
    <r>
      <rPr>
        <rFont val="Verdana, sans-serif"/>
        <color rgb="FF1155CC"/>
        <u/>
      </rPr>
      <t>Matches</t>
    </r>
  </si>
  <si>
    <t>James Gullan</t>
  </si>
  <si>
    <r>
      <rPr>
        <rFont val="Verdana, sans-serif"/>
        <color rgb="FF1155CC"/>
        <u/>
      </rPr>
      <t>Matches</t>
    </r>
  </si>
  <si>
    <t>James McManus</t>
  </si>
  <si>
    <r>
      <rPr>
        <rFont val="Verdana, sans-serif"/>
        <color rgb="FF1155CC"/>
        <u/>
      </rPr>
      <t>Matches</t>
    </r>
  </si>
  <si>
    <t>James Talbot</t>
  </si>
  <si>
    <r>
      <rPr>
        <rFont val="Verdana, sans-serif"/>
        <color rgb="FF1155CC"/>
        <u/>
      </rPr>
      <t>Matches</t>
    </r>
  </si>
  <si>
    <t>Jamie Lennon</t>
  </si>
  <si>
    <r>
      <rPr>
        <rFont val="Verdana, sans-serif"/>
        <color rgb="FF1155CC"/>
        <u/>
      </rPr>
      <t>Matches</t>
    </r>
  </si>
  <si>
    <t>Jamie Walker</t>
  </si>
  <si>
    <r>
      <rPr>
        <rFont val="Verdana, sans-serif"/>
        <color rgb="FF1155CC"/>
        <u/>
      </rPr>
      <t>Matches</t>
    </r>
  </si>
  <si>
    <t>Jason McClelland</t>
  </si>
  <si>
    <r>
      <rPr>
        <rFont val="Verdana, sans-serif"/>
        <color rgb="FF1155CC"/>
        <u/>
      </rPr>
      <t>Matches</t>
    </r>
  </si>
  <si>
    <t>Jeannot Esua</t>
  </si>
  <si>
    <t>CMR</t>
  </si>
  <si>
    <r>
      <rPr>
        <rFont val="Verdana, sans-serif"/>
        <color rgb="FF1155CC"/>
        <u/>
      </rPr>
      <t>Matches</t>
    </r>
  </si>
  <si>
    <t>Jethren Barr</t>
  </si>
  <si>
    <t>RSA</t>
  </si>
  <si>
    <r>
      <rPr>
        <rFont val="Verdana, sans-serif"/>
        <color rgb="FF1155CC"/>
        <u/>
      </rPr>
      <t>Matches</t>
    </r>
  </si>
  <si>
    <t>Jevon Mills</t>
  </si>
  <si>
    <r>
      <rPr>
        <rFont val="Verdana, sans-serif"/>
        <color rgb="FF1155CC"/>
        <u/>
      </rPr>
      <t>Matches</t>
    </r>
  </si>
  <si>
    <t>Jimmy Keohane</t>
  </si>
  <si>
    <r>
      <rPr>
        <rFont val="Verdana, sans-serif"/>
        <color rgb="FF1155CC"/>
        <u/>
      </rPr>
      <t>Matches</t>
    </r>
  </si>
  <si>
    <t>Joe Redmond</t>
  </si>
  <si>
    <r>
      <rPr>
        <rFont val="Verdana, sans-serif"/>
        <color rgb="FF1155CC"/>
        <u/>
      </rPr>
      <t>Matches</t>
    </r>
  </si>
  <si>
    <t>John Mahon</t>
  </si>
  <si>
    <r>
      <rPr>
        <rFont val="Verdana, sans-serif"/>
        <color rgb="FF1155CC"/>
        <u/>
      </rPr>
      <t>Matches</t>
    </r>
  </si>
  <si>
    <t>John Martin</t>
  </si>
  <si>
    <r>
      <rPr>
        <rFont val="Verdana, sans-serif"/>
        <color rgb="FF1155CC"/>
        <u/>
      </rPr>
      <t>Matches</t>
    </r>
  </si>
  <si>
    <t>John Mountney</t>
  </si>
  <si>
    <r>
      <rPr>
        <rFont val="Verdana, sans-serif"/>
        <color rgb="FF1155CC"/>
        <u/>
      </rPr>
      <t>Matches</t>
    </r>
  </si>
  <si>
    <t>John O'Sullivan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</si>
  <si>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</si>
  <si>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</si>
  <si>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John Ross Wilson</t>
  </si>
  <si>
    <r>
      <rPr>
        <rFont val="Verdana, sans-serif"/>
        <color rgb="FF1155CC"/>
        <u/>
      </rPr>
      <t>Matches</t>
    </r>
  </si>
  <si>
    <t>Johnny Kenny</t>
  </si>
  <si>
    <r>
      <rPr>
        <rFont val="Verdana, sans-serif"/>
        <color rgb="FF1155CC"/>
        <u/>
      </rPr>
      <t>Matches</t>
    </r>
  </si>
  <si>
    <t>Jonathan Lunney</t>
  </si>
  <si>
    <r>
      <rPr>
        <rFont val="Verdana, sans-serif"/>
        <color rgb="FF1155CC"/>
        <u/>
      </rPr>
      <t>Matches</t>
    </r>
  </si>
  <si>
    <t>Jordan Flores</t>
  </si>
  <si>
    <r>
      <rPr>
        <rFont val="Verdana, sans-serif"/>
        <color rgb="FF1155CC"/>
        <u/>
      </rPr>
      <t>Matches</t>
    </r>
  </si>
  <si>
    <t>Jordan McEneff</t>
  </si>
  <si>
    <r>
      <rPr>
        <rFont val="Verdana, sans-serif"/>
        <color rgb="FF1155CC"/>
        <u/>
      </rPr>
      <t>Matches</t>
    </r>
  </si>
  <si>
    <t>Joseph Anang</t>
  </si>
  <si>
    <t>GHA</t>
  </si>
  <si>
    <r>
      <rPr>
        <rFont val="Verdana, sans-serif"/>
        <color rgb="FF1155CC"/>
        <u/>
      </rPr>
      <t>Matches</t>
    </r>
  </si>
  <si>
    <t>Joseph Forde</t>
  </si>
  <si>
    <t>AUS</t>
  </si>
  <si>
    <r>
      <rPr>
        <rFont val="Verdana, sans-serif"/>
        <color rgb="FF1155CC"/>
        <u/>
      </rPr>
      <t>Matches</t>
    </r>
  </si>
  <si>
    <t>Josh O'Connor</t>
  </si>
  <si>
    <r>
      <rPr>
        <rFont val="Verdana, sans-serif"/>
        <color rgb="FF1155CC"/>
        <u/>
      </rPr>
      <t>Matches</t>
    </r>
  </si>
  <si>
    <t>Joshua Honohan</t>
  </si>
  <si>
    <r>
      <rPr>
        <rFont val="Verdana, sans-serif"/>
        <color rgb="FF1155CC"/>
        <u/>
      </rPr>
      <t>Matches</t>
    </r>
  </si>
  <si>
    <t>Junior Ogedi-Uzokwe</t>
  </si>
  <si>
    <r>
      <rPr>
        <rFont val="Verdana, sans-serif"/>
        <color rgb="FF1155CC"/>
        <u/>
      </rPr>
      <t>Matches</t>
    </r>
  </si>
  <si>
    <t>Kacper Chorążka</t>
  </si>
  <si>
    <r>
      <rPr>
        <rFont val="Verdana, sans-serif"/>
        <color rgb="FF1155CC"/>
        <u/>
      </rPr>
      <t>Matches</t>
    </r>
  </si>
  <si>
    <t>Kacper Radkowski</t>
  </si>
  <si>
    <r>
      <rPr>
        <rFont val="Verdana, sans-serif"/>
        <color rgb="FF1155CC"/>
        <u/>
      </rPr>
      <t>Matches</t>
    </r>
  </si>
  <si>
    <t>Kacper Skwierczyński</t>
  </si>
  <si>
    <r>
      <rPr>
        <rFont val="Verdana, sans-serif"/>
        <color rgb="FF1155CC"/>
        <u/>
      </rPr>
      <t>Matches</t>
    </r>
  </si>
  <si>
    <t>Kailin Barlow</t>
  </si>
  <si>
    <r>
      <rPr>
        <rFont val="Verdana, sans-serif"/>
        <color rgb="FF1155CC"/>
        <u/>
      </rPr>
      <t>Matches</t>
    </r>
  </si>
  <si>
    <t>Kameron Ledwidge</t>
  </si>
  <si>
    <r>
      <rPr>
        <rFont val="Verdana, sans-serif"/>
        <color rgb="FF1155CC"/>
        <u/>
      </rPr>
      <t>Matches</t>
    </r>
  </si>
  <si>
    <t>Karl O'Sullivan</t>
  </si>
  <si>
    <r>
      <rPr>
        <rFont val="Verdana, sans-serif"/>
        <color rgb="FF1155CC"/>
        <u/>
      </rPr>
      <t>Matches</t>
    </r>
  </si>
  <si>
    <t>Keith Ward</t>
  </si>
  <si>
    <r>
      <rPr>
        <rFont val="Verdana, sans-serif"/>
        <color rgb="FF1155CC"/>
        <u/>
      </rPr>
      <t>Matches</t>
    </r>
  </si>
  <si>
    <t>Kian Leavy</t>
  </si>
  <si>
    <r>
      <rPr>
        <rFont val="Verdana, sans-serif"/>
        <color rgb="FF1155CC"/>
        <u/>
      </rPr>
      <t>Matches</t>
    </r>
  </si>
  <si>
    <t>Kieran Freeman</t>
  </si>
  <si>
    <r>
      <rPr>
        <rFont val="Verdana, sans-serif"/>
        <color rgb="FF1155CC"/>
        <u/>
      </rPr>
      <t>Matches</t>
    </r>
  </si>
  <si>
    <t>Killian Brouder</t>
  </si>
  <si>
    <r>
      <rPr>
        <rFont val="Verdana, sans-serif"/>
        <color rgb="FF1155CC"/>
        <u/>
      </rPr>
      <t>Matches</t>
    </r>
  </si>
  <si>
    <t>Killian Cailloce</t>
  </si>
  <si>
    <r>
      <rPr>
        <rFont val="Verdana, sans-serif"/>
        <color rgb="FF1155CC"/>
        <u/>
      </rPr>
      <t>Matches</t>
    </r>
  </si>
  <si>
    <t>Koen Oostenbrink</t>
  </si>
  <si>
    <t>NED</t>
  </si>
  <si>
    <r>
      <rPr>
        <rFont val="Verdana, sans-serif"/>
        <color rgb="FF1155CC"/>
        <u/>
      </rPr>
      <t>Matches</t>
    </r>
  </si>
  <si>
    <t>Kyle Fitzgerald</t>
  </si>
  <si>
    <r>
      <rPr>
        <rFont val="Verdana, sans-serif"/>
        <color rgb="FF1155CC"/>
        <u/>
      </rPr>
      <t>Matches</t>
    </r>
  </si>
  <si>
    <t>Kyle McDonagh</t>
  </si>
  <si>
    <r>
      <rPr>
        <rFont val="Verdana, sans-serif"/>
        <color rgb="FF1155CC"/>
        <u/>
      </rPr>
      <t>Matches</t>
    </r>
  </si>
  <si>
    <t>Lee Grace</t>
  </si>
  <si>
    <r>
      <rPr>
        <rFont val="Verdana, sans-serif"/>
        <color rgb="FF1155CC"/>
        <u/>
      </rPr>
      <t>Matches</t>
    </r>
  </si>
  <si>
    <t>Lee Steacy</t>
  </si>
  <si>
    <r>
      <rPr>
        <rFont val="Verdana, sans-serif"/>
        <color rgb="FF1155CC"/>
        <u/>
      </rPr>
      <t>Matches</t>
    </r>
  </si>
  <si>
    <t>Leigh Kavanagh</t>
  </si>
  <si>
    <r>
      <rPr>
        <rFont val="Verdana, sans-serif"/>
        <color rgb="FF1155CC"/>
        <u/>
      </rPr>
      <t>Matches</t>
    </r>
  </si>
  <si>
    <t>Leo Gaxha</t>
  </si>
  <si>
    <r>
      <rPr>
        <rFont val="Verdana, sans-serif"/>
        <color rgb="FF1155CC"/>
        <u/>
      </rPr>
      <t>Matches</t>
    </r>
  </si>
  <si>
    <t>Léon-Maurice Pöhls</t>
  </si>
  <si>
    <r>
      <rPr>
        <rFont val="Verdana, sans-serif"/>
        <color rgb="FF1155CC"/>
        <u/>
      </rPr>
      <t>Matches</t>
    </r>
  </si>
  <si>
    <t>Lewis Temple</t>
  </si>
  <si>
    <r>
      <rPr>
        <rFont val="Verdana, sans-serif"/>
        <color rgb="FF1155CC"/>
        <u/>
      </rPr>
      <t>Matches</t>
    </r>
  </si>
  <si>
    <t>Liam Burt</t>
  </si>
  <si>
    <r>
      <rPr>
        <rFont val="Verdana, sans-serif"/>
        <color rgb="FF1155CC"/>
        <u/>
      </rPr>
      <t>Matches</t>
    </r>
  </si>
  <si>
    <t>Liam Smith</t>
  </si>
  <si>
    <r>
      <rPr>
        <rFont val="Verdana, sans-serif"/>
        <color rgb="FF1155CC"/>
        <u/>
      </rPr>
      <t>Matches</t>
    </r>
  </si>
  <si>
    <t>Louie Annesley</t>
  </si>
  <si>
    <t>GIB</t>
  </si>
  <si>
    <r>
      <rPr>
        <rFont val="Verdana, sans-serif"/>
        <color rgb="FF1155CC"/>
        <u/>
      </rPr>
      <t>Matches</t>
    </r>
  </si>
  <si>
    <t>Louis Jones</t>
  </si>
  <si>
    <r>
      <rPr>
        <rFont val="Verdana, sans-serif"/>
        <color rgb="FF1155CC"/>
        <u/>
      </rPr>
      <t>Matches</t>
    </r>
  </si>
  <si>
    <t>Luke Dennison</t>
  </si>
  <si>
    <r>
      <rPr>
        <rFont val="Verdana, sans-serif"/>
        <color rgb="FF1155CC"/>
        <u/>
      </rPr>
      <t>Matches</t>
    </r>
  </si>
  <si>
    <t>Luke Heeney</t>
  </si>
  <si>
    <r>
      <rPr>
        <rFont val="Verdana, sans-serif"/>
        <color rgb="FF1155CC"/>
        <u/>
      </rPr>
      <t>Matches</t>
    </r>
  </si>
  <si>
    <t>Luke Matheson</t>
  </si>
  <si>
    <r>
      <rPr>
        <rFont val="Verdana, sans-serif"/>
        <color rgb="FF1155CC"/>
        <u/>
      </rPr>
      <t>Matches</t>
    </r>
  </si>
  <si>
    <t>Luke Mulligan</t>
  </si>
  <si>
    <r>
      <rPr>
        <rFont val="Verdana, sans-serif"/>
        <color rgb="FF1155CC"/>
        <u/>
      </rPr>
      <t>Matches</t>
    </r>
  </si>
  <si>
    <t>Luke Pearce</t>
  </si>
  <si>
    <r>
      <rPr>
        <rFont val="Verdana, sans-serif"/>
        <color rgb="FF1155CC"/>
        <u/>
      </rPr>
      <t>Matches</t>
    </r>
  </si>
  <si>
    <t>Luke Turner</t>
  </si>
  <si>
    <r>
      <rPr>
        <rFont val="Verdana, sans-serif"/>
        <color rgb="FF1155CC"/>
        <u/>
      </rPr>
      <t>Matches</t>
    </r>
  </si>
  <si>
    <t>Maleace Asamoah</t>
  </si>
  <si>
    <r>
      <rPr>
        <rFont val="Verdana, sans-serif"/>
        <color rgb="FF1155CC"/>
        <u/>
      </rPr>
      <t>Matches</t>
    </r>
  </si>
  <si>
    <t>Marc McNulty</t>
  </si>
  <si>
    <r>
      <rPr>
        <rFont val="Verdana, sans-serif"/>
        <color rgb="FF1155CC"/>
        <u/>
      </rPr>
      <t>Matches</t>
    </r>
  </si>
  <si>
    <t>Marcelo Pitaluga</t>
  </si>
  <si>
    <t>BRA</t>
  </si>
  <si>
    <r>
      <rPr>
        <rFont val="Verdana, sans-serif"/>
        <color rgb="FF1155CC"/>
        <u/>
      </rPr>
      <t>Matches</t>
    </r>
  </si>
  <si>
    <t>Mark Connolly</t>
  </si>
  <si>
    <r>
      <rPr>
        <rFont val="Verdana, sans-serif"/>
        <color rgb="FF1155CC"/>
        <u/>
      </rPr>
      <t>Matches</t>
    </r>
  </si>
  <si>
    <t>Mark Coyle</t>
  </si>
  <si>
    <r>
      <rPr>
        <rFont val="Verdana, sans-serif"/>
        <color rgb="FF1155CC"/>
        <u/>
      </rPr>
      <t>Matches</t>
    </r>
  </si>
  <si>
    <t>Mark Isong</t>
  </si>
  <si>
    <r>
      <rPr>
        <rFont val="Verdana, sans-serif"/>
        <color rgb="FF1155CC"/>
        <u/>
      </rPr>
      <t>Matches</t>
    </r>
  </si>
  <si>
    <t>Markus Poom</t>
  </si>
  <si>
    <t>EST</t>
  </si>
  <si>
    <r>
      <rPr>
        <rFont val="Verdana, sans-serif"/>
        <color rgb="FF1155CC"/>
        <u/>
      </rPr>
      <t>Matches</t>
    </r>
  </si>
  <si>
    <t>Markus Strods</t>
  </si>
  <si>
    <t>LVA</t>
  </si>
  <si>
    <r>
      <rPr>
        <rFont val="Verdana, sans-serif"/>
        <color rgb="FF1155CC"/>
        <u/>
      </rPr>
      <t>Matches</t>
    </r>
  </si>
  <si>
    <t>Martin Miller</t>
  </si>
  <si>
    <r>
      <rPr>
        <rFont val="Verdana, sans-serif"/>
        <color rgb="FF1155CC"/>
        <u/>
      </rPr>
      <t>Matches</t>
    </r>
  </si>
  <si>
    <t>Mason Melia</t>
  </si>
  <si>
    <r>
      <rPr>
        <rFont val="Verdana, sans-serif"/>
        <color rgb="FF1155CC"/>
        <u/>
      </rPr>
      <t>Matches</t>
    </r>
  </si>
  <si>
    <t>Matthew Britton</t>
  </si>
  <si>
    <r>
      <rPr>
        <rFont val="Verdana, sans-serif"/>
        <color rgb="FF1155CC"/>
        <u/>
      </rPr>
      <t>Matches</t>
    </r>
  </si>
  <si>
    <t>Matthew O'Brien</t>
  </si>
  <si>
    <r>
      <rPr>
        <rFont val="Verdana, sans-serif"/>
        <color rgb="FF1155CC"/>
        <u/>
      </rPr>
      <t>Matches</t>
    </r>
  </si>
  <si>
    <t>Matty Smith</t>
  </si>
  <si>
    <r>
      <rPr>
        <rFont val="Verdana, sans-serif"/>
        <color rgb="FF1155CC"/>
        <u/>
      </rPr>
      <t>Matches</t>
    </r>
  </si>
  <si>
    <t>Maurice Nugent</t>
  </si>
  <si>
    <r>
      <rPr>
        <rFont val="Verdana, sans-serif"/>
        <color rgb="FF1155CC"/>
        <u/>
      </rPr>
      <t>Matches</t>
    </r>
  </si>
  <si>
    <t>Max Kovaleskis</t>
  </si>
  <si>
    <r>
      <rPr>
        <rFont val="Verdana, sans-serif"/>
        <color rgb="FF1155CC"/>
        <u/>
      </rPr>
      <t>Matches</t>
    </r>
  </si>
  <si>
    <t>Max Mata</t>
  </si>
  <si>
    <r>
      <rPr>
        <rFont val="Verdana, sans-serif"/>
        <color rgb="FF1155CC"/>
        <u/>
      </rPr>
      <t>Matches</t>
    </r>
  </si>
  <si>
    <t>Mayowa Animasahun</t>
  </si>
  <si>
    <r>
      <rPr>
        <rFont val="Verdana, sans-serif"/>
        <color rgb="FF1155CC"/>
        <u/>
      </rPr>
      <t>Matches</t>
    </r>
  </si>
  <si>
    <t>Michael Duffy</t>
  </si>
  <si>
    <r>
      <rPr>
        <rFont val="Verdana, sans-serif"/>
        <color rgb="FF1155CC"/>
        <u/>
      </rPr>
      <t>Matches</t>
    </r>
  </si>
  <si>
    <t>Michael Lilander</t>
  </si>
  <si>
    <r>
      <rPr>
        <rFont val="Verdana, sans-serif"/>
        <color rgb="FF1155CC"/>
        <u/>
      </rPr>
      <t>Matches</t>
    </r>
  </si>
  <si>
    <t>Michael Noonan</t>
  </si>
  <si>
    <r>
      <rPr>
        <rFont val="Verdana, sans-serif"/>
        <color rgb="FF1155CC"/>
        <u/>
      </rPr>
      <t>Matches</t>
    </r>
  </si>
  <si>
    <t>Nando Pijnaker</t>
  </si>
  <si>
    <r>
      <rPr>
        <rFont val="Verdana, sans-serif"/>
        <color rgb="FF1155CC"/>
        <u/>
      </rPr>
      <t>Matches</t>
    </r>
  </si>
  <si>
    <t>Neil Farrugia</t>
  </si>
  <si>
    <r>
      <rPr>
        <rFont val="Verdana, sans-serif"/>
        <color rgb="FF1155CC"/>
        <u/>
      </rPr>
      <t>Matches</t>
    </r>
  </si>
  <si>
    <t>Niall Morahan</t>
  </si>
  <si>
    <r>
      <rPr>
        <rFont val="Verdana, sans-serif"/>
        <color rgb="FF1155CC"/>
        <u/>
      </rPr>
      <t>Matches</t>
    </r>
  </si>
  <si>
    <t>Niall O'Keeffe</t>
  </si>
  <si>
    <r>
      <rPr>
        <rFont val="Verdana, sans-serif"/>
        <color rgb="FF1155CC"/>
        <u/>
      </rPr>
      <t>Matches</t>
    </r>
  </si>
  <si>
    <t>Nickson Okosun</t>
  </si>
  <si>
    <r>
      <rPr>
        <rFont val="Verdana, sans-serif"/>
        <color rgb="FF1155CC"/>
        <u/>
      </rPr>
      <t>Matches</t>
    </r>
  </si>
  <si>
    <t>Norman Garbett</t>
  </si>
  <si>
    <r>
      <rPr>
        <rFont val="Verdana, sans-serif"/>
        <color rgb="FF1155CC"/>
        <u/>
      </rPr>
      <t>Matches</t>
    </r>
  </si>
  <si>
    <t>Oisin Gallagher</t>
  </si>
  <si>
    <r>
      <rPr>
        <rFont val="Verdana, sans-serif"/>
        <color rgb="FF1155CC"/>
        <u/>
      </rPr>
      <t>Matches</t>
    </r>
  </si>
  <si>
    <t>Oliver Denham</t>
  </si>
  <si>
    <r>
      <rPr>
        <rFont val="Verdana, sans-serif"/>
        <color rgb="FF1155CC"/>
        <u/>
      </rPr>
      <t>Matches</t>
    </r>
  </si>
  <si>
    <t>Owen Elding</t>
  </si>
  <si>
    <r>
      <rPr>
        <rFont val="Verdana, sans-serif"/>
        <color rgb="FF1155CC"/>
        <u/>
      </rPr>
      <t>Matches</t>
    </r>
  </si>
  <si>
    <t>Paddy Barrett</t>
  </si>
  <si>
    <r>
      <rPr>
        <rFont val="Verdana, sans-serif"/>
        <color rgb="FF1155CC"/>
        <u/>
      </rPr>
      <t>Matches</t>
    </r>
  </si>
  <si>
    <t>Paddy Kirk</t>
  </si>
  <si>
    <r>
      <rPr>
        <rFont val="Verdana, sans-serif"/>
        <color rgb="FF1155CC"/>
        <u/>
      </rPr>
      <t>Matches</t>
    </r>
  </si>
  <si>
    <t>Pádraig Amond</t>
  </si>
  <si>
    <r>
      <rPr>
        <rFont val="Verdana, sans-serif"/>
        <color rgb="FF1155CC"/>
        <u/>
      </rPr>
      <t>Matches</t>
    </r>
  </si>
  <si>
    <t>Patrick Hickey</t>
  </si>
  <si>
    <r>
      <rPr>
        <rFont val="Verdana, sans-serif"/>
        <color rgb="FF1155CC"/>
        <u/>
      </rPr>
      <t>Matches</t>
    </r>
  </si>
  <si>
    <t>Patrick Hoban</t>
  </si>
  <si>
    <r>
      <rPr>
        <rFont val="Verdana, sans-serif"/>
        <color rgb="FF1155CC"/>
        <u/>
      </rPr>
      <t>Matches</t>
    </r>
  </si>
  <si>
    <t>Patrick McEleney</t>
  </si>
  <si>
    <r>
      <rPr>
        <rFont val="Verdana, sans-serif"/>
        <color rgb="FF1155CC"/>
        <u/>
      </rPr>
      <t>Matches</t>
    </r>
  </si>
  <si>
    <t>Paul Doyle</t>
  </si>
  <si>
    <r>
      <rPr>
        <rFont val="Verdana, sans-serif"/>
        <color rgb="FF1155CC"/>
        <u/>
      </rPr>
      <t>Matches</t>
    </r>
  </si>
  <si>
    <t>Paul McMullan</t>
  </si>
  <si>
    <r>
      <rPr>
        <rFont val="Verdana, sans-serif"/>
        <color rgb="FF1155CC"/>
        <u/>
      </rPr>
      <t>Matches</t>
    </r>
  </si>
  <si>
    <t>Pico</t>
  </si>
  <si>
    <t>CPV</t>
  </si>
  <si>
    <r>
      <rPr>
        <rFont val="Verdana, sans-serif"/>
        <color rgb="FF1155CC"/>
        <u/>
      </rPr>
      <t>Matches</t>
    </r>
  </si>
  <si>
    <t>Rayhaan Tulloch</t>
  </si>
  <si>
    <r>
      <rPr>
        <rFont val="Verdana, sans-serif"/>
        <color rgb="FF1155CC"/>
        <u/>
      </rPr>
      <t>Matches</t>
    </r>
  </si>
  <si>
    <t>Reece Hutchinson</t>
  </si>
  <si>
    <r>
      <rPr>
        <rFont val="Verdana, sans-serif"/>
        <color rgb="FF1155CC"/>
        <u/>
      </rPr>
      <t>Matches</t>
    </r>
  </si>
  <si>
    <t>Regan Donnellan</t>
  </si>
  <si>
    <r>
      <rPr>
        <rFont val="Verdana, sans-serif"/>
        <color rgb="FF1155CC"/>
        <u/>
      </rPr>
      <t>Matches</t>
    </r>
  </si>
  <si>
    <t>Rein Smit</t>
  </si>
  <si>
    <r>
      <rPr>
        <rFont val="Verdana, sans-serif"/>
        <color rgb="FF1155CC"/>
        <u/>
      </rPr>
      <t>Matches</t>
    </r>
  </si>
  <si>
    <t>Rhys Brennan</t>
  </si>
  <si>
    <r>
      <rPr>
        <rFont val="Verdana, sans-serif"/>
        <color rgb="FF1155CC"/>
        <u/>
      </rPr>
      <t>Matches</t>
    </r>
  </si>
  <si>
    <t>Richard Brush</t>
  </si>
  <si>
    <r>
      <rPr>
        <rFont val="Verdana, sans-serif"/>
        <color rgb="FF1155CC"/>
        <u/>
      </rPr>
      <t>Matches</t>
    </r>
  </si>
  <si>
    <t>Richie Towell</t>
  </si>
  <si>
    <r>
      <rPr>
        <rFont val="Verdana, sans-serif"/>
        <color rgb="FF1155CC"/>
        <u/>
      </rPr>
      <t>Matches</t>
    </r>
  </si>
  <si>
    <t>Rob Cornwall</t>
  </si>
  <si>
    <r>
      <rPr>
        <rFont val="Verdana, sans-serif"/>
        <color rgb="FF1155CC"/>
        <u/>
      </rPr>
      <t>Matches</t>
    </r>
  </si>
  <si>
    <t>Rob Slevin</t>
  </si>
  <si>
    <r>
      <rPr>
        <rFont val="Verdana, sans-serif"/>
        <color rgb="FF1155CC"/>
        <u/>
      </rPr>
      <t>Matches</t>
    </r>
  </si>
  <si>
    <t>Robbie Benson</t>
  </si>
  <si>
    <r>
      <rPr>
        <rFont val="Verdana, sans-serif"/>
        <color rgb="FF1155CC"/>
        <u/>
      </rPr>
      <t>Matches</t>
    </r>
  </si>
  <si>
    <t>Robbie McCourt</t>
  </si>
  <si>
    <r>
      <rPr>
        <rFont val="Verdana, sans-serif"/>
        <color rgb="FF1155CC"/>
        <u/>
      </rPr>
      <t>Matches</t>
    </r>
  </si>
  <si>
    <t>Robert Mahon</t>
  </si>
  <si>
    <r>
      <rPr>
        <rFont val="Verdana, sans-serif"/>
        <color rgb="FF1155CC"/>
        <u/>
      </rPr>
      <t>Matches</t>
    </r>
  </si>
  <si>
    <t>Romal Palmer</t>
  </si>
  <si>
    <r>
      <rPr>
        <rFont val="Verdana, sans-serif"/>
        <color rgb="FF1155CC"/>
        <u/>
      </rPr>
      <t>Matches</t>
    </r>
  </si>
  <si>
    <t>Romeo Akachukwu</t>
  </si>
  <si>
    <r>
      <rPr>
        <rFont val="Verdana, sans-serif"/>
        <color rgb="FF1155CC"/>
        <u/>
      </rPr>
      <t>Matches</t>
    </r>
  </si>
  <si>
    <t>Ronan Boyce</t>
  </si>
  <si>
    <r>
      <rPr>
        <rFont val="Verdana, sans-serif"/>
        <color rgb="FF1155CC"/>
        <u/>
      </rPr>
      <t>Matches</t>
    </r>
  </si>
  <si>
    <t>Rory Gaffney</t>
  </si>
  <si>
    <r>
      <rPr>
        <rFont val="Verdana, sans-serif"/>
        <color rgb="FF1155CC"/>
        <u/>
      </rPr>
      <t>Matches</t>
    </r>
  </si>
  <si>
    <t>Ross Munro</t>
  </si>
  <si>
    <r>
      <rPr>
        <rFont val="Verdana, sans-serif"/>
        <color rgb="FF1155CC"/>
        <u/>
      </rPr>
      <t>Matches</t>
    </r>
  </si>
  <si>
    <t>Ross Tierney</t>
  </si>
  <si>
    <r>
      <rPr>
        <rFont val="Verdana, sans-serif"/>
        <color rgb="FF1155CC"/>
        <u/>
      </rPr>
      <t>Matches</t>
    </r>
  </si>
  <si>
    <t xml:space="preserve"> </t>
  </si>
  <si>
    <r>
      <rPr>
        <rFont val="Verdana, sans-serif"/>
        <color rgb="FF1155CC"/>
        <u/>
      </rPr>
      <t>Matches</t>
    </r>
  </si>
  <si>
    <t>Ruairi Keating</t>
  </si>
  <si>
    <r>
      <rPr>
        <rFont val="Verdana, sans-serif"/>
        <color rgb="FF1155CC"/>
        <u/>
      </rPr>
      <t>Matches</t>
    </r>
  </si>
  <si>
    <t>Ryan Brennan</t>
  </si>
  <si>
    <r>
      <rPr>
        <rFont val="Verdana, sans-serif"/>
        <color rgb="FF1155CC"/>
        <u/>
      </rPr>
      <t>Matches</t>
    </r>
  </si>
  <si>
    <t>Ryan Burke</t>
  </si>
  <si>
    <r>
      <rPr>
        <rFont val="Verdana, sans-serif"/>
        <color rgb="FF1155CC"/>
        <u/>
      </rPr>
      <t>Matches</t>
    </r>
  </si>
  <si>
    <t>Ryan McLaughlin</t>
  </si>
  <si>
    <r>
      <rPr>
        <rFont val="Verdana, sans-serif"/>
        <color rgb="FF1155CC"/>
        <u/>
      </rPr>
      <t>Matches</t>
    </r>
  </si>
  <si>
    <t>Ryan O'Kane</t>
  </si>
  <si>
    <r>
      <rPr>
        <rFont val="Verdana, sans-serif"/>
        <color rgb="FF1155CC"/>
        <u/>
      </rPr>
      <t>Matches</t>
    </r>
  </si>
  <si>
    <t>Sadou Diallo</t>
  </si>
  <si>
    <r>
      <rPr>
        <rFont val="Verdana, sans-serif"/>
        <color rgb="FF1155CC"/>
        <u/>
      </rPr>
      <t>Matches</t>
    </r>
  </si>
  <si>
    <t>Sam Bellis</t>
  </si>
  <si>
    <r>
      <rPr>
        <rFont val="Verdana, sans-serif"/>
        <color rgb="FF1155CC"/>
        <u/>
      </rPr>
      <t>Matches</t>
    </r>
  </si>
  <si>
    <t>Sam Bone</t>
  </si>
  <si>
    <r>
      <rPr>
        <rFont val="Verdana, sans-serif"/>
        <color rgb="FF1155CC"/>
        <u/>
      </rPr>
      <t>Matches</t>
    </r>
  </si>
  <si>
    <t>Sam Durrant</t>
  </si>
  <si>
    <t>SRI</t>
  </si>
  <si>
    <r>
      <rPr>
        <rFont val="Verdana, sans-serif"/>
        <color rgb="FF1155CC"/>
        <u/>
      </rPr>
      <t>Matches</t>
    </r>
  </si>
  <si>
    <t>Sam Sargeant</t>
  </si>
  <si>
    <r>
      <rPr>
        <rFont val="Verdana, sans-serif"/>
        <color rgb="FF1155CC"/>
        <u/>
      </rPr>
      <t>Matches</t>
    </r>
  </si>
  <si>
    <t>Sam Todd</t>
  </si>
  <si>
    <r>
      <rPr>
        <rFont val="Verdana, sans-serif"/>
        <color rgb="FF1155CC"/>
        <u/>
      </rPr>
      <t>Matches</t>
    </r>
  </si>
  <si>
    <t>Samuel Glenfield</t>
  </si>
  <si>
    <r>
      <rPr>
        <rFont val="Verdana, sans-serif"/>
        <color rgb="FF1155CC"/>
        <u/>
      </rPr>
      <t>Matches</t>
    </r>
  </si>
  <si>
    <t>Scott High</t>
  </si>
  <si>
    <r>
      <rPr>
        <rFont val="Verdana, sans-serif"/>
        <color rgb="FF1155CC"/>
        <u/>
      </rPr>
      <t>Matches</t>
    </r>
  </si>
  <si>
    <t>Scott McGill</t>
  </si>
  <si>
    <r>
      <rPr>
        <rFont val="Verdana, sans-serif"/>
        <color rgb="FF1155CC"/>
        <u/>
      </rPr>
      <t>Matches</t>
    </r>
  </si>
  <si>
    <t>Sean Boyd</t>
  </si>
  <si>
    <r>
      <rPr>
        <rFont val="Verdana, sans-serif"/>
        <color rgb="FF1155CC"/>
        <u/>
      </rPr>
      <t>Matches</t>
    </r>
  </si>
  <si>
    <t>Sean Gannon</t>
  </si>
  <si>
    <r>
      <rPr>
        <rFont val="Verdana, sans-serif"/>
        <color rgb="FF1155CC"/>
        <u/>
      </rPr>
      <t>Matches</t>
    </r>
  </si>
  <si>
    <t>Sean Hoare</t>
  </si>
  <si>
    <r>
      <rPr>
        <rFont val="Verdana, sans-serif"/>
        <color rgb="FF1155CC"/>
        <u/>
      </rPr>
      <t>Matches</t>
    </r>
  </si>
  <si>
    <t>Sean Kavanagh</t>
  </si>
  <si>
    <r>
      <rPr>
        <rFont val="Verdana, sans-serif"/>
        <color rgb="FF1155CC"/>
        <u/>
      </rPr>
      <t>Matches</t>
    </r>
  </si>
  <si>
    <t>Sean Keogh</t>
  </si>
  <si>
    <t>DF,FW</t>
  </si>
  <si>
    <r>
      <rPr>
        <rFont val="Verdana, sans-serif"/>
        <color rgb="FF1155CC"/>
        <u/>
      </rPr>
      <t>Matches</t>
    </r>
  </si>
  <si>
    <t>Sean McAteer</t>
  </si>
  <si>
    <r>
      <rPr>
        <rFont val="Verdana, sans-serif"/>
        <color rgb="FF1155CC"/>
        <u/>
      </rPr>
      <t>Matches</t>
    </r>
  </si>
  <si>
    <t>Sean Molloy</t>
  </si>
  <si>
    <r>
      <rPr>
        <rFont val="Verdana, sans-serif"/>
        <color rgb="FF1155CC"/>
        <u/>
      </rPr>
      <t>Matches</t>
    </r>
  </si>
  <si>
    <t>Sean Patton</t>
  </si>
  <si>
    <r>
      <rPr>
        <rFont val="Verdana, sans-serif"/>
        <color rgb="FF1155CC"/>
        <u/>
      </rPr>
      <t>Matches</t>
    </r>
  </si>
  <si>
    <t>Sean Robertson</t>
  </si>
  <si>
    <r>
      <rPr>
        <rFont val="Verdana, sans-serif"/>
        <color rgb="FF1155CC"/>
        <u/>
      </rPr>
      <t>Matches</t>
    </r>
  </si>
  <si>
    <t>Shane Anthony Griffin</t>
  </si>
  <si>
    <r>
      <rPr>
        <rFont val="Verdana, sans-serif"/>
        <color rgb="FF1155CC"/>
        <u/>
      </rPr>
      <t>Matches</t>
    </r>
  </si>
  <si>
    <t>Shane Farrell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</si>
  <si>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</si>
  <si>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</si>
  <si>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Shane Flynn</t>
  </si>
  <si>
    <r>
      <rPr>
        <rFont val="Verdana, sans-serif"/>
        <color rgb="FF1155CC"/>
        <u/>
      </rPr>
      <t>Matches</t>
    </r>
  </si>
  <si>
    <t>Shane McEleney</t>
  </si>
  <si>
    <r>
      <rPr>
        <rFont val="Verdana, sans-serif"/>
        <color rgb="FF1155CC"/>
        <u/>
      </rPr>
      <t>Matches</t>
    </r>
  </si>
  <si>
    <t>Simon Power</t>
  </si>
  <si>
    <r>
      <rPr>
        <rFont val="Verdana, sans-serif"/>
        <color rgb="FF1155CC"/>
        <u/>
      </rPr>
      <t>Matches</t>
    </r>
  </si>
  <si>
    <t>Stefan Radosavlevic</t>
  </si>
  <si>
    <t>FRO</t>
  </si>
  <si>
    <r>
      <rPr>
        <rFont val="Verdana, sans-serif"/>
        <color rgb="FF1155CC"/>
        <u/>
      </rPr>
      <t>Matches</t>
    </r>
  </si>
  <si>
    <t>Sten Reinkort</t>
  </si>
  <si>
    <r>
      <rPr>
        <rFont val="Verdana, sans-serif"/>
        <color rgb="FF1155CC"/>
        <u/>
      </rPr>
      <t>Matches</t>
    </r>
  </si>
  <si>
    <t>Stephen Mallon</t>
  </si>
  <si>
    <r>
      <rPr>
        <rFont val="Verdana, sans-serif"/>
        <color rgb="FF1155CC"/>
        <u/>
      </rPr>
      <t>Matches</t>
    </r>
  </si>
  <si>
    <t>Stephen Walsh</t>
  </si>
  <si>
    <r>
      <rPr>
        <rFont val="Verdana, sans-serif"/>
        <color rgb="FF1155CC"/>
        <u/>
      </rPr>
      <t>Matches</t>
    </r>
  </si>
  <si>
    <t>TJ Molloy</t>
  </si>
  <si>
    <r>
      <rPr>
        <rFont val="Verdana, sans-serif"/>
        <color rgb="FF1155CC"/>
        <u/>
      </rPr>
      <t>Matches</t>
    </r>
  </si>
  <si>
    <t>Tom Costello</t>
  </si>
  <si>
    <r>
      <rPr>
        <rFont val="Verdana, sans-serif"/>
        <color rgb="FF1155CC"/>
        <u/>
      </rPr>
      <t>Matches</t>
    </r>
  </si>
  <si>
    <t>Tom Grivosti</t>
  </si>
  <si>
    <r>
      <rPr>
        <rFont val="Verdana, sans-serif"/>
        <color rgb="FF1155CC"/>
        <u/>
      </rPr>
      <t>Matches</t>
    </r>
  </si>
  <si>
    <t>Trevor Clarke</t>
  </si>
  <si>
    <r>
      <rPr>
        <rFont val="Verdana, sans-serif"/>
        <color rgb="FF1155CC"/>
        <u/>
      </rPr>
      <t>Matches</t>
    </r>
  </si>
  <si>
    <t>Tyreke Wilson</t>
  </si>
  <si>
    <r>
      <rPr>
        <rFont val="Verdana, sans-serif"/>
        <color rgb="FF1155CC"/>
        <u/>
      </rPr>
      <t>Matches</t>
    </r>
  </si>
  <si>
    <t>Vincent Borden</t>
  </si>
  <si>
    <r>
      <rPr>
        <rFont val="Verdana, sans-serif"/>
        <color rgb="FF1155CC"/>
        <u/>
      </rPr>
      <t>Matches</t>
    </r>
  </si>
  <si>
    <t>Vincent Leonard</t>
  </si>
  <si>
    <r>
      <rPr>
        <rFont val="Verdana, sans-serif"/>
        <color rgb="FF1155CC"/>
        <u/>
      </rPr>
      <t>Matches</t>
    </r>
  </si>
  <si>
    <t>Warren Davis</t>
  </si>
  <si>
    <r>
      <rPr>
        <rFont val="Verdana, sans-serif"/>
        <color rgb="FF1155CC"/>
        <u/>
      </rPr>
      <t>Matches</t>
    </r>
  </si>
  <si>
    <t>Wassim Aouachria</t>
  </si>
  <si>
    <t>ALG</t>
  </si>
  <si>
    <r>
      <rPr>
        <rFont val="Verdana, sans-serif"/>
        <color rgb="FF1155CC"/>
        <u/>
      </rPr>
      <t>Matches</t>
    </r>
  </si>
  <si>
    <t>Will Patching</t>
  </si>
  <si>
    <r>
      <rPr>
        <rFont val="Verdana, sans-serif"/>
        <color rgb="FF1155CC"/>
        <u/>
      </rPr>
      <t>Matches</t>
    </r>
  </si>
  <si>
    <t>William Fitzgerald</t>
  </si>
  <si>
    <r>
      <rPr>
        <rFont val="Verdana, sans-serif"/>
        <color rgb="FF1155CC"/>
        <u/>
      </rPr>
      <t>Matches</t>
    </r>
  </si>
  <si>
    <t>William Jarvis</t>
  </si>
  <si>
    <r>
      <rPr>
        <rFont val="Verdana, sans-serif"/>
        <color rgb="FF1155CC"/>
        <u/>
      </rPr>
      <t>Matches</t>
    </r>
  </si>
  <si>
    <t>Wilson Waweru</t>
  </si>
  <si>
    <r>
      <rPr>
        <rFont val="Verdana, sans-serif"/>
        <color rgb="FF1155CC"/>
        <u/>
      </rPr>
      <t>Matches</t>
    </r>
  </si>
  <si>
    <t>Zac Johnson</t>
  </si>
  <si>
    <r>
      <rPr>
        <rFont val="Verdana, sans-serif"/>
        <color rgb="FF1155CC"/>
        <u/>
      </rPr>
      <t>Matches</t>
    </r>
  </si>
  <si>
    <t>Zachary Elbouzedi</t>
  </si>
  <si>
    <r>
      <rPr>
        <rFont val="Verdana, sans-serif"/>
        <color rgb="FF1155CC"/>
        <u/>
      </rPr>
      <t>Matches</t>
    </r>
  </si>
  <si>
    <t>Zak Bradshaw</t>
  </si>
  <si>
    <r>
      <rPr>
        <rFont val="Verdana, sans-serif"/>
        <color rgb="FF1155CC"/>
        <u/>
      </rPr>
      <t>Matches</t>
    </r>
  </si>
  <si>
    <t>Zishim Bawa</t>
  </si>
  <si>
    <r>
      <rPr>
        <rFont val="Verdana, sans-serif"/>
        <color rgb="FF1155CC"/>
        <u/>
      </rPr>
      <t>Matches</t>
    </r>
  </si>
  <si>
    <t>Playing Time</t>
  </si>
  <si>
    <t>Performance</t>
  </si>
  <si>
    <t>Per 90 Minutes</t>
  </si>
  <si>
    <t xml:space="preserve">Height </t>
  </si>
  <si>
    <t>Value</t>
  </si>
  <si>
    <t>Average goals conceeded</t>
  </si>
  <si>
    <t>G+A</t>
  </si>
  <si>
    <t>Gls_90</t>
  </si>
  <si>
    <t>G+A-PK</t>
  </si>
  <si>
    <t>Positon (Truncated)</t>
  </si>
  <si>
    <t>Weighted defensive score</t>
  </si>
  <si>
    <t>defence metric</t>
  </si>
  <si>
    <t>€91k</t>
  </si>
  <si>
    <t xml:space="preserve">Defender goals scored </t>
  </si>
  <si>
    <t>1,70m</t>
  </si>
  <si>
    <t>€100k</t>
  </si>
  <si>
    <t>Defender Goals concieded</t>
  </si>
  <si>
    <t>1,81m</t>
  </si>
  <si>
    <t>€50k</t>
  </si>
  <si>
    <t>Attacker goals scored</t>
  </si>
  <si>
    <t>1,75m</t>
  </si>
  <si>
    <t>€400k</t>
  </si>
  <si>
    <t xml:space="preserve">Attaxker goals concieded </t>
  </si>
  <si>
    <t>1,73m</t>
  </si>
  <si>
    <t>€19k</t>
  </si>
  <si>
    <t>1,88m</t>
  </si>
  <si>
    <t>€1.00m</t>
  </si>
  <si>
    <t>Av defender cost</t>
  </si>
  <si>
    <t>av attyacker cost</t>
  </si>
  <si>
    <t>1,74m</t>
  </si>
  <si>
    <t>1,68m</t>
  </si>
  <si>
    <t>€200k</t>
  </si>
  <si>
    <t>1,80m</t>
  </si>
  <si>
    <t>€600k</t>
  </si>
  <si>
    <t>€25k</t>
  </si>
  <si>
    <t>1,78m</t>
  </si>
  <si>
    <t>€350k</t>
  </si>
  <si>
    <t>1,85m</t>
  </si>
  <si>
    <t>€88k</t>
  </si>
  <si>
    <t>1.79 m</t>
  </si>
  <si>
    <t>1,86m</t>
  </si>
  <si>
    <t>€300k</t>
  </si>
  <si>
    <t>€75k</t>
  </si>
  <si>
    <t>1,89m</t>
  </si>
  <si>
    <t>€65k</t>
  </si>
  <si>
    <t>1,83m</t>
  </si>
  <si>
    <t>1,76m</t>
  </si>
  <si>
    <t>€20k</t>
  </si>
  <si>
    <t>€86k</t>
  </si>
  <si>
    <t>€117k</t>
  </si>
  <si>
    <t>€39k</t>
  </si>
  <si>
    <t>1,72m</t>
  </si>
  <si>
    <t>1,96m</t>
  </si>
  <si>
    <t>€72k</t>
  </si>
  <si>
    <t>€150k</t>
  </si>
  <si>
    <t>€52k</t>
  </si>
  <si>
    <t>1,84m</t>
  </si>
  <si>
    <t>2,00m</t>
  </si>
  <si>
    <t>€125k</t>
  </si>
  <si>
    <t>1,93m</t>
  </si>
  <si>
    <t>€375k</t>
  </si>
  <si>
    <t>€450k</t>
  </si>
  <si>
    <t>1,77m</t>
  </si>
  <si>
    <t>€175k</t>
  </si>
  <si>
    <t>1,92m</t>
  </si>
  <si>
    <t>1,91m</t>
  </si>
  <si>
    <t>1,87m</t>
  </si>
  <si>
    <t>1,82m</t>
  </si>
  <si>
    <t>€250k</t>
  </si>
  <si>
    <t>1,90m</t>
  </si>
  <si>
    <t>1,95m</t>
  </si>
  <si>
    <t>€275k</t>
  </si>
  <si>
    <t>1,71m</t>
  </si>
  <si>
    <t>€500k</t>
  </si>
  <si>
    <t>1,94m</t>
  </si>
  <si>
    <t>€325k</t>
  </si>
  <si>
    <t>1,79m</t>
  </si>
  <si>
    <t>1,98m</t>
  </si>
  <si>
    <t>€10k</t>
  </si>
  <si>
    <t>€225k</t>
  </si>
  <si>
    <t>€900k</t>
  </si>
  <si>
    <t>1'87m</t>
  </si>
  <si>
    <t>Rowan McDonald</t>
  </si>
  <si>
    <t/>
  </si>
  <si>
    <t>Squad (corrected for player data)</t>
  </si>
  <si>
    <t>Goals Conceded</t>
  </si>
  <si>
    <t>Shelbourne</t>
  </si>
  <si>
    <t>Waterford FC</t>
  </si>
  <si>
    <t>Bohemians</t>
  </si>
  <si>
    <t>Finnances</t>
  </si>
  <si>
    <t># Pl</t>
  </si>
  <si>
    <t>Poss</t>
  </si>
  <si>
    <t>Squad Size</t>
  </si>
  <si>
    <t>ø age</t>
  </si>
  <si>
    <t>Foreigners</t>
  </si>
  <si>
    <t>ø market value</t>
  </si>
  <si>
    <t>Total market value</t>
  </si>
  <si>
    <r>
      <rPr>
        <rFont val="Verdana, sans-serif"/>
        <color rgb="FF1155CC"/>
        <u/>
      </rPr>
      <t>Bohemian FC</t>
    </r>
  </si>
  <si>
    <t>€6.45m</t>
  </si>
  <si>
    <r>
      <rPr>
        <rFont val="Verdana, sans-serif"/>
        <color rgb="FF1155CC"/>
        <u/>
      </rPr>
      <t>Derry City</t>
    </r>
  </si>
  <si>
    <t>€4.55m</t>
  </si>
  <si>
    <r>
      <rPr>
        <rFont val="Verdana, sans-serif"/>
        <color rgb="FF1155CC"/>
        <u/>
      </rPr>
      <t>Drogheda United</t>
    </r>
  </si>
  <si>
    <t>€825k</t>
  </si>
  <si>
    <r>
      <rPr>
        <rFont val="Verdana, sans-serif"/>
        <color rgb="FF1155CC"/>
        <u/>
      </rPr>
      <t>Dundalk FC</t>
    </r>
  </si>
  <si>
    <t>€4.54m</t>
  </si>
  <si>
    <r>
      <rPr>
        <rFont val="Verdana, sans-serif"/>
        <color rgb="FF1155CC"/>
        <u/>
      </rPr>
      <t>Galway United</t>
    </r>
  </si>
  <si>
    <t>€1.35m</t>
  </si>
  <si>
    <r>
      <rPr>
        <rFont val="Verdana, sans-serif"/>
        <color rgb="FF1155CC"/>
        <u/>
      </rPr>
      <t>Shamrock Rovers</t>
    </r>
  </si>
  <si>
    <t>€5.28m</t>
  </si>
  <si>
    <r>
      <rPr>
        <rFont val="Verdana, sans-serif"/>
        <color rgb="FF1155CC"/>
        <u/>
      </rPr>
      <t>Shelbourne FC</t>
    </r>
  </si>
  <si>
    <t>€2.70m</t>
  </si>
  <si>
    <r>
      <rPr>
        <rFont val="Verdana, sans-serif"/>
        <color rgb="FF1155CC"/>
        <u/>
      </rPr>
      <t>Sligo Rovers</t>
    </r>
  </si>
  <si>
    <t>€2.59m</t>
  </si>
  <si>
    <r>
      <rPr>
        <rFont val="Verdana, sans-serif"/>
        <color rgb="FF1155CC"/>
        <u/>
      </rPr>
      <t>St Patrick's</t>
    </r>
  </si>
  <si>
    <t>€5.65m</t>
  </si>
  <si>
    <r>
      <rPr>
        <rFont val="Verdana, sans-serif"/>
        <color rgb="FF1155CC"/>
        <u/>
      </rPr>
      <t>Waterford United</t>
    </r>
  </si>
  <si>
    <t>€925k</t>
  </si>
  <si>
    <t>Mean Attacking contribution of an attaker</t>
  </si>
  <si>
    <t>Mean Attacking contribution of an attaker (Relative performance)</t>
  </si>
  <si>
    <t>#</t>
  </si>
  <si>
    <t>Club</t>
  </si>
  <si>
    <t>W</t>
  </si>
  <si>
    <t>D</t>
  </si>
  <si>
    <t>L</t>
  </si>
  <si>
    <t>Goals</t>
  </si>
  <si>
    <t>GD</t>
  </si>
  <si>
    <t>Pts</t>
  </si>
  <si>
    <t>Conceeded</t>
  </si>
  <si>
    <t>(Goals + Assists) + PK = aplpha_A</t>
  </si>
  <si>
    <t xml:space="preserve">(aplpha_A) / Team average </t>
  </si>
  <si>
    <t xml:space="preserve">A player whos scores alot of goals and assists. we double count PK as it shows an involved player </t>
  </si>
  <si>
    <t>St. Pat's</t>
  </si>
  <si>
    <t>Mean Attacking contribution of an defender</t>
  </si>
  <si>
    <t>Mean Attacking contribution of an defender  (Relative performance)</t>
  </si>
  <si>
    <t>(Goals + Assists) + PK = alpha_D</t>
  </si>
  <si>
    <t xml:space="preserve">(aplpha_D) / Team average </t>
  </si>
  <si>
    <t>Mean defending contribution of a attacker</t>
  </si>
  <si>
    <t>Mean defending contribution of a attacker  (Relative performance)</t>
  </si>
  <si>
    <t>(Height * (1+YC) ) - RC = beta_A</t>
  </si>
  <si>
    <t xml:space="preserve">(beta_A) / Team average </t>
  </si>
  <si>
    <t xml:space="preserve">A player who is tall makes alot of yellow card tackles but no reds </t>
  </si>
  <si>
    <t>Mean defending contribution of a defender</t>
  </si>
  <si>
    <t>Mean defending contribution of a defender  (Relative performance)</t>
  </si>
  <si>
    <t>(Height * (1+YC) ) - RC = beta_D</t>
  </si>
  <si>
    <t xml:space="preserve">(beta_D) / Team average </t>
  </si>
  <si>
    <t>Mean Attacking contribution of an attaker (Relative Cost performance)</t>
  </si>
  <si>
    <t>((aplpha_A) / Team average ) * Player Valaue</t>
  </si>
  <si>
    <t>Mean Attacking contribution of an defender  (Relative Cost performance)</t>
  </si>
  <si>
    <t>((aplpha_D) / Team average ) * Player Valaue</t>
  </si>
  <si>
    <t>Mean defending contribution of a attacker  (Relative Cost performance)</t>
  </si>
  <si>
    <t>((beta_A) / Team average ) * Player Valaue</t>
  </si>
  <si>
    <t>Mean defending contribution of a defender  (Relative Cost performance)</t>
  </si>
  <si>
    <t>((beta_D) / Team average ) * Player Valaue</t>
  </si>
  <si>
    <t>Bohemian Football Club</t>
  </si>
  <si>
    <t>Drogheda United FC</t>
  </si>
  <si>
    <t>Galway United FC</t>
  </si>
  <si>
    <t>St. Patrick's Athletic</t>
  </si>
  <si>
    <t>-</t>
  </si>
  <si>
    <t>Player Standard Stats 2024 League of Ireland Premier Division</t>
  </si>
  <si>
    <t>Rk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</si>
  <si>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</si>
  <si>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</si>
  <si>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</si>
  <si>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</si>
  <si>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</si>
  <si>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</si>
  <si>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</si>
  <si>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</si>
  <si>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</si>
  <si>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</si>
  <si>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</si>
  <si>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</si>
  <si>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</si>
  <si>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</si>
  <si>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</si>
  <si>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</si>
  <si>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</si>
  <si>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</si>
  <si>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</si>
  <si>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</si>
  <si>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</si>
  <si>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</si>
  <si>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</si>
  <si>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</si>
  <si>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</si>
  <si>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</si>
  <si>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</si>
  <si>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</si>
  <si>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</si>
  <si>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</si>
  <si>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</si>
  <si>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</si>
  <si>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</si>
  <si>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</si>
  <si>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</si>
  <si>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</si>
  <si>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</si>
  <si>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</si>
  <si>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</si>
  <si>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</si>
  <si>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</si>
  <si>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</si>
  <si>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</si>
  <si>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</si>
  <si>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</si>
  <si>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</si>
  <si>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</si>
  <si>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</si>
  <si>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</si>
  <si>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</si>
  <si>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</si>
  <si>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</si>
  <si>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</si>
  <si>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</si>
  <si>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</si>
  <si>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</si>
  <si>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</si>
  <si>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</si>
  <si>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</si>
  <si>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</si>
  <si>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</si>
  <si>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</si>
  <si>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</si>
  <si>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</si>
  <si>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</si>
  <si>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</si>
  <si>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</si>
  <si>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</si>
  <si>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</si>
  <si>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</si>
  <si>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</si>
  <si>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</si>
  <si>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</si>
  <si>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</si>
  <si>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</si>
  <si>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</si>
  <si>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</si>
  <si>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</si>
  <si>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</si>
  <si>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</si>
  <si>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</si>
  <si>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</si>
  <si>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</si>
  <si>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</si>
  <si>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</si>
  <si>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</si>
  <si>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</si>
  <si>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</si>
  <si>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</si>
  <si>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</si>
  <si>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</si>
  <si>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</si>
  <si>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</si>
  <si>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</si>
  <si>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</si>
  <si>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</si>
  <si>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</si>
  <si>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</si>
  <si>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</si>
  <si>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</si>
  <si>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</si>
  <si>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</si>
  <si>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</si>
  <si>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</si>
  <si>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</si>
  <si>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</si>
  <si>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</si>
  <si>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</si>
  <si>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</si>
  <si>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</si>
  <si>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</si>
  <si>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</si>
  <si>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</si>
  <si>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</si>
  <si>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</si>
  <si>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</si>
  <si>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</si>
  <si>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</si>
  <si>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</si>
  <si>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</si>
  <si>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</si>
  <si>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</si>
  <si>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</si>
  <si>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</si>
  <si>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</si>
  <si>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</si>
  <si>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</si>
  <si>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</si>
  <si>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</si>
  <si>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</si>
  <si>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</si>
  <si>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</si>
  <si>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</si>
  <si>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</si>
  <si>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</si>
  <si>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</si>
  <si>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</si>
  <si>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</si>
  <si>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</si>
  <si>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</si>
  <si>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</si>
  <si>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</si>
  <si>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</si>
  <si>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</si>
  <si>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</si>
  <si>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</si>
  <si>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</si>
  <si>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</si>
  <si>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</si>
  <si>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</si>
  <si>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</si>
  <si>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</si>
  <si>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</si>
  <si>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</si>
  <si>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</si>
  <si>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</si>
  <si>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</si>
  <si>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</si>
  <si>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</si>
  <si>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</si>
  <si>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</si>
  <si>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</si>
  <si>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</si>
  <si>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</si>
  <si>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</si>
  <si>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</si>
  <si>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</si>
  <si>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</si>
  <si>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</si>
  <si>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</si>
  <si>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</si>
  <si>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</si>
  <si>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</si>
  <si>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</si>
  <si>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</si>
  <si>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</si>
  <si>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</si>
  <si>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</si>
  <si>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</si>
  <si>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</si>
  <si>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</si>
  <si>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</si>
  <si>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</si>
  <si>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</si>
  <si>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</si>
  <si>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</si>
  <si>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</si>
  <si>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</si>
  <si>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</si>
  <si>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</si>
  <si>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</si>
  <si>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</si>
  <si>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</si>
  <si>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</si>
  <si>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</si>
  <si>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</si>
  <si>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</si>
  <si>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</si>
  <si>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</si>
  <si>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</si>
  <si>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</si>
  <si>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</si>
  <si>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</si>
  <si>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</si>
  <si>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</si>
  <si>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</si>
  <si>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</si>
  <si>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</si>
  <si>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</si>
  <si>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</si>
  <si>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</si>
  <si>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</si>
  <si>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</si>
  <si>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</si>
  <si>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</si>
  <si>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</si>
  <si>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</si>
  <si>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</si>
  <si>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</si>
  <si>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</si>
  <si>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</si>
  <si>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</si>
  <si>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</si>
  <si>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</si>
  <si>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</si>
  <si>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</si>
  <si>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</si>
  <si>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</si>
  <si>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</si>
  <si>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</si>
  <si>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</si>
  <si>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</si>
  <si>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</si>
  <si>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</si>
  <si>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</si>
  <si>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</si>
  <si>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</si>
  <si>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</si>
  <si>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</si>
  <si>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</si>
  <si>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</si>
  <si>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</si>
  <si>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</si>
  <si>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</si>
  <si>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</si>
  <si>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</si>
  <si>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</si>
  <si>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</si>
  <si>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</si>
  <si>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</si>
  <si>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</si>
  <si>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</si>
  <si>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</si>
  <si>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</si>
  <si>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</si>
  <si>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</si>
  <si>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</si>
  <si>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</si>
  <si>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</si>
  <si>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</si>
  <si>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</si>
  <si>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</si>
  <si>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</si>
  <si>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</si>
  <si>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</si>
  <si>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</si>
  <si>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</si>
  <si>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</si>
  <si>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</si>
  <si>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</si>
  <si>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</si>
  <si>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</si>
  <si>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</si>
  <si>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</si>
  <si>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</si>
  <si>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</si>
  <si>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</si>
  <si>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</si>
  <si>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</si>
  <si>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</si>
  <si>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</si>
  <si>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</si>
  <si>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</si>
  <si>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</si>
  <si>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</si>
  <si>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</si>
  <si>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</si>
  <si>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</si>
  <si>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</si>
  <si>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</si>
  <si>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</si>
  <si>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</si>
  <si>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</si>
  <si>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</si>
  <si>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</si>
  <si>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</si>
  <si>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&quot;Source Sans Pro&quot;, &quot;Source Sans Pro-fallback&quot;, sans-serif"/>
        <color rgb="FF000000"/>
        <sz val="9.0"/>
      </rPr>
      <t>James Talbot</t>
    </r>
    <r>
      <rPr>
        <rFont val="&quot;Source Sans Pro&quot;, &quot;Source Sans Pro-fallback&quot;, sans-serif"/>
        <color theme="1"/>
        <sz val="9.0"/>
      </rPr>
      <t xml:space="preserve"> Goalkeeper</t>
    </r>
  </si>
  <si>
    <t>24/04/1997 (25)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</si>
  <si>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</si>
  <si>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Matthew Connor</t>
    </r>
    <r>
      <rPr>
        <rFont val="&quot;Source Sans Pro&quot;, &quot;Source Sans Pro-fallback&quot;, sans-serif"/>
        <color theme="1"/>
        <sz val="9.0"/>
      </rPr>
      <t xml:space="preserve"> Goalkeeper</t>
    </r>
  </si>
  <si>
    <t>08/04/1997 (25)</t>
  </si>
  <si>
    <r>
      <rPr>
        <rFont val="&quot;Source Sans Pro&quot;, &quot;Source Sans Pro-fallback&quot;, sans-serif"/>
        <color rgb="FF000000"/>
        <sz val="9.0"/>
      </rPr>
      <t>Brian Maher</t>
    </r>
    <r>
      <rPr>
        <rFont val="&quot;Source Sans Pro&quot;, &quot;Source Sans Pro-fallback&quot;, sans-serif"/>
        <color theme="1"/>
        <sz val="9.0"/>
      </rPr>
      <t xml:space="preserve"> Goalkeeper</t>
    </r>
  </si>
  <si>
    <t>01/11/2000 (22)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</si>
  <si>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</si>
  <si>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Kacper Chorazka</t>
    </r>
    <r>
      <rPr>
        <rFont val="&quot;Source Sans Pro&quot;, &quot;Source Sans Pro-fallback&quot;, sans-serif"/>
        <color theme="1"/>
        <sz val="9.0"/>
      </rPr>
      <t xml:space="preserve"> Goalkeeper</t>
    </r>
  </si>
  <si>
    <t>18/03/1999 (23)</t>
  </si>
  <si>
    <r>
      <rPr>
        <rFont val="&quot;Source Sans Pro&quot;, &quot;Source Sans Pro-fallback&quot;, sans-serif"/>
        <color rgb="FF000000"/>
        <sz val="9.0"/>
      </rPr>
      <t>Louis Jones</t>
    </r>
    <r>
      <rPr>
        <rFont val="&quot;Source Sans Pro&quot;, &quot;Source Sans Pro-fallback&quot;, sans-serif"/>
        <color theme="1"/>
        <sz val="9.0"/>
      </rPr>
      <t xml:space="preserve"> Goalkeeper</t>
    </r>
  </si>
  <si>
    <t>12/10/1998 (24)</t>
  </si>
  <si>
    <r>
      <rPr>
        <rFont val="&quot;Source Sans Pro&quot;, &quot;Source Sans Pro-fallback&quot;, sans-serif"/>
        <color rgb="FF000000"/>
        <sz val="9.0"/>
      </rPr>
      <t>Tadhg Ryan</t>
    </r>
    <r>
      <rPr>
        <rFont val="&quot;Source Sans Pro&quot;, &quot;Source Sans Pro-fallback&quot;, sans-serif"/>
        <color theme="1"/>
        <sz val="9.0"/>
      </rPr>
      <t xml:space="preserve"> Goalkeeper</t>
    </r>
  </si>
  <si>
    <t>09/04/1997 (25)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</si>
  <si>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</si>
  <si>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Joe Collins</t>
    </r>
    <r>
      <rPr>
        <rFont val="&quot;Source Sans Pro&quot;, &quot;Source Sans Pro-fallback&quot;, sans-serif"/>
        <color theme="1"/>
        <sz val="9.0"/>
      </rPr>
      <t xml:space="preserve"> Goalkeeper</t>
    </r>
  </si>
  <si>
    <t>25/02/2007 (15)</t>
  </si>
  <si>
    <r>
      <rPr>
        <rFont val="&quot;Source Sans Pro&quot;, &quot;Source Sans Pro-fallback&quot;, sans-serif"/>
        <color rgb="FF000000"/>
        <sz val="9.0"/>
      </rPr>
      <t>Jason Healy</t>
    </r>
    <r>
      <rPr>
        <rFont val="&quot;Source Sans Pro&quot;, &quot;Source Sans Pro-fallback&quot;, sans-serif"/>
        <color theme="1"/>
        <sz val="9.0"/>
      </rPr>
      <t xml:space="preserve"> Goalkeeper</t>
    </r>
  </si>
  <si>
    <t>06/03/2006 (16)</t>
  </si>
  <si>
    <r>
      <rPr>
        <rFont val="&quot;Source Sans Pro&quot;, &quot;Source Sans Pro-fallback&quot;, sans-serif"/>
        <color rgb="FF000000"/>
        <sz val="9.0"/>
      </rPr>
      <t>Jack Mills</t>
    </r>
    <r>
      <rPr>
        <rFont val="&quot;Source Sans Pro&quot;, &quot;Source Sans Pro-fallback&quot;, sans-serif"/>
        <color theme="1"/>
        <sz val="9.0"/>
      </rPr>
      <t xml:space="preserve"> Goalkeeper</t>
    </r>
  </si>
  <si>
    <t>21/10/2000 (22)</t>
  </si>
  <si>
    <r>
      <rPr>
        <rFont val="&quot;Source Sans Pro&quot;, &quot;Source Sans Pro-fallback&quot;, sans-serif"/>
        <color rgb="FF000000"/>
        <sz val="9.0"/>
      </rPr>
      <t>Luke Dennison</t>
    </r>
    <r>
      <rPr>
        <rFont val="&quot;Source Sans Pro&quot;, &quot;Source Sans Pro-fallback&quot;, sans-serif"/>
        <color theme="1"/>
        <sz val="9.0"/>
      </rPr>
      <t xml:space="preserve"> Goalkeeper</t>
    </r>
  </si>
  <si>
    <t>21/08/1996 (26)</t>
  </si>
  <si>
    <r>
      <rPr>
        <rFont val="&quot;Source Sans Pro&quot;, &quot;Source Sans Pro-fallback&quot;, sans-serif"/>
        <color rgb="FF000000"/>
        <sz val="9.0"/>
      </rPr>
      <t>Sam Sargeant</t>
    </r>
    <r>
      <rPr>
        <rFont val="&quot;Source Sans Pro&quot;, &quot;Source Sans Pro-fallback&quot;, sans-serif"/>
        <color theme="1"/>
        <sz val="9.0"/>
      </rPr>
      <t xml:space="preserve"> Goalkeeper</t>
    </r>
  </si>
  <si>
    <t>23/09/1997 (25)</t>
  </si>
  <si>
    <r>
      <rPr>
        <rFont val="&quot;Source Sans Pro&quot;, &quot;Source Sans Pro-fallback&quot;, sans-serif"/>
        <color rgb="FF000000"/>
        <sz val="9.0"/>
      </rPr>
      <t>Evan Ovendale</t>
    </r>
    <r>
      <rPr>
        <rFont val="&quot;Source Sans Pro&quot;, &quot;Source Sans Pro-fallback&quot;, sans-serif"/>
        <color theme="1"/>
        <sz val="9.0"/>
      </rPr>
      <t xml:space="preserve"> Goalkeeper</t>
    </r>
  </si>
  <si>
    <t>24/02/2005 (17)</t>
  </si>
  <si>
    <r>
      <rPr>
        <rFont val="&quot;Source Sans Pro&quot;, &quot;Source Sans Pro-fallback&quot;, sans-serif"/>
        <color rgb="FF000000"/>
        <sz val="9.0"/>
      </rPr>
      <t>Rian Hogan</t>
    </r>
    <r>
      <rPr>
        <rFont val="&quot;Source Sans Pro&quot;, &quot;Source Sans Pro-fallback&quot;, sans-serif"/>
        <color theme="1"/>
        <sz val="9.0"/>
      </rPr>
      <t xml:space="preserve"> Goalkeeper</t>
    </r>
  </si>
  <si>
    <t>17/09/2006 (16)</t>
  </si>
  <si>
    <r>
      <rPr>
        <rFont val="&quot;Source Sans Pro&quot;, &quot;Source Sans Pro-fallback&quot;, sans-serif"/>
        <color rgb="FF000000"/>
        <sz val="9.0"/>
      </rPr>
      <t>Oisin Aldred</t>
    </r>
    <r>
      <rPr>
        <rFont val="&quot;Source Sans Pro&quot;, &quot;Source Sans Pro-fallback&quot;, sans-serif"/>
        <color theme="1"/>
        <sz val="9.0"/>
      </rPr>
      <t xml:space="preserve"> Goalkeeper</t>
    </r>
  </si>
  <si>
    <t>(-)</t>
  </si>
  <si>
    <r>
      <rPr>
        <rFont val="&quot;Source Sans Pro&quot;, &quot;Source Sans Pro-fallback&quot;, sans-serif"/>
        <color rgb="FF000000"/>
        <sz val="9.0"/>
      </rPr>
      <t>Mark Connolly</t>
    </r>
    <r>
      <rPr>
        <rFont val="&quot;Source Sans Pro&quot;, &quot;Source Sans Pro-fallback&quot;, sans-serif"/>
        <color theme="1"/>
        <sz val="9.0"/>
      </rPr>
      <t xml:space="preserve"> Centre-Back</t>
    </r>
  </si>
  <si>
    <t>16/12/1991 (31)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</si>
  <si>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</si>
  <si>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Callum Doyle-Travers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</si>
  <si>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Shayne McDonald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</si>
  <si>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Cameron McJannett</t>
    </r>
    <r>
      <rPr>
        <rFont val="&quot;Source Sans Pro&quot;, &quot;Source Sans Pro-fallback&quot;, sans-serif"/>
        <color theme="1"/>
        <sz val="9.0"/>
      </rPr>
      <t xml:space="preserve"> Centre-Back</t>
    </r>
  </si>
  <si>
    <t>06/09/1998 (24)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</si>
  <si>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</si>
  <si>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Aboubacar Keita</t>
    </r>
    <r>
      <rPr>
        <rFont val="&quot;Source Sans Pro&quot;, &quot;Source Sans Pro-fallback&quot;, sans-serif"/>
        <color theme="1"/>
        <sz val="9.0"/>
      </rPr>
      <t xml:space="preserve"> Centre-Back</t>
    </r>
  </si>
  <si>
    <t>06/04/2000 (22)</t>
  </si>
  <si>
    <r>
      <rPr>
        <rFont val="&quot;Source Sans Pro&quot;, &quot;Source Sans Pro-fallback&quot;, sans-serif"/>
        <b/>
        <color rgb="FF1155CC"/>
        <sz val="9.0"/>
        <u/>
      </rPr>
      <t>€1.00m</t>
    </r>
  </si>
  <si>
    <r>
      <rPr>
        <rFont val="&quot;Source Sans Pro&quot;, &quot;Source Sans Pro-fallback&quot;, sans-serif"/>
        <color rgb="FF000000"/>
        <sz val="9.0"/>
      </rPr>
      <t>Darragh Leahy</t>
    </r>
    <r>
      <rPr>
        <rFont val="&quot;Source Sans Pro&quot;, &quot;Source Sans Pro-fallback&quot;, sans-serif"/>
        <color theme="1"/>
        <sz val="9.0"/>
      </rPr>
      <t xml:space="preserve"> Centre-Back</t>
    </r>
  </si>
  <si>
    <t>15/04/1998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</si>
  <si>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</si>
  <si>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Shane McEleney</t>
    </r>
    <r>
      <rPr>
        <rFont val="&quot;Source Sans Pro&quot;, &quot;Source Sans Pro-fallback&quot;, sans-serif"/>
        <color theme="1"/>
        <sz val="9.0"/>
      </rPr>
      <t xml:space="preserve"> Centre-Back</t>
    </r>
  </si>
  <si>
    <t>31/01/1991 (31)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</si>
  <si>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</si>
  <si>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Rob Cornwall</t>
    </r>
    <r>
      <rPr>
        <rFont val="&quot;Source Sans Pro&quot;, &quot;Source Sans Pro-fallback&quot;, sans-serif"/>
        <color theme="1"/>
        <sz val="9.0"/>
      </rPr>
      <t xml:space="preserve"> Centre-Back</t>
    </r>
  </si>
  <si>
    <t>16/10/1994 (28)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</si>
  <si>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</si>
  <si>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Grant Horton</t>
    </r>
    <r>
      <rPr>
        <rFont val="&quot;Source Sans Pro&quot;, &quot;Source Sans Pro-fallback&quot;, sans-serif"/>
        <color theme="1"/>
        <sz val="9.0"/>
      </rPr>
      <t xml:space="preserve"> Centre-Back</t>
    </r>
  </si>
  <si>
    <t>13/09/2001 (21)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</si>
  <si>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</si>
  <si>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Sam Todd</t>
    </r>
    <r>
      <rPr>
        <rFont val="&quot;Source Sans Pro&quot;, &quot;Source Sans Pro-fallback&quot;, sans-serif"/>
        <color theme="1"/>
        <sz val="9.0"/>
      </rPr>
      <t xml:space="preserve"> Centre-Back</t>
    </r>
  </si>
  <si>
    <t>28/04/1998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</si>
  <si>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</si>
  <si>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Cian Byrne</t>
    </r>
    <r>
      <rPr>
        <rFont val="&quot;Source Sans Pro&quot;, &quot;Source Sans Pro-fallback&quot;, sans-serif"/>
        <color theme="1"/>
        <sz val="9.0"/>
      </rPr>
      <t xml:space="preserve"> Centre-Back</t>
    </r>
  </si>
  <si>
    <t>31/01/2003 (19)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</si>
  <si>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</si>
  <si>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Kacper Radkowski</t>
    </r>
    <r>
      <rPr>
        <rFont val="&quot;Source Sans Pro&quot;, &quot;Source Sans Pro-fallback&quot;, sans-serif"/>
        <color theme="1"/>
        <sz val="9.0"/>
      </rPr>
      <t xml:space="preserve"> Centre-Back</t>
    </r>
  </si>
  <si>
    <t>27/03/2001 (21)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</si>
  <si>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</si>
  <si>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Duncan Idehen</t>
    </r>
    <r>
      <rPr>
        <rFont val="&quot;Source Sans Pro&quot;, &quot;Source Sans Pro-fallback&quot;, sans-serif"/>
        <color theme="1"/>
        <sz val="9.0"/>
      </rPr>
      <t xml:space="preserve"> Centre-Back</t>
    </r>
  </si>
  <si>
    <t>03/07/2002 (20)</t>
  </si>
  <si>
    <r>
      <rPr>
        <rFont val="&quot;Source Sans Pro&quot;, &quot;Source Sans Pro-fallback&quot;, sans-serif"/>
        <color rgb="FF000000"/>
        <sz val="9.0"/>
      </rPr>
      <t>Josh Lyons</t>
    </r>
    <r>
      <rPr>
        <rFont val="&quot;Source Sans Pro&quot;, &quot;Source Sans Pro-fallback&quot;, sans-serif"/>
        <color theme="1"/>
        <sz val="9.0"/>
      </rPr>
      <t xml:space="preserve"> Centre-Back</t>
    </r>
  </si>
  <si>
    <t>12/03/2006 (16)</t>
  </si>
  <si>
    <r>
      <rPr>
        <rFont val="&quot;Source Sans Pro&quot;, &quot;Source Sans Pro-fallback&quot;, sans-serif"/>
        <color rgb="FF000000"/>
        <sz val="9.0"/>
      </rPr>
      <t>Anthony Ebhonuaye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</si>
  <si>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Ben Doherty</t>
    </r>
    <r>
      <rPr>
        <rFont val="&quot;Source Sans Pro&quot;, &quot;Source Sans Pro-fallback&quot;, sans-serif"/>
        <color theme="1"/>
        <sz val="9.0"/>
      </rPr>
      <t xml:space="preserve"> Left-Back</t>
    </r>
  </si>
  <si>
    <t>24/03/1997 (25)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</si>
  <si>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</si>
  <si>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Divin Isamala</t>
    </r>
    <r>
      <rPr>
        <rFont val="&quot;Source Sans Pro&quot;, &quot;Source Sans Pro-fallback&quot;, sans-serif"/>
        <color theme="1"/>
        <sz val="9.0"/>
      </rPr>
      <t xml:space="preserve"> Centre-Back</t>
    </r>
  </si>
  <si>
    <t>25/05/2003 (19)</t>
  </si>
  <si>
    <r>
      <rPr>
        <rFont val="&quot;Source Sans Pro&quot;, &quot;Source Sans Pro-fallback&quot;, sans-serif"/>
        <color rgb="FF000000"/>
        <sz val="9.0"/>
      </rPr>
      <t>Sean Keane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</si>
  <si>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Ciarán Coll</t>
    </r>
    <r>
      <rPr>
        <rFont val="&quot;Source Sans Pro&quot;, &quot;Source Sans Pro-fallback&quot;, sans-serif"/>
        <color theme="1"/>
        <sz val="9.0"/>
      </rPr>
      <t xml:space="preserve"> Left-Back</t>
    </r>
  </si>
  <si>
    <t>19/08/1991 (31)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</si>
  <si>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</si>
  <si>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Leigh Kavanagh</t>
    </r>
    <r>
      <rPr>
        <rFont val="&quot;Source Sans Pro&quot;, &quot;Source Sans Pro-fallback&quot;, sans-serif"/>
        <color theme="1"/>
        <sz val="9.0"/>
      </rPr>
      <t xml:space="preserve"> Centre-Back</t>
    </r>
  </si>
  <si>
    <t>27/12/2003 (19)</t>
  </si>
  <si>
    <r>
      <rPr>
        <rFont val="&quot;Source Sans Pro&quot;, &quot;Source Sans Pro-fallback&quot;, sans-serif"/>
        <color rgb="FF000000"/>
        <sz val="9.0"/>
      </rPr>
      <t>Ronan Mansfield</t>
    </r>
    <r>
      <rPr>
        <rFont val="&quot;Source Sans Pro&quot;, &quot;Source Sans Pro-fallback&quot;, sans-serif"/>
        <color theme="1"/>
        <sz val="9.0"/>
      </rPr>
      <t xml:space="preserve"> Centre-Back</t>
    </r>
  </si>
  <si>
    <t>06/12/2005 (17)</t>
  </si>
  <si>
    <r>
      <rPr>
        <rFont val="&quot;Source Sans Pro&quot;, &quot;Source Sans Pro-fallback&quot;, sans-serif"/>
        <color rgb="FF000000"/>
        <sz val="9.0"/>
      </rPr>
      <t>Andre Wisdom</t>
    </r>
    <r>
      <rPr>
        <rFont val="&quot;Source Sans Pro&quot;, &quot;Source Sans Pro-fallback&quot;, sans-serif"/>
        <color theme="1"/>
        <sz val="9.0"/>
      </rPr>
      <t xml:space="preserve"> Right-Back</t>
    </r>
  </si>
  <si>
    <t>09/05/1993 (29)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</si>
  <si>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</si>
  <si>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Declan Osagie</t>
    </r>
    <r>
      <rPr>
        <rFont val="&quot;Source Sans Pro&quot;, &quot;Source Sans Pro-fallback&quot;, sans-serif"/>
        <color theme="1"/>
        <sz val="9.0"/>
      </rPr>
      <t xml:space="preserve"> Centre-Back</t>
    </r>
  </si>
  <si>
    <t>20/05/2006 (16)</t>
  </si>
  <si>
    <r>
      <rPr>
        <rFont val="&quot;Source Sans Pro&quot;, &quot;Source Sans Pro-fallback&quot;, sans-serif"/>
        <color rgb="FF000000"/>
        <sz val="9.0"/>
      </rPr>
      <t>Adam Queally</t>
    </r>
    <r>
      <rPr>
        <rFont val="&quot;Source Sans Pro&quot;, &quot;Source Sans Pro-fallback&quot;, sans-serif"/>
        <color theme="1"/>
        <sz val="9.0"/>
      </rPr>
      <t xml:space="preserve"> Centre-Back</t>
    </r>
  </si>
  <si>
    <t>01/07/2006 (16)</t>
  </si>
  <si>
    <r>
      <rPr>
        <rFont val="&quot;Source Sans Pro&quot;, &quot;Source Sans Pro-fallback&quot;, sans-serif"/>
        <color rgb="FF000000"/>
        <sz val="9.0"/>
      </rPr>
      <t>Cameron Dummigan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Right-Back</t>
    </r>
  </si>
  <si>
    <t>02/06/1996 (26)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</si>
  <si>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</si>
  <si>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Jevon Mills</t>
    </r>
    <r>
      <rPr>
        <rFont val="&quot;Source Sans Pro&quot;, &quot;Source Sans Pro-fallback&quot;, sans-serif"/>
        <color theme="1"/>
        <sz val="9.0"/>
      </rPr>
      <t xml:space="preserve"> Centre-Back</t>
    </r>
  </si>
  <si>
    <t>27/09/2003 (19)</t>
  </si>
  <si>
    <r>
      <rPr>
        <rFont val="&quot;Source Sans Pro&quot;, &quot;Source Sans Pro-fallback&quot;, sans-serif"/>
        <color rgb="FF000000"/>
        <sz val="9.0"/>
      </rPr>
      <t>Dean Larkin</t>
    </r>
    <r>
      <rPr>
        <rFont val="&quot;Source Sans Pro&quot;, &quot;Source Sans Pro-fallback&quot;, sans-serif"/>
        <color theme="1"/>
        <sz val="9.0"/>
      </rPr>
      <t xml:space="preserve"> Centre-Back</t>
    </r>
  </si>
  <si>
    <t>12/06/2003 (19)</t>
  </si>
  <si>
    <r>
      <rPr>
        <rFont val="&quot;Source Sans Pro&quot;, &quot;Source Sans Pro-fallback&quot;, sans-serif"/>
        <color rgb="FF000000"/>
        <sz val="9.0"/>
      </rPr>
      <t>Ronan Boyce</t>
    </r>
    <r>
      <rPr>
        <rFont val="&quot;Source Sans Pro&quot;, &quot;Source Sans Pro-fallback&quot;, sans-serif"/>
        <color theme="1"/>
        <sz val="9.0"/>
      </rPr>
      <t xml:space="preserve"> Right-Back</t>
    </r>
  </si>
  <si>
    <t>12/05/2001 (21)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</si>
  <si>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</si>
  <si>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Jake Carroll</t>
    </r>
    <r>
      <rPr>
        <rFont val="&quot;Source Sans Pro&quot;, &quot;Source Sans Pro-fallback&quot;, sans-serif"/>
        <color theme="1"/>
        <sz val="9.0"/>
      </rPr>
      <t xml:space="preserve"> Left-Back</t>
    </r>
  </si>
  <si>
    <t>11/08/1991 (31)</t>
  </si>
  <si>
    <r>
      <rPr>
        <rFont val="&quot;Source Sans Pro&quot;, &quot;Source Sans Pro-fallback&quot;, sans-serif"/>
        <b/>
        <color rgb="FF1155CC"/>
        <sz val="9.0"/>
        <u/>
      </rPr>
      <t>€375k</t>
    </r>
  </si>
  <si>
    <r>
      <rPr>
        <rFont val="&quot;Source Sans Pro&quot;, &quot;Source Sans Pro-fallback&quot;, sans-serif"/>
        <color rgb="FF000000"/>
        <sz val="9.0"/>
      </rPr>
      <t>Robbie McCourt</t>
    </r>
    <r>
      <rPr>
        <rFont val="&quot;Source Sans Pro&quot;, &quot;Source Sans Pro-fallback&quot;, sans-serif"/>
        <color theme="1"/>
        <sz val="9.0"/>
      </rPr>
      <t xml:space="preserve"> Left-Back</t>
    </r>
  </si>
  <si>
    <t>06/04/1998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</si>
  <si>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</si>
  <si>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Conor Barr</t>
    </r>
    <r>
      <rPr>
        <rFont val="&quot;Source Sans Pro&quot;, &quot;Source Sans Pro-fallback&quot;, sans-serif"/>
        <color theme="1"/>
        <sz val="9.0"/>
      </rPr>
      <t xml:space="preserve"> Right-Back</t>
    </r>
  </si>
  <si>
    <t>19/12/2005 (17)</t>
  </si>
  <si>
    <r>
      <rPr>
        <rFont val="&quot;Source Sans Pro&quot;, &quot;Source Sans Pro-fallback&quot;, sans-serif"/>
        <color rgb="FF000000"/>
        <sz val="9.0"/>
      </rPr>
      <t>Paddy Kirk</t>
    </r>
    <r>
      <rPr>
        <rFont val="&quot;Source Sans Pro&quot;, &quot;Source Sans Pro-fallback&quot;, sans-serif"/>
        <color theme="1"/>
        <sz val="9.0"/>
      </rPr>
      <t xml:space="preserve"> Left-Back</t>
    </r>
  </si>
  <si>
    <t>02/06/1998 (24)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</si>
  <si>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</si>
  <si>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Ryan Burke</t>
    </r>
    <r>
      <rPr>
        <rFont val="&quot;Source Sans Pro&quot;, &quot;Source Sans Pro-fallback&quot;, sans-serif"/>
        <color theme="1"/>
        <sz val="9.0"/>
      </rPr>
      <t xml:space="preserve"> Left-Back</t>
    </r>
  </si>
  <si>
    <t>23/11/2000 (22)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</si>
  <si>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</si>
  <si>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Jacob Davenport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</si>
  <si>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28/12/1998 (24)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</si>
  <si>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</si>
  <si>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Jordan Flores</t>
    </r>
    <r>
      <rPr>
        <rFont val="&quot;Source Sans Pro&quot;, &quot;Source Sans Pro-fallback&quot;, sans-serif"/>
        <color theme="1"/>
        <sz val="9.0"/>
      </rPr>
      <t xml:space="preserve"> Left-Back</t>
    </r>
  </si>
  <si>
    <t>04/10/1995 (27)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</si>
  <si>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</si>
  <si>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Jesse Dempsey</t>
    </r>
    <r>
      <rPr>
        <rFont val="&quot;Source Sans Pro&quot;, &quot;Source Sans Pro-fallback&quot;, sans-serif"/>
        <color theme="1"/>
        <sz val="9.0"/>
      </rPr>
      <t xml:space="preserve"> Left-Back</t>
    </r>
  </si>
  <si>
    <t>15/01/2005 (17)</t>
  </si>
  <si>
    <r>
      <rPr>
        <rFont val="&quot;Source Sans Pro&quot;, &quot;Source Sans Pro-fallback&quot;, sans-serif"/>
        <color rgb="FF000000"/>
        <sz val="9.0"/>
      </rPr>
      <t>Sadou Diallo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</si>
  <si>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10/06/1999 (23)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</si>
  <si>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</si>
  <si>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Jake Hough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</si>
  <si>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color rgb="FF000000"/>
        <sz val="9.0"/>
      </rPr>
      <t>Shane Flynn</t>
    </r>
    <r>
      <rPr>
        <rFont val="&quot;Source Sans Pro&quot;, &quot;Source Sans Pro-fallback&quot;, sans-serif"/>
        <color theme="1"/>
        <sz val="9.0"/>
      </rPr>
      <t xml:space="preserve"> Left-Back</t>
    </r>
  </si>
  <si>
    <t>14/10/2001 (21)</t>
  </si>
  <si>
    <r>
      <rPr>
        <rFont val="&quot;Source Sans Pro&quot;, &quot;Source Sans Pro-fallback&quot;, sans-serif"/>
        <color rgb="FF000000"/>
        <sz val="9.0"/>
      </rPr>
      <t>Glenn McCourt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</si>
  <si>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15/06/2008 (14)</t>
  </si>
  <si>
    <r>
      <rPr>
        <rFont val="&quot;Source Sans Pro&quot;, &quot;Source Sans Pro-fallback&quot;, sans-serif"/>
        <color rgb="FF000000"/>
        <sz val="9.0"/>
      </rPr>
      <t>Sean McCarthy</t>
    </r>
    <r>
      <rPr>
        <rFont val="&quot;Source Sans Pro&quot;, &quot;Source Sans Pro-fallback&quot;, sans-serif"/>
        <color theme="1"/>
        <sz val="9.0"/>
      </rPr>
      <t xml:space="preserve"> Left-Back</t>
    </r>
  </si>
  <si>
    <t>22/03/2006 (16)</t>
  </si>
  <si>
    <r>
      <rPr>
        <rFont val="&quot;Source Sans Pro&quot;, &quot;Source Sans Pro-fallback&quot;, sans-serif"/>
        <color rgb="FF000000"/>
        <sz val="9.0"/>
      </rPr>
      <t>Darragh Power</t>
    </r>
    <r>
      <rPr>
        <rFont val="&quot;Source Sans Pro&quot;, &quot;Source Sans Pro-fallback&quot;, sans-serif"/>
        <color theme="1"/>
        <sz val="9.0"/>
      </rPr>
      <t xml:space="preserve"> Right-Back</t>
    </r>
  </si>
  <si>
    <t>29/12/2000 (22)</t>
  </si>
  <si>
    <r>
      <rPr>
        <rFont val="&quot;Source Sans Pro&quot;, &quot;Source Sans Pro-fallback&quot;, sans-serif"/>
        <color rgb="FF000000"/>
        <sz val="9.0"/>
      </rPr>
      <t>Callum McCay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</si>
  <si>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16/08/2006 (16)</t>
  </si>
  <si>
    <r>
      <rPr>
        <rFont val="&quot;Source Sans Pro&quot;, &quot;Source Sans Pro-fallback&quot;, sans-serif"/>
        <color rgb="FF000000"/>
        <sz val="9.0"/>
      </rPr>
      <t>Luke Matheson</t>
    </r>
    <r>
      <rPr>
        <rFont val="&quot;Source Sans Pro&quot;, &quot;Source Sans Pro-fallback&quot;, sans-serif"/>
        <color theme="1"/>
        <sz val="9.0"/>
      </rPr>
      <t xml:space="preserve"> Right-Back</t>
    </r>
  </si>
  <si>
    <t>03/10/2002 (20)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</si>
  <si>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</si>
  <si>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color rgb="FF000000"/>
        <sz val="9.0"/>
      </rPr>
      <t>Joseph Forde</t>
    </r>
    <r>
      <rPr>
        <rFont val="&quot;Source Sans Pro&quot;, &quot;Source Sans Pro-fallback&quot;, sans-serif"/>
        <color theme="1"/>
        <sz val="9.0"/>
      </rPr>
      <t xml:space="preserve"> Right-Back</t>
    </r>
  </si>
  <si>
    <t>28/12/2003 (19)</t>
  </si>
  <si>
    <r>
      <rPr>
        <rFont val="&quot;Source Sans Pro&quot;, &quot;Source Sans Pro-fallback&quot;, sans-serif"/>
        <color rgb="FF000000"/>
        <sz val="9.0"/>
      </rPr>
      <t>Adam O'Reilly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</si>
  <si>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11/05/2001 (21)</t>
  </si>
  <si>
    <r>
      <rPr>
        <rFont val="&quot;Source Sans Pro&quot;, &quot;Source Sans Pro-fallback&quot;, sans-serif"/>
        <b/>
        <color rgb="FF1155CC"/>
        <sz val="9.0"/>
        <u/>
      </rPr>
      <t>€400k</t>
    </r>
  </si>
  <si>
    <r>
      <rPr>
        <rFont val="&quot;Source Sans Pro&quot;, &quot;Source Sans Pro-fallback&quot;, sans-serif"/>
        <color rgb="FF000000"/>
        <sz val="9.0"/>
      </rPr>
      <t>Liam Smith</t>
    </r>
    <r>
      <rPr>
        <rFont val="&quot;Source Sans Pro&quot;, &quot;Source Sans Pro-fallback&quot;, sans-serif"/>
        <color theme="1"/>
        <sz val="9.0"/>
      </rPr>
      <t xml:space="preserve"> Right-Back</t>
    </r>
  </si>
  <si>
    <t>10/04/1996 (26)</t>
  </si>
  <si>
    <r>
      <rPr>
        <rFont val="&quot;Source Sans Pro&quot;, &quot;Source Sans Pro-fallback&quot;, sans-serif"/>
        <b/>
        <color rgb="FF1155CC"/>
        <sz val="9.0"/>
        <u/>
      </rPr>
      <t>€550k</t>
    </r>
  </si>
  <si>
    <r>
      <rPr>
        <rFont val="&quot;Source Sans Pro&quot;, &quot;Source Sans Pro-fallback&quot;, sans-serif"/>
        <color rgb="FF000000"/>
        <sz val="9.0"/>
      </rPr>
      <t>Shane O'Sullivan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</si>
  <si>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r>
      <rPr>
        <rFont val="&quot;Source Sans Pro&quot;, &quot;Source Sans Pro-fallback&quot;, sans-serif"/>
        <color rgb="FF000000"/>
        <sz val="9.0"/>
      </rPr>
      <t>Will Patching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</si>
  <si>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18/10/1998 (24)</t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</si>
  <si>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</si>
  <si>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r>
      <rPr>
        <rFont val="&quot;Source Sans Pro&quot;, &quot;Source Sans Pro-fallback&quot;, sans-serif"/>
        <color rgb="FF000000"/>
        <sz val="9.0"/>
      </rPr>
      <t>Michael Lilander</t>
    </r>
    <r>
      <rPr>
        <rFont val="&quot;Source Sans Pro&quot;, &quot;Source Sans Pro-fallback&quot;, sans-serif"/>
        <color theme="1"/>
        <sz val="9.0"/>
      </rPr>
      <t xml:space="preserve"> Right-Back</t>
    </r>
  </si>
  <si>
    <t>20/06/1997 (25)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</si>
  <si>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</si>
  <si>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Rowan McDonald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</si>
  <si>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20/10/2001 (21)</t>
  </si>
  <si>
    <r>
      <rPr>
        <rFont val="&quot;Source Sans Pro&quot;, &quot;Source Sans Pro-fallback&quot;, sans-serif"/>
        <color rgb="FF000000"/>
        <sz val="9.0"/>
      </rPr>
      <t>Jordan McEneff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</si>
  <si>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08/01/2001 (21)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</si>
  <si>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</si>
  <si>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Finn Cowper Gray</t>
    </r>
    <r>
      <rPr>
        <rFont val="&quot;Source Sans Pro&quot;, &quot;Source Sans Pro-fallback&quot;, sans-serif"/>
        <color theme="1"/>
        <sz val="9.0"/>
      </rPr>
      <t xml:space="preserve"> Right-Back</t>
    </r>
  </si>
  <si>
    <t>02/02/2005 (17)</t>
  </si>
  <si>
    <r>
      <rPr>
        <rFont val="&quot;Source Sans Pro&quot;, &quot;Source Sans Pro-fallback&quot;, sans-serif"/>
        <color rgb="FF000000"/>
        <sz val="9.0"/>
      </rPr>
      <t>Mikey Carroll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</si>
  <si>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27/06/2006 (16)</t>
  </si>
  <si>
    <r>
      <rPr>
        <rFont val="&quot;Source Sans Pro&quot;, &quot;Source Sans Pro-fallback&quot;, sans-serif"/>
        <color rgb="FF000000"/>
        <sz val="9.0"/>
      </rPr>
      <t>Ciaron Harkin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</si>
  <si>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15/01/1996 (26)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</si>
  <si>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</si>
  <si>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Pharrell Manuel</t>
    </r>
    <r>
      <rPr>
        <rFont val="&quot;Source Sans Pro&quot;, &quot;Source Sans Pro-fallback&quot;, sans-serif"/>
        <color theme="1"/>
        <sz val="9.0"/>
      </rPr>
      <t xml:space="preserve"> Right-Back</t>
    </r>
  </si>
  <si>
    <t>12/03/2005 (17)</t>
  </si>
  <si>
    <r>
      <rPr>
        <rFont val="&quot;Source Sans Pro&quot;, &quot;Source Sans Pro-fallback&quot;, sans-serif"/>
        <color rgb="FF000000"/>
        <sz val="9.0"/>
      </rPr>
      <t>Dylan Warren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</si>
  <si>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Luke O'Donnell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</si>
  <si>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27/06/2007 (15)</t>
  </si>
  <si>
    <r>
      <rPr>
        <rFont val="&quot;Source Sans Pro&quot;, &quot;Source Sans Pro-fallback&quot;, sans-serif"/>
        <color rgb="FF000000"/>
        <sz val="9.0"/>
      </rPr>
      <t>Sean Moore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</si>
  <si>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08/03/2007 (15)</t>
  </si>
  <si>
    <r>
      <rPr>
        <rFont val="&quot;Source Sans Pro&quot;, &quot;Source Sans Pro-fallback&quot;, sans-serif"/>
        <color rgb="FF000000"/>
        <sz val="9.0"/>
      </rPr>
      <t>Harvey Macadam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</si>
  <si>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09/01/2001 (21)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</si>
  <si>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</si>
  <si>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Paul McMullan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</si>
  <si>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25/02/1996 (26)</t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</si>
  <si>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</si>
  <si>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r>
      <rPr>
        <rFont val="&quot;Source Sans Pro&quot;, &quot;Source Sans Pro-fallback&quot;, sans-serif"/>
        <color rgb="FF000000"/>
        <sz val="9.0"/>
      </rPr>
      <t>Ross Tierney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</si>
  <si>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06/03/2001 (21)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</si>
  <si>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</si>
  <si>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Ben McCormack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</si>
  <si>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04/04/2003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</si>
  <si>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</si>
  <si>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Sean Robertson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</si>
  <si>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06/06/2001 (21)</t>
  </si>
  <si>
    <r>
      <rPr>
        <rFont val="&quot;Source Sans Pro&quot;, &quot;Source Sans Pro-fallback&quot;, sans-serif"/>
        <color rgb="FF000000"/>
        <sz val="9.0"/>
      </rPr>
      <t>Dawson Devoy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</si>
  <si>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20/11/2001 (21)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</si>
  <si>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</si>
  <si>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Sam Glenfield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</si>
  <si>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10/05/2005 (17)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</si>
  <si>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</si>
  <si>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Patrick McEleney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</si>
  <si>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26/09/1992 (30)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</si>
  <si>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</si>
  <si>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Adam McDonnell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</si>
  <si>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14/05/1997 (25)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</si>
  <si>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</si>
  <si>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Niall O'Keeffe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</si>
  <si>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30/04/2001 (21)</t>
  </si>
  <si>
    <r>
      <rPr>
        <rFont val="&quot;Source Sans Pro&quot;, &quot;Source Sans Pro-fallback&quot;, sans-serif"/>
        <color rgb="FF000000"/>
        <sz val="9.0"/>
      </rPr>
      <t>Brandon Kavanagh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</si>
  <si>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21/09/2000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</si>
  <si>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</si>
  <si>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Keith Buckley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</si>
  <si>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17/06/1992 (30)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</si>
  <si>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</si>
  <si>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Barry Baggley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</si>
  <si>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11/01/2002 (20)</t>
  </si>
  <si>
    <r>
      <rPr>
        <rFont val="&quot;Source Sans Pro&quot;, &quot;Source Sans Pro-fallback&quot;, sans-serif"/>
        <color rgb="FF000000"/>
        <sz val="9.0"/>
      </rPr>
      <t>Tiernan McGinty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</si>
  <si>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23/01/2006 (16)</t>
  </si>
  <si>
    <r>
      <rPr>
        <rFont val="&quot;Source Sans Pro&quot;, &quot;Source Sans Pro-fallback&quot;, sans-serif"/>
        <color rgb="FF000000"/>
        <sz val="9.0"/>
      </rPr>
      <t>James McManus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</si>
  <si>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16/03/2005 (17)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</si>
  <si>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</si>
  <si>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Baasit Ishola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</si>
  <si>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09/11/2005 (17)</t>
  </si>
  <si>
    <r>
      <rPr>
        <rFont val="&quot;Source Sans Pro&quot;, &quot;Source Sans Pro-fallback&quot;, sans-serif"/>
        <color rgb="FF000000"/>
        <sz val="9.0"/>
      </rPr>
      <t>Aaron Heaney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</si>
  <si>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09/08/2004 (18)</t>
  </si>
  <si>
    <r>
      <rPr>
        <rFont val="&quot;Source Sans Pro&quot;, &quot;Source Sans Pro-fallback&quot;, sans-serif"/>
        <color rgb="FF000000"/>
        <sz val="9.0"/>
      </rPr>
      <t>Brian McManus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</si>
  <si>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29/11/2001 (21)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</si>
  <si>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</si>
  <si>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Romeo Akachukwu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</si>
  <si>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28/07/2006 (16)</t>
  </si>
  <si>
    <r>
      <rPr>
        <rFont val="&quot;Source Sans Pro&quot;, &quot;Source Sans Pro-fallback&quot;, sans-serif"/>
        <color rgb="FF000000"/>
        <sz val="9.0"/>
      </rPr>
      <t>Callum Doherty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</si>
  <si>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22/10/2007 (15)</t>
  </si>
  <si>
    <r>
      <rPr>
        <rFont val="&quot;Source Sans Pro&quot;, &quot;Source Sans Pro-fallback&quot;, sans-serif"/>
        <color rgb="FF000000"/>
        <sz val="9.0"/>
      </rPr>
      <t>Sean McMahon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</si>
  <si>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color rgb="FF000000"/>
        <sz val="9.0"/>
      </rPr>
      <t>Calum Flynn</t>
    </r>
    <r>
      <rPr>
        <rFont val="&quot;Source Sans Pro&quot;, &quot;Source Sans Pro-fallback&quot;, sans-serif"/>
        <color theme="1"/>
        <sz val="9.0"/>
      </rPr>
      <t xml:space="preserve"> Left Midfield</t>
    </r>
  </si>
  <si>
    <t>28/08/2005 (17)</t>
  </si>
  <si>
    <r>
      <rPr>
        <rFont val="&quot;Source Sans Pro&quot;, &quot;Source Sans Pro-fallback&quot;, sans-serif"/>
        <color rgb="FF000000"/>
        <sz val="9.0"/>
      </rPr>
      <t>Michael Duffy</t>
    </r>
    <r>
      <rPr>
        <rFont val="&quot;Source Sans Pro&quot;, &quot;Source Sans Pro-fallback&quot;, sans-serif"/>
        <color theme="1"/>
        <sz val="9.0"/>
      </rPr>
      <t xml:space="preserve"> Left Winger</t>
    </r>
  </si>
  <si>
    <t>28/07/1994 (28)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</si>
  <si>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</si>
  <si>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Shane Tracey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</si>
  <si>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04/04/2006 (16)</t>
  </si>
  <si>
    <r>
      <rPr>
        <rFont val="&quot;Source Sans Pro&quot;, &quot;Source Sans Pro-fallback&quot;, sans-serif"/>
        <color rgb="FF000000"/>
        <sz val="9.0"/>
      </rPr>
      <t>Kyle White</t>
    </r>
    <r>
      <rPr>
        <rFont val="&quot;Source Sans Pro&quot;, &quot;Source Sans Pro-fallback&quot;, sans-serif"/>
        <color theme="1"/>
        <sz val="9.0"/>
      </rPr>
      <t xml:space="preserve"> Left Midfield</t>
    </r>
  </si>
  <si>
    <t>25/03/2004 (18)</t>
  </si>
  <si>
    <r>
      <rPr>
        <rFont val="&quot;Source Sans Pro&quot;, &quot;Source Sans Pro-fallback&quot;, sans-serif"/>
        <color rgb="FF000000"/>
        <sz val="9.0"/>
      </rPr>
      <t>Daniel Kelly</t>
    </r>
    <r>
      <rPr>
        <rFont val="&quot;Source Sans Pro&quot;, &quot;Source Sans Pro-fallback&quot;, sans-serif"/>
        <color theme="1"/>
        <sz val="9.0"/>
      </rPr>
      <t xml:space="preserve"> Right Winger</t>
    </r>
  </si>
  <si>
    <t>21/05/1996 (26)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</si>
  <si>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</si>
  <si>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Billy Gilmore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</si>
  <si>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13/06/2005 (17)</t>
  </si>
  <si>
    <r>
      <rPr>
        <rFont val="&quot;Source Sans Pro&quot;, &quot;Source Sans Pro-fallback&quot;, sans-serif"/>
        <color rgb="FF000000"/>
        <sz val="9.0"/>
      </rPr>
      <t>Dean McMenamy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</si>
  <si>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04/04/2002 (20)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</si>
  <si>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</si>
  <si>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Danny Mullen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</si>
  <si>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01/03/1995 (27)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</si>
  <si>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</si>
  <si>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Danny Grant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</si>
  <si>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23/12/1999 (23)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</si>
  <si>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</si>
  <si>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Kacper Skwierczynski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</si>
  <si>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11/01/2003 (19)</t>
  </si>
  <si>
    <r>
      <rPr>
        <rFont val="&quot;Source Sans Pro&quot;, &quot;Source Sans Pro-fallback&quot;, sans-serif"/>
        <color rgb="FF000000"/>
        <sz val="9.0"/>
      </rPr>
      <t>Jamie McGonigle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</si>
  <si>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05/03/1996 (26)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</si>
  <si>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</si>
  <si>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Bartlomiej Kukulowicz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</si>
  <si>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11/10/2000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</si>
  <si>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</si>
  <si>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Connor Parsons</t>
    </r>
    <r>
      <rPr>
        <rFont val="&quot;Source Sans Pro&quot;, &quot;Source Sans Pro-fallback&quot;, sans-serif"/>
        <color theme="1"/>
        <sz val="9.0"/>
      </rPr>
      <t xml:space="preserve"> Left Winger</t>
    </r>
  </si>
  <si>
    <t>26/10/2000 (22)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</si>
  <si>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</si>
  <si>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Pat Hoban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</si>
  <si>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28/07/1991 (31)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</si>
  <si>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</si>
  <si>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Viktors Ohvovoriole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</si>
  <si>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14/11/2006 (16)</t>
  </si>
  <si>
    <r>
      <rPr>
        <rFont val="&quot;Source Sans Pro&quot;, &quot;Source Sans Pro-fallback&quot;, sans-serif"/>
        <color rgb="FF000000"/>
        <sz val="9.0"/>
      </rPr>
      <t>Cameron Cresswell</t>
    </r>
    <r>
      <rPr>
        <rFont val="&quot;Source Sans Pro&quot;, &quot;Source Sans Pro-fallback&quot;, sans-serif"/>
        <color theme="1"/>
        <sz val="9.0"/>
      </rPr>
      <t xml:space="preserve"> Left Winger</t>
    </r>
  </si>
  <si>
    <t>12/09/1999 (23)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</si>
  <si>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</si>
  <si>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Colm Whelan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</si>
  <si>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29/06/2000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</si>
  <si>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</si>
  <si>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Hugh Smith</t>
    </r>
    <r>
      <rPr>
        <rFont val="&quot;Source Sans Pro&quot;, &quot;Source Sans Pro-fallback&quot;, sans-serif"/>
        <color theme="1"/>
        <sz val="9.0"/>
      </rPr>
      <t xml:space="preserve"> Right Midfield</t>
    </r>
  </si>
  <si>
    <r>
      <rPr>
        <rFont val="&quot;Source Sans Pro&quot;, &quot;Source Sans Pro-fallback&quot;, sans-serif"/>
        <color rgb="FF000000"/>
        <sz val="9.0"/>
      </rPr>
      <t>Maleace Asamoah</t>
    </r>
    <r>
      <rPr>
        <rFont val="&quot;Source Sans Pro&quot;, &quot;Source Sans Pro-fallback&quot;, sans-serif"/>
        <color theme="1"/>
        <sz val="9.0"/>
      </rPr>
      <t xml:space="preserve"> Right Winger</t>
    </r>
  </si>
  <si>
    <t>15/11/2002 (20)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</si>
  <si>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</si>
  <si>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Cian Kavanagh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</si>
  <si>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03/01/2003 (19)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</si>
  <si>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</si>
  <si>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Rhys Brennan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</si>
  <si>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15/06/2006 (16)</t>
  </si>
  <si>
    <r>
      <rPr>
        <rFont val="&quot;Source Sans Pro&quot;, &quot;Source Sans Pro-fallback&quot;, sans-serif"/>
        <color rgb="FF000000"/>
        <sz val="9.0"/>
      </rPr>
      <t>Anthony Adenopo</t>
    </r>
    <r>
      <rPr>
        <rFont val="&quot;Source Sans Pro&quot;, &quot;Source Sans Pro-fallback&quot;, sans-serif"/>
        <color theme="1"/>
        <sz val="9.0"/>
      </rPr>
      <t xml:space="preserve"> Right Winger</t>
    </r>
  </si>
  <si>
    <t>03/12/2004 (18)</t>
  </si>
  <si>
    <r>
      <rPr>
        <rFont val="&quot;Source Sans Pro&quot;, &quot;Source Sans Pro-fallback&quot;, sans-serif"/>
        <color rgb="FF000000"/>
        <sz val="9.0"/>
      </rPr>
      <t>Sean Patton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</si>
  <si>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25/07/2006 (16)</t>
  </si>
  <si>
    <r>
      <rPr>
        <rFont val="&quot;Source Sans Pro&quot;, &quot;Source Sans Pro-fallback&quot;, sans-serif"/>
        <color rgb="FF000000"/>
        <sz val="9.0"/>
      </rPr>
      <t>Declan McDaid</t>
    </r>
    <r>
      <rPr>
        <rFont val="&quot;Source Sans Pro&quot;, &quot;Source Sans Pro-fallback&quot;, sans-serif"/>
        <color theme="1"/>
        <sz val="9.0"/>
      </rPr>
      <t xml:space="preserve"> Left Midfield</t>
    </r>
  </si>
  <si>
    <t>22/11/1995 (27)</t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</si>
  <si>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</si>
  <si>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r>
      <rPr>
        <rFont val="&quot;Source Sans Pro&quot;, &quot;Source Sans Pro-fallback&quot;, sans-serif"/>
        <color rgb="FF000000"/>
        <sz val="9.0"/>
      </rPr>
      <t>Christie Pattisson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Right Winger</t>
    </r>
  </si>
  <si>
    <t>14/04/1997 (25)</t>
  </si>
  <si>
    <r>
      <rPr>
        <rFont val="&quot;Source Sans Pro&quot;, &quot;Source Sans Pro-fallback&quot;, sans-serif"/>
        <color rgb="FF000000"/>
        <sz val="9.0"/>
      </rPr>
      <t>Martin Miller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</si>
  <si>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25/09/1997 (25)</t>
  </si>
  <si>
    <r>
      <rPr>
        <rFont val="&quot;Source Sans Pro&quot;, &quot;Source Sans Pro-fallback&quot;, sans-serif"/>
        <b/>
        <color rgb="FF1155CC"/>
        <sz val="9.0"/>
        <u/>
      </rPr>
      <t>€325k</t>
    </r>
  </si>
  <si>
    <r>
      <rPr>
        <rFont val="&quot;Source Sans Pro&quot;, &quot;Source Sans Pro-fallback&quot;, sans-serif"/>
        <color rgb="FF000000"/>
        <sz val="9.0"/>
      </rPr>
      <t>Padraig Amond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</si>
  <si>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15/04/1988 (34)</t>
  </si>
  <si>
    <r>
      <rPr>
        <rFont val="&quot;Source Sans Pro&quot;, &quot;Source Sans Pro-fallback&quot;, sans-serif"/>
        <color rgb="FF000000"/>
        <sz val="9.0"/>
      </rPr>
      <t>Archie Meekison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</si>
  <si>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04/05/2002 (20)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</si>
  <si>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</si>
  <si>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color rgb="FF000000"/>
        <sz val="9.0"/>
      </rPr>
      <t>Evan Geary</t>
    </r>
    <r>
      <rPr>
        <rFont val="&quot;Source Sans Pro&quot;, &quot;Source Sans Pro-fallback&quot;, sans-serif"/>
        <color theme="1"/>
        <sz val="9.0"/>
      </rPr>
      <t xml:space="preserve"> Striker</t>
    </r>
  </si>
  <si>
    <r>
      <rPr>
        <rFont val="&quot;Source Sans Pro&quot;, &quot;Source Sans Pro-fallback&quot;, sans-serif"/>
        <color rgb="FF000000"/>
        <sz val="9.0"/>
      </rPr>
      <t>James Clarke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</si>
  <si>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28/01/2001 (21)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</si>
  <si>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</si>
  <si>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Connor Evans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</si>
  <si>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Markuss Strods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</si>
  <si>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05/10/2006 (16)</t>
  </si>
  <si>
    <r>
      <rPr>
        <rFont val="&quot;Source Sans Pro&quot;, &quot;Source Sans Pro-fallback&quot;, sans-serif"/>
        <color rgb="FF000000"/>
        <sz val="9.0"/>
      </rPr>
      <t>Sam Bellis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</si>
  <si>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30/12/2002 (20)</t>
  </si>
  <si>
    <r>
      <rPr>
        <rFont val="&quot;Source Sans Pro&quot;, &quot;Source Sans Pro-fallback&quot;, sans-serif"/>
        <color rgb="FF000000"/>
        <sz val="9.0"/>
      </rPr>
      <t>Christopher Conlon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</si>
  <si>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21/04/2007 (15)</t>
  </si>
  <si>
    <r>
      <rPr>
        <rFont val="&quot;Source Sans Pro&quot;, &quot;Source Sans Pro-fallback&quot;, sans-serif"/>
        <color rgb="FF000000"/>
        <sz val="9.0"/>
      </rPr>
      <t>Zak O'Sullivan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</si>
  <si>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26/04/2007 (15)</t>
  </si>
  <si>
    <r>
      <rPr>
        <rFont val="&quot;Source Sans Pro&quot;, &quot;Source Sans Pro-fallback&quot;, sans-serif"/>
        <color rgb="FF000000"/>
        <sz val="9.0"/>
      </rPr>
      <t>Dayle Rooney</t>
    </r>
    <r>
      <rPr>
        <rFont val="&quot;Source Sans Pro&quot;, &quot;Source Sans Pro-fallback&quot;, sans-serif"/>
        <color theme="1"/>
        <sz val="9.0"/>
      </rPr>
      <t xml:space="preserve"> Left Winger</t>
    </r>
  </si>
  <si>
    <t>24/02/1998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</si>
  <si>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</si>
  <si>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Gbemi Arubi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</si>
  <si>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26/05/2004 (18)</t>
  </si>
  <si>
    <r>
      <rPr>
        <rFont val="&quot;Source Sans Pro&quot;, &quot;Source Sans Pro-fallback&quot;, sans-serif"/>
        <color rgb="FF000000"/>
        <sz val="9.0"/>
      </rPr>
      <t>Chris Lotefa</t>
    </r>
    <r>
      <rPr>
        <rFont val="&quot;Source Sans Pro&quot;, &quot;Source Sans Pro-fallback&quot;, sans-serif"/>
        <color theme="1"/>
        <sz val="9.0"/>
      </rPr>
      <t xml:space="preserve"> Left Winger</t>
    </r>
  </si>
  <si>
    <t>08/08/2004 (18)</t>
  </si>
  <si>
    <r>
      <rPr>
        <rFont val="&quot;Source Sans Pro&quot;, &quot;Source Sans Pro-fallback&quot;, sans-serif"/>
        <color rgb="FF000000"/>
        <sz val="9.0"/>
      </rPr>
      <t>Calum Costello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</si>
  <si>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11/05/2006 (16)</t>
  </si>
  <si>
    <r>
      <rPr>
        <rFont val="&quot;Source Sans Pro&quot;, &quot;Source Sans Pro-fallback&quot;, sans-serif"/>
        <color rgb="FF000000"/>
        <sz val="9.0"/>
      </rPr>
      <t>Nickson Okosun</t>
    </r>
    <r>
      <rPr>
        <rFont val="&quot;Source Sans Pro&quot;, &quot;Source Sans Pro-fallback&quot;, sans-serif"/>
        <color theme="1"/>
        <sz val="9.0"/>
      </rPr>
      <t xml:space="preserve"> Left Winger</t>
    </r>
  </si>
  <si>
    <t>21/11/2006 (16)</t>
  </si>
  <si>
    <r>
      <rPr>
        <rFont val="&quot;Source Sans Pro&quot;, &quot;Source Sans Pro-fallback&quot;, sans-serif"/>
        <color rgb="FF000000"/>
        <sz val="9.0"/>
      </rPr>
      <t>Dylan Connolly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Right Winger</t>
    </r>
  </si>
  <si>
    <t>02/05/1995 (27)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</si>
  <si>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</si>
  <si>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Alex Greive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</si>
  <si>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13/05/1999 (23)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</si>
  <si>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</si>
  <si>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Sten Reinkort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</si>
  <si>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29/04/1998 (24)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</si>
  <si>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</si>
  <si>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Filip Piszczek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</si>
  <si>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26/05/1995 (27)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</si>
  <si>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</si>
  <si>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James Akintunde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</si>
  <si>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29/03/1996 (26)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</si>
  <si>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</si>
  <si>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Onesime Tembe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</si>
  <si>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14/09/2004 (18)</t>
  </si>
  <si>
    <r>
      <rPr>
        <rFont val="&quot;Source Sans Pro&quot;, &quot;Source Sans Pro-fallback&quot;, sans-serif"/>
        <color rgb="FF000000"/>
        <sz val="9.0"/>
      </rPr>
      <t>Taylor Mooney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</si>
  <si>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16/04/2006 (16)</t>
  </si>
  <si>
    <r>
      <rPr>
        <rFont val="&quot;Source Sans Pro&quot;, &quot;Source Sans Pro-fallback&quot;, sans-serif"/>
        <color rgb="FF000000"/>
        <sz val="9.0"/>
      </rPr>
      <t>Jethren Barr</t>
    </r>
    <r>
      <rPr>
        <rFont val="&quot;Source Sans Pro&quot;, &quot;Source Sans Pro-fallback&quot;, sans-serif"/>
        <color theme="1"/>
        <sz val="9.0"/>
      </rPr>
      <t xml:space="preserve"> Goalkeeper</t>
    </r>
  </si>
  <si>
    <t>13/09/1995 (27)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</si>
  <si>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</si>
  <si>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Nathan Shepperd</t>
    </r>
    <r>
      <rPr>
        <rFont val="&quot;Source Sans Pro&quot;, &quot;Source Sans Pro-fallback&quot;, sans-serif"/>
        <color theme="1"/>
        <sz val="9.0"/>
      </rPr>
      <t xml:space="preserve"> Goalkeeper</t>
    </r>
  </si>
  <si>
    <t>10/09/2000 (22)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</si>
  <si>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</si>
  <si>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Brendan Clarke</t>
    </r>
    <r>
      <rPr>
        <rFont val="&quot;Source Sans Pro&quot;, &quot;Source Sans Pro-fallback&quot;, sans-serif"/>
        <color theme="1"/>
        <sz val="9.0"/>
      </rPr>
      <t xml:space="preserve"> Goalkeeper</t>
    </r>
  </si>
  <si>
    <t>17/09/1985 (37)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</si>
  <si>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</si>
  <si>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Andrew Wogan</t>
    </r>
    <r>
      <rPr>
        <rFont val="&quot;Source Sans Pro&quot;, &quot;Source Sans Pro-fallback&quot;, sans-serif"/>
        <color theme="1"/>
        <sz val="9.0"/>
      </rPr>
      <t xml:space="preserve"> Goalkeeper</t>
    </r>
  </si>
  <si>
    <t>01/12/2005 (17)</t>
  </si>
  <si>
    <r>
      <rPr>
        <rFont val="&quot;Source Sans Pro&quot;, &quot;Source Sans Pro-fallback&quot;, sans-serif"/>
        <color rgb="FF000000"/>
        <sz val="9.0"/>
      </rPr>
      <t>Ross Munro</t>
    </r>
    <r>
      <rPr>
        <rFont val="&quot;Source Sans Pro&quot;, &quot;Source Sans Pro-fallback&quot;, sans-serif"/>
        <color theme="1"/>
        <sz val="9.0"/>
      </rPr>
      <t xml:space="preserve"> Goalkeeper</t>
    </r>
  </si>
  <si>
    <t>01/04/2000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</si>
  <si>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</si>
  <si>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Jack Brady</t>
    </r>
    <r>
      <rPr>
        <rFont val="&quot;Source Sans Pro&quot;, &quot;Source Sans Pro-fallback&quot;, sans-serif"/>
        <color theme="1"/>
        <sz val="9.0"/>
      </rPr>
      <t xml:space="preserve"> Goalkeeper</t>
    </r>
  </si>
  <si>
    <t>17/12/1996 (26)</t>
  </si>
  <si>
    <r>
      <rPr>
        <rFont val="&quot;Source Sans Pro&quot;, &quot;Source Sans Pro-fallback&quot;, sans-serif"/>
        <color rgb="FF000000"/>
        <sz val="9.0"/>
      </rPr>
      <t>Ryan Maher</t>
    </r>
    <r>
      <rPr>
        <rFont val="&quot;Source Sans Pro&quot;, &quot;Source Sans Pro-fallback&quot;, sans-serif"/>
        <color theme="1"/>
        <sz val="9.0"/>
      </rPr>
      <t xml:space="preserve"> Goalkeeper</t>
    </r>
  </si>
  <si>
    <t>29/07/2006 (16)</t>
  </si>
  <si>
    <r>
      <rPr>
        <rFont val="&quot;Source Sans Pro&quot;, &quot;Source Sans Pro-fallback&quot;, sans-serif"/>
        <color rgb="FF000000"/>
        <sz val="9.0"/>
      </rPr>
      <t>Peter Cherrie</t>
    </r>
    <r>
      <rPr>
        <rFont val="&quot;Source Sans Pro&quot;, &quot;Source Sans Pro-fallback&quot;, sans-serif"/>
        <color theme="1"/>
        <sz val="9.0"/>
      </rPr>
      <t xml:space="preserve"> Goalkeeper</t>
    </r>
  </si>
  <si>
    <t>01/10/1983 (39)</t>
  </si>
  <si>
    <r>
      <rPr>
        <rFont val="&quot;Source Sans Pro&quot;, &quot;Source Sans Pro-fallback&quot;, sans-serif"/>
        <b/>
        <color rgb="FF1155CC"/>
        <sz val="9.0"/>
        <u/>
      </rPr>
      <t>€10k</t>
    </r>
  </si>
  <si>
    <r>
      <rPr>
        <rFont val="&quot;Source Sans Pro&quot;, &quot;Source Sans Pro-fallback&quot;, sans-serif"/>
        <color rgb="FF000000"/>
        <sz val="9.0"/>
      </rPr>
      <t>Joe Wright</t>
    </r>
    <r>
      <rPr>
        <rFont val="&quot;Source Sans Pro&quot;, &quot;Source Sans Pro-fallback&quot;, sans-serif"/>
        <color theme="1"/>
        <sz val="9.0"/>
      </rPr>
      <t xml:space="preserve"> Goalkeeper</t>
    </r>
  </si>
  <si>
    <t>10/04/2001 (21)</t>
  </si>
  <si>
    <r>
      <rPr>
        <rFont val="&quot;Source Sans Pro&quot;, &quot;Source Sans Pro-fallback&quot;, sans-serif"/>
        <color rgb="FF000000"/>
        <sz val="9.0"/>
      </rPr>
      <t>Luke Dennison</t>
    </r>
    <r>
      <rPr>
        <rFont val="&quot;Source Sans Pro&quot;, &quot;Source Sans Pro-fallback&quot;, sans-serif"/>
        <color theme="1"/>
        <sz val="9.0"/>
      </rPr>
      <t xml:space="preserve"> Goalkeeper</t>
    </r>
  </si>
  <si>
    <r>
      <rPr>
        <rFont val="&quot;Source Sans Pro&quot;, &quot;Source Sans Pro-fallback&quot;, sans-serif"/>
        <color rgb="FF000000"/>
        <sz val="9.0"/>
      </rPr>
      <t>Mark Byrne</t>
    </r>
    <r>
      <rPr>
        <rFont val="&quot;Source Sans Pro&quot;, &quot;Source Sans Pro-fallback&quot;, sans-serif"/>
        <color theme="1"/>
        <sz val="9.0"/>
      </rPr>
      <t xml:space="preserve"> Goalkeeper</t>
    </r>
  </si>
  <si>
    <t>15/09/2000 (22)</t>
  </si>
  <si>
    <r>
      <rPr>
        <rFont val="&quot;Source Sans Pro&quot;, &quot;Source Sans Pro-fallback&quot;, sans-serif"/>
        <color rgb="FF000000"/>
        <sz val="9.0"/>
      </rPr>
      <t>Kieran McDonagh</t>
    </r>
    <r>
      <rPr>
        <rFont val="&quot;Source Sans Pro&quot;, &quot;Source Sans Pro-fallback&quot;, sans-serif"/>
        <color theme="1"/>
        <sz val="9.0"/>
      </rPr>
      <t xml:space="preserve"> Goalkeeper</t>
    </r>
  </si>
  <si>
    <t>05/04/2005 (17)</t>
  </si>
  <si>
    <r>
      <rPr>
        <rFont val="&quot;Source Sans Pro&quot;, &quot;Source Sans Pro-fallback&quot;, sans-serif"/>
        <color rgb="FF000000"/>
        <sz val="9.0"/>
      </rPr>
      <t>Finn Moore</t>
    </r>
    <r>
      <rPr>
        <rFont val="&quot;Source Sans Pro&quot;, &quot;Source Sans Pro-fallback&quot;, sans-serif"/>
        <color theme="1"/>
        <sz val="9.0"/>
      </rPr>
      <t xml:space="preserve"> Goalkeeper</t>
    </r>
  </si>
  <si>
    <t>03/04/2006 (16)</t>
  </si>
  <si>
    <r>
      <rPr>
        <rFont val="&quot;Source Sans Pro&quot;, &quot;Source Sans Pro-fallback&quot;, sans-serif"/>
        <color rgb="FF000000"/>
        <sz val="9.0"/>
      </rPr>
      <t>George Shelvey</t>
    </r>
    <r>
      <rPr>
        <rFont val="&quot;Source Sans Pro&quot;, &quot;Source Sans Pro-fallback&quot;, sans-serif"/>
        <color theme="1"/>
        <sz val="9.0"/>
      </rPr>
      <t xml:space="preserve"> Goalkeeper</t>
    </r>
  </si>
  <si>
    <t>22/04/2001 (21)</t>
  </si>
  <si>
    <r>
      <rPr>
        <rFont val="&quot;Source Sans Pro&quot;, &quot;Source Sans Pro-fallback&quot;, sans-serif"/>
        <color rgb="FF000000"/>
        <sz val="9.0"/>
      </rPr>
      <t>Greg Cunningham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</si>
  <si>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</si>
  <si>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Andrew Quinn</t>
    </r>
    <r>
      <rPr>
        <rFont val="&quot;Source Sans Pro&quot;, &quot;Source Sans Pro-fallback&quot;, sans-serif"/>
        <color theme="1"/>
        <sz val="9.0"/>
      </rPr>
      <t xml:space="preserve"> Centre-Back</t>
    </r>
  </si>
  <si>
    <t>24/01/2002 (20)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</si>
  <si>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</si>
  <si>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Felix Goddard</t>
    </r>
    <r>
      <rPr>
        <rFont val="&quot;Source Sans Pro&quot;, &quot;Source Sans Pro-fallback&quot;, sans-serif"/>
        <color theme="1"/>
        <sz val="9.0"/>
      </rPr>
      <t xml:space="preserve"> Goalkeeper</t>
    </r>
  </si>
  <si>
    <t>09/03/2004 (18)</t>
  </si>
  <si>
    <r>
      <rPr>
        <rFont val="&quot;Source Sans Pro&quot;, &quot;Source Sans Pro-fallback&quot;, sans-serif"/>
        <color rgb="FF000000"/>
        <sz val="9.0"/>
      </rPr>
      <t>Garry Buckley</t>
    </r>
    <r>
      <rPr>
        <rFont val="&quot;Source Sans Pro&quot;, &quot;Source Sans Pro-fallback&quot;, sans-serif"/>
        <color theme="1"/>
        <sz val="9.0"/>
      </rPr>
      <t xml:space="preserve"> Centre-Back</t>
    </r>
  </si>
  <si>
    <t>19/08/1993 (29)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</si>
  <si>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</si>
  <si>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Jack Keaney</t>
    </r>
    <r>
      <rPr>
        <rFont val="&quot;Source Sans Pro&quot;, &quot;Source Sans Pro-fallback&quot;, sans-serif"/>
        <color theme="1"/>
        <sz val="9.0"/>
      </rPr>
      <t xml:space="preserve"> Centre-Back</t>
    </r>
  </si>
  <si>
    <t>18/01/1999 (23)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</si>
  <si>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</si>
  <si>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Sean Molloy</t>
    </r>
    <r>
      <rPr>
        <rFont val="&quot;Source Sans Pro&quot;, &quot;Source Sans Pro-fallback&quot;, sans-serif"/>
        <color theme="1"/>
        <sz val="9.0"/>
      </rPr>
      <t xml:space="preserve"> Goalkeeper</t>
    </r>
  </si>
  <si>
    <t>02/08/2004 (18)</t>
  </si>
  <si>
    <r>
      <rPr>
        <rFont val="&quot;Source Sans Pro&quot;, &quot;Source Sans Pro-fallback&quot;, sans-serif"/>
        <color rgb="FF000000"/>
        <sz val="9.0"/>
      </rPr>
      <t>Rob Slevin</t>
    </r>
    <r>
      <rPr>
        <rFont val="&quot;Source Sans Pro&quot;, &quot;Source Sans Pro-fallback&quot;, sans-serif"/>
        <color theme="1"/>
        <sz val="9.0"/>
      </rPr>
      <t xml:space="preserve"> Centre-Back</t>
    </r>
  </si>
  <si>
    <t>14/07/1998 (24)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</si>
  <si>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</si>
  <si>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David Webster</t>
    </r>
    <r>
      <rPr>
        <rFont val="&quot;Source Sans Pro&quot;, &quot;Source Sans Pro-fallback&quot;, sans-serif"/>
        <color theme="1"/>
        <sz val="9.0"/>
      </rPr>
      <t xml:space="preserve"> Centre-Back</t>
    </r>
  </si>
  <si>
    <t>09/08/1989 (33)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</si>
  <si>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</si>
  <si>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Samuel Safaei</t>
    </r>
    <r>
      <rPr>
        <rFont val="&quot;Source Sans Pro&quot;, &quot;Source Sans Pro-fallback&quot;, sans-serif"/>
        <color theme="1"/>
        <sz val="9.0"/>
      </rPr>
      <t xml:space="preserve"> Goalkeeper</t>
    </r>
  </si>
  <si>
    <t>09/03/2005 (17)</t>
  </si>
  <si>
    <r>
      <rPr>
        <rFont val="&quot;Source Sans Pro&quot;, &quot;Source Sans Pro-fallback&quot;, sans-serif"/>
        <color rgb="FF000000"/>
        <sz val="9.0"/>
      </rPr>
      <t>Killian Brouder</t>
    </r>
    <r>
      <rPr>
        <rFont val="&quot;Source Sans Pro&quot;, &quot;Source Sans Pro-fallback&quot;, sans-serif"/>
        <color theme="1"/>
        <sz val="9.0"/>
      </rPr>
      <t xml:space="preserve"> Centre-Back</t>
    </r>
  </si>
  <si>
    <t>20/08/1998 (24)</t>
  </si>
  <si>
    <r>
      <rPr>
        <rFont val="&quot;Source Sans Pro&quot;, &quot;Source Sans Pro-fallback&quot;, sans-serif"/>
        <color rgb="FF000000"/>
        <sz val="9.0"/>
      </rPr>
      <t>Hayden Cann</t>
    </r>
    <r>
      <rPr>
        <rFont val="&quot;Source Sans Pro&quot;, &quot;Source Sans Pro-fallback&quot;, sans-serif"/>
        <color theme="1"/>
        <sz val="9.0"/>
      </rPr>
      <t xml:space="preserve"> Centre-Back</t>
    </r>
  </si>
  <si>
    <t>01/10/2003 (19)</t>
  </si>
  <si>
    <r>
      <rPr>
        <rFont val="&quot;Source Sans Pro&quot;, &quot;Source Sans Pro-fallback&quot;, sans-serif"/>
        <color rgb="FF000000"/>
        <sz val="9.0"/>
      </rPr>
      <t>Sean Spaight</t>
    </r>
    <r>
      <rPr>
        <rFont val="&quot;Source Sans Pro&quot;, &quot;Source Sans Pro-fallback&quot;, sans-serif"/>
        <color theme="1"/>
        <sz val="9.0"/>
      </rPr>
      <t xml:space="preserve"> Defender</t>
    </r>
  </si>
  <si>
    <t>25/01/2009 (13)</t>
  </si>
  <si>
    <r>
      <rPr>
        <rFont val="&quot;Source Sans Pro&quot;, &quot;Source Sans Pro-fallback&quot;, sans-serif"/>
        <color rgb="FF000000"/>
        <sz val="9.0"/>
      </rPr>
      <t>Maurice Nugent</t>
    </r>
    <r>
      <rPr>
        <rFont val="&quot;Source Sans Pro&quot;, &quot;Source Sans Pro-fallback&quot;, sans-serif"/>
        <color theme="1"/>
        <sz val="9.0"/>
      </rPr>
      <t xml:space="preserve"> Centre-Back</t>
    </r>
  </si>
  <si>
    <t>30/07/1998 (24)</t>
  </si>
  <si>
    <r>
      <rPr>
        <rFont val="&quot;Source Sans Pro&quot;, &quot;Source Sans Pro-fallback&quot;, sans-serif"/>
        <color rgb="FF000000"/>
        <sz val="9.0"/>
      </rPr>
      <t>Aaron Harper-Bailey</t>
    </r>
    <r>
      <rPr>
        <rFont val="&quot;Source Sans Pro&quot;, &quot;Source Sans Pro-fallback&quot;, sans-serif"/>
        <color theme="1"/>
        <sz val="9.0"/>
      </rPr>
      <t xml:space="preserve"> Centre-Back</t>
    </r>
  </si>
  <si>
    <t>29/09/2001 (21)</t>
  </si>
  <si>
    <r>
      <rPr>
        <rFont val="&quot;Source Sans Pro&quot;, &quot;Source Sans Pro-fallback&quot;, sans-serif"/>
        <color rgb="FF000000"/>
        <sz val="9.0"/>
      </rPr>
      <t>Darren Brownlie</t>
    </r>
    <r>
      <rPr>
        <rFont val="&quot;Source Sans Pro&quot;, &quot;Source Sans Pro-fallback&quot;, sans-serif"/>
        <color theme="1"/>
        <sz val="9.0"/>
      </rPr>
      <t xml:space="preserve"> Centre-Back</t>
    </r>
  </si>
  <si>
    <t>10/04/1994 (28)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</si>
  <si>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</si>
  <si>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Billy Regan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</si>
  <si>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James Bolger</t>
    </r>
    <r>
      <rPr>
        <rFont val="&quot;Source Sans Pro&quot;, &quot;Source Sans Pro-fallback&quot;, sans-serif"/>
        <color theme="1"/>
        <sz val="9.0"/>
      </rPr>
      <t xml:space="preserve"> Centre-Back</t>
    </r>
  </si>
  <si>
    <t>19/11/2000 (22)</t>
  </si>
  <si>
    <r>
      <rPr>
        <rFont val="&quot;Source Sans Pro&quot;, &quot;Source Sans Pro-fallback&quot;, sans-serif"/>
        <color rgb="FF000000"/>
        <sz val="9.0"/>
      </rPr>
      <t>Hayden Muller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</si>
  <si>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07/02/2002 (20)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</si>
  <si>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</si>
  <si>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Bobby Burns</t>
    </r>
    <r>
      <rPr>
        <rFont val="&quot;Source Sans Pro&quot;, &quot;Source Sans Pro-fallback&quot;, sans-serif"/>
        <color theme="1"/>
        <sz val="9.0"/>
      </rPr>
      <t xml:space="preserve"> Left-Back</t>
    </r>
  </si>
  <si>
    <t>07/10/1999 (23)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</si>
  <si>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</si>
  <si>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Emmanuel Milongo</t>
    </r>
    <r>
      <rPr>
        <rFont val="&quot;Source Sans Pro&quot;, &quot;Source Sans Pro-fallback&quot;, sans-serif"/>
        <color theme="1"/>
        <sz val="9.0"/>
      </rPr>
      <t xml:space="preserve"> Centre-Back</t>
    </r>
  </si>
  <si>
    <t>14/01/2004 (18)</t>
  </si>
  <si>
    <r>
      <rPr>
        <rFont val="&quot;Source Sans Pro&quot;, &quot;Source Sans Pro-fallback&quot;, sans-serif"/>
        <color rgb="FF000000"/>
        <sz val="9.0"/>
      </rPr>
      <t>Andy Boyle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</si>
  <si>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07/03/1991 (31)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</si>
  <si>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</si>
  <si>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Regan Donelon</t>
    </r>
    <r>
      <rPr>
        <rFont val="&quot;Source Sans Pro&quot;, &quot;Source Sans Pro-fallback&quot;, sans-serif"/>
        <color theme="1"/>
        <sz val="9.0"/>
      </rPr>
      <t xml:space="preserve"> Left-Back</t>
    </r>
  </si>
  <si>
    <t>17/04/1996 (26)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</si>
  <si>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</si>
  <si>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Evan Haddock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</si>
  <si>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07/07/2005 (17)</t>
  </si>
  <si>
    <r>
      <rPr>
        <rFont val="&quot;Source Sans Pro&quot;, &quot;Source Sans Pro-fallback&quot;, sans-serif"/>
        <color rgb="FF000000"/>
        <sz val="9.0"/>
      </rPr>
      <t>Darragh Leahy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</si>
  <si>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</si>
  <si>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Al-Amin Kazeem</t>
    </r>
    <r>
      <rPr>
        <rFont val="&quot;Source Sans Pro&quot;, &quot;Source Sans Pro-fallback&quot;, sans-serif"/>
        <color theme="1"/>
        <sz val="9.0"/>
      </rPr>
      <t xml:space="preserve"> Left-Back</t>
    </r>
  </si>
  <si>
    <t>06/04/2002 (20)</t>
  </si>
  <si>
    <r>
      <rPr>
        <rFont val="&quot;Source Sans Pro&quot;, &quot;Source Sans Pro-fallback&quot;, sans-serif"/>
        <color rgb="FF000000"/>
        <sz val="9.0"/>
      </rPr>
      <t>Evan Weir</t>
    </r>
    <r>
      <rPr>
        <rFont val="&quot;Source Sans Pro&quot;, &quot;Source Sans Pro-fallback&quot;, sans-serif"/>
        <color theme="1"/>
        <sz val="9.0"/>
      </rPr>
      <t xml:space="preserve"> Left-Back</t>
    </r>
  </si>
  <si>
    <t>16/04/2002 (20)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</si>
  <si>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</si>
  <si>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Louie Annesley</t>
    </r>
    <r>
      <rPr>
        <rFont val="&quot;Source Sans Pro&quot;, &quot;Source Sans Pro-fallback&quot;, sans-serif"/>
        <color theme="1"/>
        <sz val="9.0"/>
      </rPr>
      <t xml:space="preserve"> Centre-Back</t>
    </r>
  </si>
  <si>
    <t>03/05/2000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</si>
  <si>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</si>
  <si>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Jeannot Esua</t>
    </r>
    <r>
      <rPr>
        <rFont val="&quot;Source Sans Pro&quot;, &quot;Source Sans Pro-fallback&quot;, sans-serif"/>
        <color theme="1"/>
        <sz val="9.0"/>
      </rPr>
      <t xml:space="preserve"> Right-Back</t>
    </r>
  </si>
  <si>
    <t>06/08/1996 (26)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</si>
  <si>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</si>
  <si>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Conor Kane</t>
    </r>
    <r>
      <rPr>
        <rFont val="&quot;Source Sans Pro&quot;, &quot;Source Sans Pro-fallback&quot;, sans-serif"/>
        <color theme="1"/>
        <sz val="9.0"/>
      </rPr>
      <t xml:space="preserve"> Left-Back</t>
    </r>
  </si>
  <si>
    <t>05/11/1998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</si>
  <si>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</si>
  <si>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Mayowa Animasahun</t>
    </r>
    <r>
      <rPr>
        <rFont val="&quot;Source Sans Pro&quot;, &quot;Source Sans Pro-fallback&quot;, sans-serif"/>
        <color theme="1"/>
        <sz val="9.0"/>
      </rPr>
      <t xml:space="preserve"> Centre-Back</t>
    </r>
  </si>
  <si>
    <t>08/08/2003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</si>
  <si>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</si>
  <si>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Colm Horgan</t>
    </r>
    <r>
      <rPr>
        <rFont val="&quot;Source Sans Pro&quot;, &quot;Source Sans Pro-fallback&quot;, sans-serif"/>
        <color theme="1"/>
        <sz val="9.0"/>
      </rPr>
      <t xml:space="preserve"> Right-Back</t>
    </r>
  </si>
  <si>
    <t>02/07/1994 (28)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</si>
  <si>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</si>
  <si>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Aaron McNally</t>
    </r>
    <r>
      <rPr>
        <rFont val="&quot;Source Sans Pro&quot;, &quot;Source Sans Pro-fallback&quot;, sans-serif"/>
        <color theme="1"/>
        <sz val="9.0"/>
      </rPr>
      <t xml:space="preserve"> Left-Back</t>
    </r>
  </si>
  <si>
    <t>31/08/2000 (22)</t>
  </si>
  <si>
    <r>
      <rPr>
        <rFont val="&quot;Source Sans Pro&quot;, &quot;Source Sans Pro-fallback&quot;, sans-serif"/>
        <color rgb="FF000000"/>
        <sz val="9.0"/>
      </rPr>
      <t>Benjamin Fagbemi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</si>
  <si>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Conor O'Keeffe</t>
    </r>
    <r>
      <rPr>
        <rFont val="&quot;Source Sans Pro&quot;, &quot;Source Sans Pro-fallback&quot;, sans-serif"/>
        <color theme="1"/>
        <sz val="9.0"/>
      </rPr>
      <t xml:space="preserve"> Right-Back</t>
    </r>
  </si>
  <si>
    <t>19/09/1993 (29)</t>
  </si>
  <si>
    <r>
      <rPr>
        <rFont val="&quot;Source Sans Pro&quot;, &quot;Source Sans Pro-fallback&quot;, sans-serif"/>
        <color rgb="FF000000"/>
        <sz val="9.0"/>
      </rPr>
      <t>Sean McCarthy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</si>
  <si>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color rgb="FF000000"/>
        <sz val="9.0"/>
      </rPr>
      <t>Zak Johnson</t>
    </r>
    <r>
      <rPr>
        <rFont val="&quot;Source Sans Pro&quot;, &quot;Source Sans Pro-fallback&quot;, sans-serif"/>
        <color theme="1"/>
        <sz val="9.0"/>
      </rPr>
      <t xml:space="preserve"> Centre-Back</t>
    </r>
  </si>
  <si>
    <t>25/05/2005 (17)</t>
  </si>
  <si>
    <r>
      <rPr>
        <rFont val="&quot;Source Sans Pro&quot;, &quot;Source Sans Pro-fallback&quot;, sans-serif"/>
        <color rgb="FF000000"/>
        <sz val="9.0"/>
      </rPr>
      <t>Jimmy Keohane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</si>
  <si>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22/01/1991 (31)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</si>
  <si>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</si>
  <si>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Ultan McLaughlin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</si>
  <si>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color rgb="FF000000"/>
        <sz val="9.0"/>
      </rPr>
      <t>Vinnie Leonard</t>
    </r>
    <r>
      <rPr>
        <rFont val="&quot;Source Sans Pro&quot;, &quot;Source Sans Pro-fallback&quot;, sans-serif"/>
        <color theme="1"/>
        <sz val="9.0"/>
      </rPr>
      <t xml:space="preserve"> Centre-Back</t>
    </r>
  </si>
  <si>
    <t>21/03/2008 (14)</t>
  </si>
  <si>
    <r>
      <rPr>
        <rFont val="&quot;Source Sans Pro&quot;, &quot;Source Sans Pro-fallback&quot;, sans-serif"/>
        <color rgb="FF000000"/>
        <sz val="9.0"/>
      </rPr>
      <t>Aodh Dervin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</si>
  <si>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21/07/1999 (23)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</si>
  <si>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</si>
  <si>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Elicha Ahui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Right-Back</t>
    </r>
  </si>
  <si>
    <r>
      <rPr>
        <rFont val="&quot;Source Sans Pro&quot;, &quot;Source Sans Pro-fallback&quot;, sans-serif"/>
        <color rgb="FF000000"/>
        <sz val="9.0"/>
      </rPr>
      <t>Bobby Faulkner</t>
    </r>
    <r>
      <rPr>
        <rFont val="&quot;Source Sans Pro&quot;, &quot;Source Sans Pro-fallback&quot;, sans-serif"/>
        <color theme="1"/>
        <sz val="9.0"/>
      </rPr>
      <t xml:space="preserve"> Centre-Back</t>
    </r>
  </si>
  <si>
    <t>05/08/2004 (18)</t>
  </si>
  <si>
    <r>
      <rPr>
        <rFont val="&quot;Source Sans Pro&quot;, &quot;Source Sans Pro-fallback&quot;, sans-serif"/>
        <color rgb="FF000000"/>
        <sz val="9.0"/>
      </rPr>
      <t>Vincent Borden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</si>
  <si>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21/02/1999 (23)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</si>
  <si>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</si>
  <si>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Osaze Irhue</t>
    </r>
    <r>
      <rPr>
        <rFont val="&quot;Source Sans Pro&quot;, &quot;Source Sans Pro-fallback&quot;, sans-serif"/>
        <color theme="1"/>
        <sz val="9.0"/>
      </rPr>
      <t xml:space="preserve"> Right-Back</t>
    </r>
  </si>
  <si>
    <t>24/04/2004 (18)</t>
  </si>
  <si>
    <r>
      <rPr>
        <rFont val="&quot;Source Sans Pro&quot;, &quot;Source Sans Pro-fallback&quot;, sans-serif"/>
        <color rgb="FF000000"/>
        <sz val="9.0"/>
      </rPr>
      <t>Zak Bradshaw</t>
    </r>
    <r>
      <rPr>
        <rFont val="&quot;Source Sans Pro&quot;, &quot;Source Sans Pro-fallback&quot;, sans-serif"/>
        <color theme="1"/>
        <sz val="9.0"/>
      </rPr>
      <t xml:space="preserve"> Centre-Back</t>
    </r>
  </si>
  <si>
    <t>22/09/2003 (19)</t>
  </si>
  <si>
    <r>
      <rPr>
        <rFont val="&quot;Source Sans Pro&quot;, &quot;Source Sans Pro-fallback&quot;, sans-serif"/>
        <color rgb="FF000000"/>
        <sz val="9.0"/>
      </rPr>
      <t>Conor McCormack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</si>
  <si>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18/05/1990 (32)</t>
  </si>
  <si>
    <r>
      <rPr>
        <rFont val="&quot;Source Sans Pro&quot;, &quot;Source Sans Pro-fallback&quot;, sans-serif"/>
        <color rgb="FF000000"/>
        <sz val="9.0"/>
      </rPr>
      <t>Gary Deegan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</si>
  <si>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28/09/1987 (35)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</si>
  <si>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</si>
  <si>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Hayden Cann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</si>
  <si>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Steven Healy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</si>
  <si>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03/07/2004 (18)</t>
  </si>
  <si>
    <r>
      <rPr>
        <rFont val="&quot;Source Sans Pro&quot;, &quot;Source Sans Pro-fallback&quot;, sans-serif"/>
        <color rgb="FF000000"/>
        <sz val="9.0"/>
      </rPr>
      <t>Shane Farrell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</si>
  <si>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26/06/2000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</si>
  <si>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</si>
  <si>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Robbie McCourt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</si>
  <si>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</si>
  <si>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David Hurley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</si>
  <si>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21/10/1998 (24)</t>
  </si>
  <si>
    <r>
      <rPr>
        <rFont val="&quot;Source Sans Pro&quot;, &quot;Source Sans Pro-fallback&quot;, sans-serif"/>
        <color rgb="FF000000"/>
        <sz val="9.0"/>
      </rPr>
      <t>Ryan Brennan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</si>
  <si>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11/11/1991 (31)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</si>
  <si>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</si>
  <si>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Adam Byrne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</si>
  <si>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color rgb="FF000000"/>
        <sz val="9.0"/>
      </rPr>
      <t>Patrick Hickey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</si>
  <si>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02/07/1998 (24)</t>
  </si>
  <si>
    <r>
      <rPr>
        <rFont val="&quot;Source Sans Pro&quot;, &quot;Source Sans Pro-fallback&quot;, sans-serif"/>
        <color rgb="FF000000"/>
        <sz val="9.0"/>
      </rPr>
      <t>Luke Heeney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</si>
  <si>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06/02/1999 (23)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</si>
  <si>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</si>
  <si>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Jamie Walker</t>
    </r>
    <r>
      <rPr>
        <rFont val="&quot;Source Sans Pro&quot;, &quot;Source Sans Pro-fallback&quot;, sans-serif"/>
        <color theme="1"/>
        <sz val="9.0"/>
      </rPr>
      <t xml:space="preserve"> Left-Back</t>
    </r>
  </si>
  <si>
    <t>21/02/2001 (21)</t>
  </si>
  <si>
    <r>
      <rPr>
        <rFont val="&quot;Source Sans Pro&quot;, &quot;Source Sans Pro-fallback&quot;, sans-serif"/>
        <color rgb="FF000000"/>
        <sz val="9.0"/>
      </rPr>
      <t>Karl O'Sullivan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</si>
  <si>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31/10/1999 (23)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</si>
  <si>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</si>
  <si>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Emre Topçu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</si>
  <si>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21/08/2005 (17)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</si>
  <si>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</si>
  <si>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Sean Keogh</t>
    </r>
    <r>
      <rPr>
        <rFont val="&quot;Source Sans Pro&quot;, &quot;Source Sans Pro-fallback&quot;, sans-serif"/>
        <color theme="1"/>
        <sz val="9.0"/>
      </rPr>
      <t xml:space="preserve"> Left-Back</t>
    </r>
  </si>
  <si>
    <t>15/04/2006 (16)</t>
  </si>
  <si>
    <r>
      <rPr>
        <rFont val="&quot;Source Sans Pro&quot;, &quot;Source Sans Pro-fallback&quot;, sans-serif"/>
        <color rgb="FF000000"/>
        <sz val="9.0"/>
      </rPr>
      <t>Ed McCarthy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</si>
  <si>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20/04/2001 (21)</t>
  </si>
  <si>
    <r>
      <rPr>
        <rFont val="&quot;Source Sans Pro&quot;, &quot;Source Sans Pro-fallback&quot;, sans-serif"/>
        <color rgb="FF000000"/>
        <sz val="9.0"/>
      </rPr>
      <t>Matthew O'Brien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</si>
  <si>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24/01/2003 (19)</t>
  </si>
  <si>
    <r>
      <rPr>
        <rFont val="&quot;Source Sans Pro&quot;, &quot;Source Sans Pro-fallback&quot;, sans-serif"/>
        <color rgb="FF000000"/>
        <sz val="9.0"/>
      </rPr>
      <t>John Mountney</t>
    </r>
    <r>
      <rPr>
        <rFont val="&quot;Source Sans Pro&quot;, &quot;Source Sans Pro-fallback&quot;, sans-serif"/>
        <color theme="1"/>
        <sz val="9.0"/>
      </rPr>
      <t xml:space="preserve"> Right-Back</t>
    </r>
  </si>
  <si>
    <t>22/02/1993 (29)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</si>
  <si>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</si>
  <si>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Francely Lomboto</t>
    </r>
    <r>
      <rPr>
        <rFont val="&quot;Source Sans Pro&quot;, &quot;Source Sans Pro-fallback&quot;, sans-serif"/>
        <color theme="1"/>
        <sz val="9.0"/>
      </rPr>
      <t xml:space="preserve"> Left Winger</t>
    </r>
  </si>
  <si>
    <t>02/07/2000 (22)</t>
  </si>
  <si>
    <r>
      <rPr>
        <rFont val="&quot;Source Sans Pro&quot;, &quot;Source Sans Pro-fallback&quot;, sans-serif"/>
        <color rgb="FF000000"/>
        <sz val="9.0"/>
      </rPr>
      <t>Altay Güneyer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</si>
  <si>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color rgb="FF000000"/>
        <sz val="9.0"/>
      </rPr>
      <t>Dan Pike</t>
    </r>
    <r>
      <rPr>
        <rFont val="&quot;Source Sans Pro&quot;, &quot;Source Sans Pro-fallback&quot;, sans-serif"/>
        <color theme="1"/>
        <sz val="9.0"/>
      </rPr>
      <t xml:space="preserve"> Right-Back</t>
    </r>
  </si>
  <si>
    <t>09/01/2002 (20)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</si>
  <si>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</si>
  <si>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Kyle Fitzgerald</t>
    </r>
    <r>
      <rPr>
        <rFont val="&quot;Source Sans Pro&quot;, &quot;Source Sans Pro-fallback&quot;, sans-serif"/>
        <color theme="1"/>
        <sz val="9.0"/>
      </rPr>
      <t xml:space="preserve"> Left Winger</t>
    </r>
  </si>
  <si>
    <t>28/01/2007 (15)</t>
  </si>
  <si>
    <r>
      <rPr>
        <rFont val="&quot;Source Sans Pro&quot;, &quot;Source Sans Pro-fallback&quot;, sans-serif"/>
        <color rgb="FF000000"/>
        <sz val="9.0"/>
      </rPr>
      <t>Cameron Feehan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</si>
  <si>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28/12/2006 (16)</t>
  </si>
  <si>
    <r>
      <rPr>
        <rFont val="&quot;Source Sans Pro&quot;, &quot;Source Sans Pro-fallback&quot;, sans-serif"/>
        <color rgb="FF000000"/>
        <sz val="9.0"/>
      </rPr>
      <t>Luke Povall</t>
    </r>
    <r>
      <rPr>
        <rFont val="&quot;Source Sans Pro&quot;, &quot;Source Sans Pro-fallback&quot;, sans-serif"/>
        <color theme="1"/>
        <sz val="9.0"/>
      </rPr>
      <t xml:space="preserve"> Right-Back</t>
    </r>
  </si>
  <si>
    <r>
      <rPr>
        <rFont val="&quot;Source Sans Pro&quot;, &quot;Source Sans Pro-fallback&quot;, sans-serif"/>
        <color rgb="FF000000"/>
        <sz val="9.0"/>
      </rPr>
      <t>Junior Ogedi-Uzokwe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</si>
  <si>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03/03/1994 (28)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</si>
  <si>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</si>
  <si>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Oisín Gallagher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</si>
  <si>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02/12/2004 (18)</t>
  </si>
  <si>
    <r>
      <rPr>
        <rFont val="&quot;Source Sans Pro&quot;, &quot;Source Sans Pro-fallback&quot;, sans-serif"/>
        <color rgb="FF000000"/>
        <sz val="9.0"/>
      </rPr>
      <t>Archie Davies</t>
    </r>
    <r>
      <rPr>
        <rFont val="&quot;Source Sans Pro&quot;, &quot;Source Sans Pro-fallback&quot;, sans-serif"/>
        <color theme="1"/>
        <sz val="9.0"/>
      </rPr>
      <t xml:space="preserve"> Right-Back</t>
    </r>
  </si>
  <si>
    <t>07/10/1998 (24)</t>
  </si>
  <si>
    <r>
      <rPr>
        <rFont val="&quot;Source Sans Pro&quot;, &quot;Source Sans Pro-fallback&quot;, sans-serif"/>
        <color rgb="FF000000"/>
        <sz val="9.0"/>
      </rPr>
      <t>David Tarmey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</si>
  <si>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02/09/2004 (18)</t>
  </si>
  <si>
    <r>
      <rPr>
        <rFont val="&quot;Source Sans Pro&quot;, &quot;Source Sans Pro-fallback&quot;, sans-serif"/>
        <color rgb="FF000000"/>
        <sz val="9.0"/>
      </rPr>
      <t>James Byrne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</si>
  <si>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03/08/2005 (17)</t>
  </si>
  <si>
    <r>
      <rPr>
        <rFont val="&quot;Source Sans Pro&quot;, &quot;Source Sans Pro-fallback&quot;, sans-serif"/>
        <color rgb="FF000000"/>
        <sz val="9.0"/>
      </rPr>
      <t>Luke Mulligan</t>
    </r>
    <r>
      <rPr>
        <rFont val="&quot;Source Sans Pro&quot;, &quot;Source Sans Pro-fallback&quot;, sans-serif"/>
        <color theme="1"/>
        <sz val="9.0"/>
      </rPr>
      <t xml:space="preserve"> Right-Back</t>
    </r>
  </si>
  <si>
    <t>13/11/2007 (15)</t>
  </si>
  <si>
    <r>
      <rPr>
        <rFont val="&quot;Source Sans Pro&quot;, &quot;Source Sans Pro-fallback&quot;, sans-serif"/>
        <color rgb="FF000000"/>
        <sz val="9.0"/>
      </rPr>
      <t>Stephen Walsh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</si>
  <si>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29/08/1990 (32)</t>
  </si>
  <si>
    <r>
      <rPr>
        <rFont val="&quot;Source Sans Pro&quot;, &quot;Source Sans Pro-fallback&quot;, sans-serif"/>
        <color rgb="FF000000"/>
        <sz val="9.0"/>
      </rPr>
      <t>Adam Foley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</si>
  <si>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11/12/1989 (33)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</si>
  <si>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</si>
  <si>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Koen Oostenbrink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</si>
  <si>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26/01/2000 (22)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</si>
  <si>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</si>
  <si>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Wassim Aouachria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</si>
  <si>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12/05/2000 (22)</t>
  </si>
  <si>
    <r>
      <rPr>
        <rFont val="&quot;Source Sans Pro&quot;, &quot;Source Sans Pro-fallback&quot;, sans-serif"/>
        <color rgb="FF000000"/>
        <sz val="9.0"/>
      </rPr>
      <t>Matthew McCarrick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</si>
  <si>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02/01/2004 (18)</t>
  </si>
  <si>
    <r>
      <rPr>
        <rFont val="&quot;Source Sans Pro&quot;, &quot;Source Sans Pro-fallback&quot;, sans-serif"/>
        <color rgb="FF000000"/>
        <sz val="9.0"/>
      </rPr>
      <t>Rhys O'Hare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</si>
  <si>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Leo Gaxha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</si>
  <si>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27/07/2002 (20)</t>
  </si>
  <si>
    <r>
      <rPr>
        <rFont val="&quot;Source Sans Pro&quot;, &quot;Source Sans Pro-fallback&quot;, sans-serif"/>
        <color rgb="FF000000"/>
        <sz val="9.0"/>
      </rPr>
      <t>Samuel Case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</si>
  <si>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06/10/2006 (16)</t>
  </si>
  <si>
    <r>
      <rPr>
        <rFont val="&quot;Source Sans Pro&quot;, &quot;Source Sans Pro-fallback&quot;, sans-serif"/>
        <color rgb="FF000000"/>
        <sz val="9.0"/>
      </rPr>
      <t>Nico Lovrekovic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</si>
  <si>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Tom Costello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</si>
  <si>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23/02/2003 (19)</t>
  </si>
  <si>
    <r>
      <rPr>
        <rFont val="&quot;Source Sans Pro&quot;, &quot;Source Sans Pro-fallback&quot;, sans-serif"/>
        <color rgb="FF000000"/>
        <sz val="9.0"/>
      </rPr>
      <t>Darragh Markey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</si>
  <si>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23/05/1997 (25)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</si>
  <si>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</si>
  <si>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Fionn McNamara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</si>
  <si>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Brian Cunningham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</si>
  <si>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03/09/2006 (16)</t>
  </si>
  <si>
    <r>
      <rPr>
        <rFont val="&quot;Source Sans Pro&quot;, &quot;Source Sans Pro-fallback&quot;, sans-serif"/>
        <color rgb="FF000000"/>
        <sz val="9.0"/>
      </rPr>
      <t>Callum Warren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</si>
  <si>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color rgb="FF000000"/>
        <sz val="9.0"/>
      </rPr>
      <t>Jack O'Flaherty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</si>
  <si>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Cillian Tollett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</si>
  <si>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09/02/2008 (14)</t>
  </si>
  <si>
    <r>
      <rPr>
        <rFont val="&quot;Source Sans Pro&quot;, &quot;Source Sans Pro-fallback&quot;, sans-serif"/>
        <color rgb="FF000000"/>
        <sz val="9.0"/>
      </rPr>
      <t>Anthony Moyo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</si>
  <si>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10/03/2004 (18)</t>
  </si>
  <si>
    <r>
      <rPr>
        <rFont val="&quot;Source Sans Pro&quot;, &quot;Source Sans Pro-fallback&quot;, sans-serif"/>
        <color rgb="FF000000"/>
        <sz val="9.0"/>
      </rPr>
      <t>Graham Dooner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</si>
  <si>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Harry O'Connor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</si>
  <si>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27/09/2005 (17)</t>
  </si>
  <si>
    <r>
      <rPr>
        <rFont val="&quot;Source Sans Pro&quot;, &quot;Source Sans Pro-fallback&quot;, sans-serif"/>
        <color rgb="FF000000"/>
        <sz val="9.0"/>
      </rPr>
      <t>Scott Brady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</si>
  <si>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26/06/2006 (16)</t>
  </si>
  <si>
    <r>
      <rPr>
        <rFont val="&quot;Source Sans Pro&quot;, &quot;Source Sans Pro-fallback&quot;, sans-serif"/>
        <color rgb="FF000000"/>
        <sz val="9.0"/>
      </rPr>
      <t>Zishim Bawa</t>
    </r>
    <r>
      <rPr>
        <rFont val="&quot;Source Sans Pro&quot;, &quot;Source Sans Pro-fallback&quot;, sans-serif"/>
        <color theme="1"/>
        <sz val="9.0"/>
      </rPr>
      <t xml:space="preserve"> Left Winger</t>
    </r>
  </si>
  <si>
    <t>16/03/2002 (20)</t>
  </si>
  <si>
    <r>
      <rPr>
        <rFont val="&quot;Source Sans Pro&quot;, &quot;Source Sans Pro-fallback&quot;, sans-serif"/>
        <color rgb="FF000000"/>
        <sz val="9.0"/>
      </rPr>
      <t>Tom McLoughlin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</si>
  <si>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Warren Davis</t>
    </r>
    <r>
      <rPr>
        <rFont val="&quot;Source Sans Pro&quot;, &quot;Source Sans Pro-fallback&quot;, sans-serif"/>
        <color theme="1"/>
        <sz val="9.0"/>
      </rPr>
      <t xml:space="preserve"> Second Striker</t>
    </r>
  </si>
  <si>
    <t>02/04/2005 (17)</t>
  </si>
  <si>
    <r>
      <rPr>
        <rFont val="&quot;Source Sans Pro&quot;, &quot;Source Sans Pro-fallback&quot;, sans-serif"/>
        <color rgb="FF000000"/>
        <sz val="9.0"/>
      </rPr>
      <t>Scott High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</si>
  <si>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15/02/2001 (21)</t>
  </si>
  <si>
    <r>
      <rPr>
        <rFont val="&quot;Source Sans Pro&quot;, &quot;Source Sans Pro-fallback&quot;, sans-serif"/>
        <b/>
        <color rgb="FF1155CC"/>
        <sz val="9.0"/>
        <u/>
      </rPr>
      <t>€900k</t>
    </r>
  </si>
  <si>
    <r>
      <rPr>
        <rFont val="&quot;Source Sans Pro&quot;, &quot;Source Sans Pro-fallback&quot;, sans-serif"/>
        <color rgb="FF000000"/>
        <sz val="9.0"/>
      </rPr>
      <t>Frantz Pierrot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</si>
  <si>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20/04/1999 (23)</t>
  </si>
  <si>
    <r>
      <rPr>
        <rFont val="&quot;Source Sans Pro&quot;, &quot;Source Sans Pro-fallback&quot;, sans-serif"/>
        <color rgb="FF000000"/>
        <sz val="9.0"/>
      </rPr>
      <t>Greg Sloggett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</si>
  <si>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03/07/1996 (26)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</si>
  <si>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</si>
  <si>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Douglas James-Taylor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</si>
  <si>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18/11/2001 (21)</t>
  </si>
  <si>
    <r>
      <rPr>
        <rFont val="&quot;Source Sans Pro&quot;, &quot;Source Sans Pro-fallback&quot;, sans-serif"/>
        <color rgb="FF000000"/>
        <sz val="9.0"/>
      </rPr>
      <t>Paul Doyle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</si>
  <si>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10/04/1998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</si>
  <si>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</si>
  <si>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Bridel Bosakani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</si>
  <si>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16/08/2004 (18)</t>
  </si>
  <si>
    <r>
      <rPr>
        <rFont val="&quot;Source Sans Pro&quot;, &quot;Source Sans Pro-fallback&quot;, sans-serif"/>
        <color rgb="FF000000"/>
        <sz val="9.0"/>
      </rPr>
      <t>Scott McGill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</si>
  <si>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27/01/2002 (20)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</si>
  <si>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</si>
  <si>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Killian Cailloce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</si>
  <si>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09/12/2005 (17)</t>
  </si>
  <si>
    <r>
      <rPr>
        <rFont val="&quot;Source Sans Pro&quot;, &quot;Source Sans Pro-fallback&quot;, sans-serif"/>
        <color rgb="FF000000"/>
        <sz val="9.0"/>
      </rPr>
      <t>Alfie Lewis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</si>
  <si>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28/09/1999 (23)</t>
  </si>
  <si>
    <t>1,69m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</si>
  <si>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</si>
  <si>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Dara Keane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</si>
  <si>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24/12/1998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</si>
  <si>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</si>
  <si>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Aodh Dervin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</si>
  <si>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</si>
  <si>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Connor Malley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</si>
  <si>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20/03/2000 (22)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</si>
  <si>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</si>
  <si>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Aidan Russell Vargas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</si>
  <si>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09/05/2006 (16)</t>
  </si>
  <si>
    <r>
      <rPr>
        <rFont val="&quot;Source Sans Pro&quot;, &quot;Source Sans Pro-fallback&quot;, sans-serif"/>
        <color rgb="FF000000"/>
        <sz val="9.0"/>
      </rPr>
      <t>Cian Spaight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</si>
  <si>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15/04/2007 (15)</t>
  </si>
  <si>
    <r>
      <rPr>
        <rFont val="&quot;Source Sans Pro&quot;, &quot;Source Sans Pro-fallback&quot;, sans-serif"/>
        <color rgb="FF000000"/>
        <sz val="9.0"/>
      </rPr>
      <t>Samuel Case</t>
    </r>
    <r>
      <rPr>
        <rFont val="&quot;Source Sans Pro&quot;, &quot;Source Sans Pro-fallback&quot;, sans-serif"/>
        <color theme="1"/>
        <sz val="9.0"/>
      </rPr>
      <t xml:space="preserve"> Right Midfield</t>
    </r>
  </si>
  <si>
    <r>
      <rPr>
        <rFont val="&quot;Source Sans Pro&quot;, &quot;Source Sans Pro-fallback&quot;, sans-serif"/>
        <color rgb="FF000000"/>
        <sz val="9.0"/>
      </rPr>
      <t>Conor O'Gorman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</si>
  <si>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03/03/2005 (17)</t>
  </si>
  <si>
    <r>
      <rPr>
        <rFont val="&quot;Source Sans Pro&quot;, &quot;Source Sans Pro-fallback&quot;, sans-serif"/>
        <color rgb="FF000000"/>
        <sz val="9.0"/>
      </rPr>
      <t>Daryl Horgan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Left Midfield</t>
    </r>
  </si>
  <si>
    <t>10/08/1992 (30)</t>
  </si>
  <si>
    <r>
      <rPr>
        <rFont val="&quot;Source Sans Pro&quot;, &quot;Source Sans Pro-fallback&quot;, sans-serif"/>
        <b/>
        <color rgb="FF1155CC"/>
        <sz val="9.0"/>
        <u/>
      </rPr>
      <t>€450k</t>
    </r>
  </si>
  <si>
    <r>
      <rPr>
        <rFont val="&quot;Source Sans Pro&quot;, &quot;Source Sans Pro-fallback&quot;, sans-serif"/>
        <color rgb="FF000000"/>
        <sz val="9.0"/>
      </rPr>
      <t>Johannes Yli-Kokko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</si>
  <si>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24/08/2001 (21)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</si>
  <si>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</si>
  <si>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Robbie Benson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</si>
  <si>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07/05/1992 (30)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</si>
  <si>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</si>
  <si>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Jad Hakiki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</si>
  <si>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23/06/2004 (18)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</si>
  <si>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</si>
  <si>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Anthony Moyo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</si>
  <si>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color rgb="FF000000"/>
        <sz val="9.0"/>
      </rPr>
      <t>Ryan O'Kane</t>
    </r>
    <r>
      <rPr>
        <rFont val="&quot;Source Sans Pro&quot;, &quot;Source Sans Pro-fallback&quot;, sans-serif"/>
        <color theme="1"/>
        <sz val="9.0"/>
      </rPr>
      <t xml:space="preserve"> Left Winger</t>
    </r>
  </si>
  <si>
    <t>16/08/2003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</si>
  <si>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</si>
  <si>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Sam Durrant</t>
    </r>
    <r>
      <rPr>
        <rFont val="&quot;Source Sans Pro&quot;, &quot;Source Sans Pro-fallback&quot;, sans-serif"/>
        <color theme="1"/>
        <sz val="9.0"/>
      </rPr>
      <t xml:space="preserve"> Left Winger</t>
    </r>
  </si>
  <si>
    <t>16/02/2002 (20)</t>
  </si>
  <si>
    <r>
      <rPr>
        <rFont val="&quot;Source Sans Pro&quot;, &quot;Source Sans Pro-fallback&quot;, sans-serif"/>
        <color rgb="FF000000"/>
        <sz val="9.0"/>
      </rPr>
      <t>Daniel Kelly</t>
    </r>
    <r>
      <rPr>
        <rFont val="&quot;Source Sans Pro&quot;, &quot;Source Sans Pro-fallback&quot;, sans-serif"/>
        <color theme="1"/>
        <sz val="9.0"/>
      </rPr>
      <t xml:space="preserve"> Right Winger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</si>
  <si>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</si>
  <si>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Robbie Mahon</t>
    </r>
    <r>
      <rPr>
        <rFont val="&quot;Source Sans Pro&quot;, &quot;Source Sans Pro-fallback&quot;, sans-serif"/>
        <color theme="1"/>
        <sz val="9.0"/>
      </rPr>
      <t xml:space="preserve"> Right Winger</t>
    </r>
  </si>
  <si>
    <t>06/06/2003 (19)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</si>
  <si>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</si>
  <si>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Norman Garbett</t>
    </r>
    <r>
      <rPr>
        <rFont val="&quot;Source Sans Pro&quot;, &quot;Source Sans Pro-fallback&quot;, sans-serif"/>
        <color theme="1"/>
        <sz val="9.0"/>
      </rPr>
      <t xml:space="preserve"> Right Winger</t>
    </r>
  </si>
  <si>
    <t>27/02/2004 (18)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</si>
  <si>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</si>
  <si>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TJ Molloy</t>
    </r>
    <r>
      <rPr>
        <rFont val="&quot;Source Sans Pro&quot;, &quot;Source Sans Pro-fallback&quot;, sans-serif"/>
        <color theme="1"/>
        <sz val="9.0"/>
      </rPr>
      <t xml:space="preserve"> Second Striker</t>
    </r>
  </si>
  <si>
    <t>04/04/2009 (13)</t>
  </si>
  <si>
    <r>
      <rPr>
        <rFont val="&quot;Source Sans Pro&quot;, &quot;Source Sans Pro-fallback&quot;, sans-serif"/>
        <color rgb="FF000000"/>
        <sz val="9.0"/>
      </rPr>
      <t>Jamie Gullan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</si>
  <si>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02/07/1999 (23)</t>
  </si>
  <si>
    <r>
      <rPr>
        <rFont val="&quot;Source Sans Pro&quot;, &quot;Source Sans Pro-fallback&quot;, sans-serif"/>
        <b/>
        <color rgb="FF1155CC"/>
        <sz val="9.0"/>
        <u/>
      </rPr>
      <t>€275k</t>
    </r>
  </si>
  <si>
    <r>
      <rPr>
        <rFont val="&quot;Source Sans Pro&quot;, &quot;Source Sans Pro-fallback&quot;, sans-serif"/>
        <color rgb="FF000000"/>
        <sz val="9.0"/>
      </rPr>
      <t>Pat Hoban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</si>
  <si>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</si>
  <si>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John Martin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</si>
  <si>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05/01/1999 (23)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</si>
  <si>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</si>
  <si>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Dualta Honney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</si>
  <si>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25/02/2005 (17)</t>
  </si>
  <si>
    <r>
      <rPr>
        <rFont val="&quot;Source Sans Pro&quot;, &quot;Source Sans Pro-fallback&quot;, sans-serif"/>
        <color rgb="FF000000"/>
        <sz val="9.0"/>
      </rPr>
      <t>Callum Bonner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</si>
  <si>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04/02/2005 (17)</t>
  </si>
  <si>
    <r>
      <rPr>
        <rFont val="&quot;Source Sans Pro&quot;, &quot;Source Sans Pro-fallback&quot;, sans-serif"/>
        <color rgb="FF000000"/>
        <sz val="9.0"/>
      </rPr>
      <t>Cameron Elliott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</si>
  <si>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27/05/1999 (23)</t>
  </si>
  <si>
    <r>
      <rPr>
        <rFont val="&quot;Source Sans Pro&quot;, &quot;Source Sans Pro-fallback&quot;, sans-serif"/>
        <color rgb="FF000000"/>
        <sz val="9.0"/>
      </rPr>
      <t>Josh O'Connor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</si>
  <si>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16/06/2004 (18)</t>
  </si>
  <si>
    <r>
      <rPr>
        <rFont val="&quot;Source Sans Pro&quot;, &quot;Source Sans Pro-fallback&quot;, sans-serif"/>
        <color rgb="FF000000"/>
        <sz val="9.0"/>
      </rPr>
      <t>Eoin Kenny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</si>
  <si>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30/12/2005 (17)</t>
  </si>
  <si>
    <r>
      <rPr>
        <rFont val="&quot;Source Sans Pro&quot;, &quot;Source Sans Pro-fallback&quot;, sans-serif"/>
        <color rgb="FF000000"/>
        <sz val="9.0"/>
      </rPr>
      <t>Ciaran McGuckin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</si>
  <si>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30/12/2003 (19)</t>
  </si>
  <si>
    <r>
      <rPr>
        <rFont val="&quot;Source Sans Pro&quot;, &quot;Source Sans Pro-fallback&quot;, sans-serif"/>
        <color rgb="FF000000"/>
        <sz val="9.0"/>
      </rPr>
      <t>Lee Steacy</t>
    </r>
    <r>
      <rPr>
        <rFont val="&quot;Source Sans Pro&quot;, &quot;Source Sans Pro-fallback&quot;, sans-serif"/>
        <color theme="1"/>
        <sz val="9.0"/>
      </rPr>
      <t xml:space="preserve"> Goalkeeper</t>
    </r>
  </si>
  <si>
    <t>18/01/1993 (29)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</si>
  <si>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</si>
  <si>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Lorcan Healy</t>
    </r>
    <r>
      <rPr>
        <rFont val="&quot;Source Sans Pro&quot;, &quot;Source Sans Pro-fallback&quot;, sans-serif"/>
        <color theme="1"/>
        <sz val="9.0"/>
      </rPr>
      <t xml:space="preserve"> Goalkeeper</t>
    </r>
  </si>
  <si>
    <t>23/05/2000 (22)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</si>
  <si>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</si>
  <si>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Ed McGinty</t>
    </r>
    <r>
      <rPr>
        <rFont val="&quot;Source Sans Pro&quot;, &quot;Source Sans Pro-fallback&quot;, sans-serif"/>
        <color theme="1"/>
        <sz val="9.0"/>
      </rPr>
      <t xml:space="preserve"> Goalkeeper</t>
    </r>
  </si>
  <si>
    <t>05/08/1999 (23)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</si>
  <si>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</si>
  <si>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Alan Mannus</t>
    </r>
    <r>
      <rPr>
        <rFont val="&quot;Source Sans Pro&quot;, &quot;Source Sans Pro-fallback&quot;, sans-serif"/>
        <color theme="1"/>
        <sz val="9.0"/>
      </rPr>
      <t xml:space="preserve"> Goalkeeper</t>
    </r>
  </si>
  <si>
    <t>19/05/1982 (40)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</si>
  <si>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</si>
  <si>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Jamie Gamble</t>
    </r>
    <r>
      <rPr>
        <rFont val="&quot;Source Sans Pro&quot;, &quot;Source Sans Pro-fallback&quot;, sans-serif"/>
        <color theme="1"/>
        <sz val="9.0"/>
      </rPr>
      <t xml:space="preserve"> Goalkeeper</t>
    </r>
  </si>
  <si>
    <t>09/01/2006 (16)</t>
  </si>
  <si>
    <r>
      <rPr>
        <rFont val="&quot;Source Sans Pro&quot;, &quot;Source Sans Pro-fallback&quot;, sans-serif"/>
        <color rgb="FF000000"/>
        <sz val="9.0"/>
      </rPr>
      <t>Richard Brush</t>
    </r>
    <r>
      <rPr>
        <rFont val="&quot;Source Sans Pro&quot;, &quot;Source Sans Pro-fallback&quot;, sans-serif"/>
        <color theme="1"/>
        <sz val="9.0"/>
      </rPr>
      <t xml:space="preserve"> Goalkeeper</t>
    </r>
  </si>
  <si>
    <t>26/11/1984 (38)</t>
  </si>
  <si>
    <r>
      <rPr>
        <rFont val="&quot;Source Sans Pro&quot;, &quot;Source Sans Pro-fallback&quot;, sans-serif"/>
        <b/>
        <color rgb="FF1155CC"/>
        <sz val="9.0"/>
        <u/>
      </rPr>
      <t>€10k</t>
    </r>
  </si>
  <si>
    <r>
      <rPr>
        <rFont val="&quot;Source Sans Pro&quot;, &quot;Source Sans Pro-fallback&quot;, sans-serif"/>
        <color rgb="FF000000"/>
        <sz val="9.0"/>
      </rPr>
      <t>Léon-Maurice Pöhls</t>
    </r>
    <r>
      <rPr>
        <rFont val="&quot;Source Sans Pro&quot;, &quot;Source Sans Pro-fallback&quot;, sans-serif"/>
        <color theme="1"/>
        <sz val="9.0"/>
      </rPr>
      <t xml:space="preserve"> Goalkeeper</t>
    </r>
  </si>
  <si>
    <t>01/05/1997 (25)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</si>
  <si>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</si>
  <si>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Rocco Byrne</t>
    </r>
    <r>
      <rPr>
        <rFont val="&quot;Source Sans Pro&quot;, &quot;Source Sans Pro-fallback&quot;, sans-serif"/>
        <color theme="1"/>
        <sz val="9.0"/>
      </rPr>
      <t xml:space="preserve"> Goalkeeper</t>
    </r>
  </si>
  <si>
    <t>20/04/2007 (15)</t>
  </si>
  <si>
    <r>
      <rPr>
        <rFont val="&quot;Source Sans Pro&quot;, &quot;Source Sans Pro-fallback&quot;, sans-serif"/>
        <color rgb="FF000000"/>
        <sz val="9.0"/>
      </rPr>
      <t>Conor Walsh</t>
    </r>
    <r>
      <rPr>
        <rFont val="&quot;Source Sans Pro&quot;, &quot;Source Sans Pro-fallback&quot;, sans-serif"/>
        <color theme="1"/>
        <sz val="9.0"/>
      </rPr>
      <t xml:space="preserve"> Goalkeeper</t>
    </r>
  </si>
  <si>
    <t>17/03/2005 (17)</t>
  </si>
  <si>
    <r>
      <rPr>
        <rFont val="&quot;Source Sans Pro&quot;, &quot;Source Sans Pro-fallback&quot;, sans-serif"/>
        <color rgb="FF000000"/>
        <sz val="9.0"/>
      </rPr>
      <t>Edvinas Jakas</t>
    </r>
    <r>
      <rPr>
        <rFont val="&quot;Source Sans Pro&quot;, &quot;Source Sans Pro-fallback&quot;, sans-serif"/>
        <color theme="1"/>
        <sz val="9.0"/>
      </rPr>
      <t xml:space="preserve"> Goalkeeper</t>
    </r>
  </si>
  <si>
    <t>29/10/2006 (16)</t>
  </si>
  <si>
    <r>
      <rPr>
        <rFont val="&quot;Source Sans Pro&quot;, &quot;Source Sans Pro-fallback&quot;, sans-serif"/>
        <color rgb="FF000000"/>
        <sz val="9.0"/>
      </rPr>
      <t>Conor Kearns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Goalkeeper</t>
    </r>
  </si>
  <si>
    <t>06/05/1998 (24)</t>
  </si>
  <si>
    <r>
      <rPr>
        <rFont val="&quot;Source Sans Pro&quot;, &quot;Source Sans Pro-fallback&quot;, sans-serif"/>
        <color rgb="FF000000"/>
        <sz val="9.0"/>
      </rPr>
      <t>Kyle Gabbidon</t>
    </r>
    <r>
      <rPr>
        <rFont val="&quot;Source Sans Pro&quot;, &quot;Source Sans Pro-fallback&quot;, sans-serif"/>
        <color theme="1"/>
        <sz val="9.0"/>
      </rPr>
      <t xml:space="preserve"> Goalkeeper</t>
    </r>
  </si>
  <si>
    <t>25/05/2007 (15)</t>
  </si>
  <si>
    <r>
      <rPr>
        <rFont val="&quot;Source Sans Pro&quot;, &quot;Source Sans Pro-fallback&quot;, sans-serif"/>
        <color rgb="FF000000"/>
        <sz val="9.0"/>
      </rPr>
      <t>Toms Leitis</t>
    </r>
    <r>
      <rPr>
        <rFont val="&quot;Source Sans Pro&quot;, &quot;Source Sans Pro-fallback&quot;, sans-serif"/>
        <color theme="1"/>
        <sz val="9.0"/>
      </rPr>
      <t xml:space="preserve"> Goalkeeper</t>
    </r>
  </si>
  <si>
    <t>12/06/2004 (18)</t>
  </si>
  <si>
    <r>
      <rPr>
        <rFont val="&quot;Source Sans Pro&quot;, &quot;Source Sans Pro-fallback&quot;, sans-serif"/>
        <color rgb="FF000000"/>
        <sz val="9.0"/>
      </rPr>
      <t>Dáithí Folan</t>
    </r>
    <r>
      <rPr>
        <rFont val="&quot;Source Sans Pro&quot;, &quot;Source Sans Pro-fallback&quot;, sans-serif"/>
        <color theme="1"/>
        <sz val="9.0"/>
      </rPr>
      <t xml:space="preserve"> Goalkeeper</t>
    </r>
  </si>
  <si>
    <t>20/03/2005 (17)</t>
  </si>
  <si>
    <r>
      <rPr>
        <rFont val="&quot;Source Sans Pro&quot;, &quot;Source Sans Pro-fallback&quot;, sans-serif"/>
        <color rgb="FF000000"/>
        <sz val="9.0"/>
      </rPr>
      <t>Ollie Denham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</si>
  <si>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</si>
  <si>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Alex Noonan</t>
    </r>
    <r>
      <rPr>
        <rFont val="&quot;Source Sans Pro&quot;, &quot;Source Sans Pro-fallback&quot;, sans-serif"/>
        <color theme="1"/>
        <sz val="9.0"/>
      </rPr>
      <t xml:space="preserve"> Goalkeeper</t>
    </r>
  </si>
  <si>
    <t>15/07/2008 (14)</t>
  </si>
  <si>
    <r>
      <rPr>
        <rFont val="&quot;Source Sans Pro&quot;, &quot;Source Sans Pro-fallback&quot;, sans-serif"/>
        <color rgb="FF000000"/>
        <sz val="9.0"/>
      </rPr>
      <t>Ali Topcu</t>
    </r>
    <r>
      <rPr>
        <rFont val="&quot;Source Sans Pro&quot;, &quot;Source Sans Pro-fallback&quot;, sans-serif"/>
        <color theme="1"/>
        <sz val="9.0"/>
      </rPr>
      <t xml:space="preserve"> Goalkeeper</t>
    </r>
  </si>
  <si>
    <t>01/04/2008 (14)</t>
  </si>
  <si>
    <r>
      <rPr>
        <rFont val="&quot;Source Sans Pro&quot;, &quot;Source Sans Pro-fallback&quot;, sans-serif"/>
        <color rgb="FF000000"/>
        <sz val="9.0"/>
      </rPr>
      <t>Nando Pijnaker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</si>
  <si>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25/02/1999 (23)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</si>
  <si>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</si>
  <si>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Cian Kenna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</si>
  <si>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Fintan McNamara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</si>
  <si>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John Mahon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</si>
  <si>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26/11/1999 (23)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</si>
  <si>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</si>
  <si>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Barry Kealy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</si>
  <si>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Cormac O'Donoghue</t>
    </r>
    <r>
      <rPr>
        <rFont val="&quot;Source Sans Pro&quot;, &quot;Source Sans Pro-fallback&quot;, sans-serif"/>
        <color theme="1"/>
        <sz val="9.0"/>
      </rPr>
      <t xml:space="preserve"> Defender</t>
    </r>
  </si>
  <si>
    <r>
      <rPr>
        <rFont val="&quot;Source Sans Pro&quot;, &quot;Source Sans Pro-fallback&quot;, sans-serif"/>
        <color rgb="FF000000"/>
        <sz val="9.0"/>
      </rPr>
      <t>Charlie Wiggett</t>
    </r>
    <r>
      <rPr>
        <rFont val="&quot;Source Sans Pro&quot;, &quot;Source Sans Pro-fallback&quot;, sans-serif"/>
        <color theme="1"/>
        <sz val="9.0"/>
      </rPr>
      <t xml:space="preserve"> Centre-Back</t>
    </r>
  </si>
  <si>
    <t>02/11/2002 (20)</t>
  </si>
  <si>
    <r>
      <rPr>
        <rFont val="&quot;Source Sans Pro&quot;, &quot;Source Sans Pro-fallback&quot;, sans-serif"/>
        <color rgb="FF000000"/>
        <sz val="9.0"/>
      </rPr>
      <t>Dan Cleary</t>
    </r>
    <r>
      <rPr>
        <rFont val="&quot;Source Sans Pro&quot;, &quot;Source Sans Pro-fallback&quot;, sans-serif"/>
        <color theme="1"/>
        <sz val="9.0"/>
      </rPr>
      <t xml:space="preserve"> Centre-Back</t>
    </r>
  </si>
  <si>
    <t>09/03/1996 (26)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</si>
  <si>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</si>
  <si>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Sam Bone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</si>
  <si>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06/02/1998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</si>
  <si>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</si>
  <si>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David Jonathan</t>
    </r>
    <r>
      <rPr>
        <rFont val="&quot;Source Sans Pro&quot;, &quot;Source Sans Pro-fallback&quot;, sans-serif"/>
        <color theme="1"/>
        <sz val="9.0"/>
      </rPr>
      <t xml:space="preserve"> Centre-Back</t>
    </r>
  </si>
  <si>
    <t>12/04/2007 (15)</t>
  </si>
  <si>
    <r>
      <rPr>
        <rFont val="&quot;Source Sans Pro&quot;, &quot;Source Sans Pro-fallback&quot;, sans-serif"/>
        <color rgb="FF000000"/>
        <sz val="9.0"/>
      </rPr>
      <t>Sean Hoare</t>
    </r>
    <r>
      <rPr>
        <rFont val="&quot;Source Sans Pro&quot;, &quot;Source Sans Pro-fallback&quot;, sans-serif"/>
        <color theme="1"/>
        <sz val="9.0"/>
      </rPr>
      <t xml:space="preserve"> Centre-Back</t>
    </r>
  </si>
  <si>
    <t>15/03/1994 (28)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</si>
  <si>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</si>
  <si>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Kameron Ledwidge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</si>
  <si>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07/04/2001 (21)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</si>
  <si>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</si>
  <si>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Gareth McElroy</t>
    </r>
    <r>
      <rPr>
        <rFont val="&quot;Source Sans Pro&quot;, &quot;Source Sans Pro-fallback&quot;, sans-serif"/>
        <color theme="1"/>
        <sz val="9.0"/>
      </rPr>
      <t xml:space="preserve"> Centre-Back</t>
    </r>
  </si>
  <si>
    <t>24/11/2004 (18)</t>
  </si>
  <si>
    <r>
      <rPr>
        <rFont val="&quot;Source Sans Pro&quot;, &quot;Source Sans Pro-fallback&quot;, sans-serif"/>
        <color rgb="FF000000"/>
        <sz val="9.0"/>
      </rPr>
      <t>Roberto Lopes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</si>
  <si>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</si>
  <si>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Paddy Barrett</t>
    </r>
    <r>
      <rPr>
        <rFont val="&quot;Source Sans Pro&quot;, &quot;Source Sans Pro-fallback&quot;, sans-serif"/>
        <color theme="1"/>
        <sz val="9.0"/>
      </rPr>
      <t xml:space="preserve"> Centre-Back</t>
    </r>
  </si>
  <si>
    <t>22/07/1993 (29)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</si>
  <si>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</si>
  <si>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Reece Hutchinson</t>
    </r>
    <r>
      <rPr>
        <rFont val="&quot;Source Sans Pro&quot;, &quot;Source Sans Pro-fallback&quot;, sans-serif"/>
        <color theme="1"/>
        <sz val="9.0"/>
      </rPr>
      <t xml:space="preserve"> Left-Back</t>
    </r>
  </si>
  <si>
    <t>14/04/2000 (22)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</si>
  <si>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</si>
  <si>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Lee Grace</t>
    </r>
    <r>
      <rPr>
        <rFont val="&quot;Source Sans Pro&quot;, &quot;Source Sans Pro-fallback&quot;, sans-serif"/>
        <color theme="1"/>
        <sz val="9.0"/>
      </rPr>
      <t xml:space="preserve"> Centre-Back</t>
    </r>
  </si>
  <si>
    <t>01/12/1992 (30)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</si>
  <si>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</si>
  <si>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Gavin Molloy</t>
    </r>
    <r>
      <rPr>
        <rFont val="&quot;Source Sans Pro&quot;, &quot;Source Sans Pro-fallback&quot;, sans-serif"/>
        <color theme="1"/>
        <sz val="9.0"/>
      </rPr>
      <t xml:space="preserve"> Centre-Back</t>
    </r>
  </si>
  <si>
    <t>19/10/2001 (21)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</si>
  <si>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</si>
  <si>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John Ross Wilson</t>
    </r>
    <r>
      <rPr>
        <rFont val="&quot;Source Sans Pro&quot;, &quot;Source Sans Pro-fallback&quot;, sans-serif"/>
        <color theme="1"/>
        <sz val="9.0"/>
      </rPr>
      <t xml:space="preserve"> Right-Back</t>
    </r>
  </si>
  <si>
    <t>13/12/1998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</si>
  <si>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</si>
  <si>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Carl Lennox</t>
    </r>
    <r>
      <rPr>
        <rFont val="&quot;Source Sans Pro&quot;, &quot;Source Sans Pro-fallback&quot;, sans-serif"/>
        <color theme="1"/>
        <sz val="9.0"/>
      </rPr>
      <t xml:space="preserve"> Centre-Back</t>
    </r>
  </si>
  <si>
    <t>24/10/2004 (18)</t>
  </si>
  <si>
    <r>
      <rPr>
        <rFont val="&quot;Source Sans Pro&quot;, &quot;Source Sans Pro-fallback&quot;, sans-serif"/>
        <color rgb="FF000000"/>
        <sz val="9.0"/>
      </rPr>
      <t>Harvey Warren</t>
    </r>
    <r>
      <rPr>
        <rFont val="&quot;Source Sans Pro&quot;, &quot;Source Sans Pro-fallback&quot;, sans-serif"/>
        <color theme="1"/>
        <sz val="9.0"/>
      </rPr>
      <t xml:space="preserve"> Centre-Back</t>
    </r>
  </si>
  <si>
    <t>11/04/2004 (18)</t>
  </si>
  <si>
    <r>
      <rPr>
        <rFont val="&quot;Source Sans Pro&quot;, &quot;Source Sans Pro-fallback&quot;, sans-serif"/>
        <color rgb="FF000000"/>
        <sz val="9.0"/>
      </rPr>
      <t>Conor Reynolds</t>
    </r>
    <r>
      <rPr>
        <rFont val="&quot;Source Sans Pro&quot;, &quot;Source Sans Pro-fallback&quot;, sans-serif"/>
        <color theme="1"/>
        <sz val="9.0"/>
      </rPr>
      <t xml:space="preserve"> Right-Back</t>
    </r>
  </si>
  <si>
    <t>16/12/2006 (16)</t>
  </si>
  <si>
    <r>
      <rPr>
        <rFont val="&quot;Source Sans Pro&quot;, &quot;Source Sans Pro-fallback&quot;, sans-serif"/>
        <color rgb="FF000000"/>
        <sz val="9.0"/>
      </rPr>
      <t>Jonathan Kehir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</si>
  <si>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07/02/2006 (16)</t>
  </si>
  <si>
    <r>
      <rPr>
        <rFont val="&quot;Source Sans Pro&quot;, &quot;Source Sans Pro-fallback&quot;, sans-serif"/>
        <color rgb="FF000000"/>
        <sz val="9.0"/>
      </rPr>
      <t>Charles McGee</t>
    </r>
    <r>
      <rPr>
        <rFont val="&quot;Source Sans Pro&quot;, &quot;Source Sans Pro-fallback&quot;, sans-serif"/>
        <color theme="1"/>
        <sz val="9.0"/>
      </rPr>
      <t xml:space="preserve"> Centre-Back</t>
    </r>
  </si>
  <si>
    <t>14/02/2005 (17)</t>
  </si>
  <si>
    <r>
      <rPr>
        <rFont val="&quot;Source Sans Pro&quot;, &quot;Source Sans Pro-fallback&quot;, sans-serif"/>
        <color rgb="FF000000"/>
        <sz val="9.0"/>
      </rPr>
      <t>Aidan Gabbidon</t>
    </r>
    <r>
      <rPr>
        <rFont val="&quot;Source Sans Pro&quot;, &quot;Source Sans Pro-fallback&quot;, sans-serif"/>
        <color theme="1"/>
        <sz val="9.0"/>
      </rPr>
      <t xml:space="preserve"> Right-Back</t>
    </r>
  </si>
  <si>
    <t>23/01/2009 (13)</t>
  </si>
  <si>
    <r>
      <rPr>
        <rFont val="&quot;Source Sans Pro&quot;, &quot;Source Sans Pro-fallback&quot;, sans-serif"/>
        <color rgb="FF000000"/>
        <sz val="9.0"/>
      </rPr>
      <t>Kian Dignam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</si>
  <si>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Dylan Atanda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</si>
  <si>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Colin Mooney</t>
    </r>
    <r>
      <rPr>
        <rFont val="&quot;Source Sans Pro&quot;, &quot;Source Sans Pro-fallback&quot;, sans-serif"/>
        <color theme="1"/>
        <sz val="9.0"/>
      </rPr>
      <t xml:space="preserve"> Right-Back</t>
    </r>
  </si>
  <si>
    <t>11/08/2004 (18)</t>
  </si>
  <si>
    <r>
      <rPr>
        <rFont val="&quot;Source Sans Pro&quot;, &quot;Source Sans Pro-fallback&quot;, sans-serif"/>
        <color rgb="FF000000"/>
        <sz val="9.0"/>
      </rPr>
      <t>Cian Barrett</t>
    </r>
    <r>
      <rPr>
        <rFont val="&quot;Source Sans Pro&quot;, &quot;Source Sans Pro-fallback&quot;, sans-serif"/>
        <color theme="1"/>
        <sz val="9.0"/>
      </rPr>
      <t xml:space="preserve"> Centre-Back</t>
    </r>
  </si>
  <si>
    <t>19/04/2005 (17)</t>
  </si>
  <si>
    <r>
      <rPr>
        <rFont val="&quot;Source Sans Pro&quot;, &quot;Source Sans Pro-fallback&quot;, sans-serif"/>
        <color rgb="FF000000"/>
        <sz val="9.0"/>
      </rPr>
      <t>Lewis Temple</t>
    </r>
    <r>
      <rPr>
        <rFont val="&quot;Source Sans Pro&quot;, &quot;Source Sans Pro-fallback&quot;, sans-serif"/>
        <color theme="1"/>
        <sz val="9.0"/>
      </rPr>
      <t xml:space="preserve"> Centre-Back</t>
    </r>
  </si>
  <si>
    <t>11/06/2005 (17)</t>
  </si>
  <si>
    <r>
      <rPr>
        <rFont val="&quot;Source Sans Pro&quot;, &quot;Source Sans Pro-fallback&quot;, sans-serif"/>
        <color rgb="FF000000"/>
        <sz val="9.0"/>
      </rPr>
      <t>Jack Henry-Francis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</si>
  <si>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23/09/2003 (19)</t>
  </si>
  <si>
    <r>
      <rPr>
        <rFont val="&quot;Source Sans Pro&quot;, &quot;Source Sans Pro-fallback&quot;, sans-serif"/>
        <color rgb="FF000000"/>
        <sz val="9.0"/>
      </rPr>
      <t>James Roche</t>
    </r>
    <r>
      <rPr>
        <rFont val="&quot;Source Sans Pro&quot;, &quot;Source Sans Pro-fallback&quot;, sans-serif"/>
        <color theme="1"/>
        <sz val="9.0"/>
      </rPr>
      <t xml:space="preserve"> Centre-Back</t>
    </r>
  </si>
  <si>
    <t>07/10/2007 (15)</t>
  </si>
  <si>
    <r>
      <rPr>
        <rFont val="&quot;Source Sans Pro&quot;, &quot;Source Sans Pro-fallback&quot;, sans-serif"/>
        <color rgb="FF000000"/>
        <sz val="9.0"/>
      </rPr>
      <t>Luca Cailloce</t>
    </r>
    <r>
      <rPr>
        <rFont val="&quot;Source Sans Pro&quot;, &quot;Source Sans Pro-fallback&quot;, sans-serif"/>
        <color theme="1"/>
        <sz val="9.0"/>
      </rPr>
      <t xml:space="preserve"> Centre-Back</t>
    </r>
  </si>
  <si>
    <t>01/11/2007 (15)</t>
  </si>
  <si>
    <r>
      <rPr>
        <rFont val="&quot;Source Sans Pro&quot;, &quot;Source Sans Pro-fallback&quot;, sans-serif"/>
        <color rgb="FF000000"/>
        <sz val="9.0"/>
      </rPr>
      <t>Sean McAteer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</si>
  <si>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25/10/2003 (19)</t>
  </si>
  <si>
    <r>
      <rPr>
        <rFont val="&quot;Source Sans Pro&quot;, &quot;Source Sans Pro-fallback&quot;, sans-serif"/>
        <color rgb="FF000000"/>
        <sz val="9.0"/>
      </rPr>
      <t>Cory O'Sullivan</t>
    </r>
    <r>
      <rPr>
        <rFont val="&quot;Source Sans Pro&quot;, &quot;Source Sans Pro-fallback&quot;, sans-serif"/>
        <color theme="1"/>
        <sz val="9.0"/>
      </rPr>
      <t xml:space="preserve"> Centre-Back</t>
    </r>
  </si>
  <si>
    <t>02/05/2006 (16)</t>
  </si>
  <si>
    <r>
      <rPr>
        <rFont val="&quot;Source Sans Pro&quot;, &quot;Source Sans Pro-fallback&quot;, sans-serif"/>
        <color rgb="FF000000"/>
        <sz val="9.0"/>
      </rPr>
      <t>Taylor McCarthy</t>
    </r>
    <r>
      <rPr>
        <rFont val="&quot;Source Sans Pro&quot;, &quot;Source Sans Pro-fallback&quot;, sans-serif"/>
        <color theme="1"/>
        <sz val="9.0"/>
      </rPr>
      <t xml:space="preserve"> Centre-Back</t>
    </r>
  </si>
  <si>
    <t>14/04/2007 (15)</t>
  </si>
  <si>
    <r>
      <rPr>
        <rFont val="&quot;Source Sans Pro&quot;, &quot;Source Sans Pro-fallback&quot;, sans-serif"/>
        <color rgb="FF000000"/>
        <sz val="9.0"/>
      </rPr>
      <t>Conor Cannon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</si>
  <si>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Trevor Clarke</t>
    </r>
    <r>
      <rPr>
        <rFont val="&quot;Source Sans Pro&quot;, &quot;Source Sans Pro-fallback&quot;, sans-serif"/>
        <color theme="1"/>
        <sz val="9.0"/>
      </rPr>
      <t xml:space="preserve"> Left-Back</t>
    </r>
  </si>
  <si>
    <t>26/03/1998 (24)</t>
  </si>
  <si>
    <t>1,65m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</si>
  <si>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</si>
  <si>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Raymond Offor</t>
    </r>
    <r>
      <rPr>
        <rFont val="&quot;Source Sans Pro&quot;, &quot;Source Sans Pro-fallback&quot;, sans-serif"/>
        <color theme="1"/>
        <sz val="9.0"/>
      </rPr>
      <t xml:space="preserve"> Centre-Back</t>
    </r>
  </si>
  <si>
    <t>26/08/2007 (15)</t>
  </si>
  <si>
    <r>
      <rPr>
        <rFont val="&quot;Source Sans Pro&quot;, &quot;Source Sans Pro-fallback&quot;, sans-serif"/>
        <color rgb="FF000000"/>
        <sz val="9.0"/>
      </rPr>
      <t>Niall Morahan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</si>
  <si>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30/05/2000 (22)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</si>
  <si>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</si>
  <si>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Sean Kavanagh</t>
    </r>
    <r>
      <rPr>
        <rFont val="&quot;Source Sans Pro&quot;, &quot;Source Sans Pro-fallback&quot;, sans-serif"/>
        <color theme="1"/>
        <sz val="9.0"/>
      </rPr>
      <t xml:space="preserve"> Left-Back</t>
    </r>
  </si>
  <si>
    <t>20/01/1994 (28)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</si>
  <si>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</si>
  <si>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Tyreke Wilson</t>
    </r>
    <r>
      <rPr>
        <rFont val="&quot;Source Sans Pro&quot;, &quot;Source Sans Pro-fallback&quot;, sans-serif"/>
        <color theme="1"/>
        <sz val="9.0"/>
      </rPr>
      <t xml:space="preserve"> Left-Back</t>
    </r>
  </si>
  <si>
    <t>02/12/1999 (23)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</si>
  <si>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</si>
  <si>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Connor Malley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</si>
  <si>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</si>
  <si>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Kieran Cruise</t>
    </r>
    <r>
      <rPr>
        <rFont val="&quot;Source Sans Pro&quot;, &quot;Source Sans Pro-fallback&quot;, sans-serif"/>
        <color theme="1"/>
        <sz val="9.0"/>
      </rPr>
      <t xml:space="preserve"> Left-Back</t>
    </r>
  </si>
  <si>
    <t>03/01/2004 (18)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</si>
  <si>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</si>
  <si>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Shane Griffin</t>
    </r>
    <r>
      <rPr>
        <rFont val="&quot;Source Sans Pro&quot;, &quot;Source Sans Pro-fallback&quot;, sans-serif"/>
        <color theme="1"/>
        <sz val="9.0"/>
      </rPr>
      <t xml:space="preserve"> Left-Back</t>
    </r>
  </si>
  <si>
    <t>08/09/1994 (28)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</si>
  <si>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</si>
  <si>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Shea Malone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</si>
  <si>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01/02/2005 (17)</t>
  </si>
  <si>
    <r>
      <rPr>
        <rFont val="&quot;Source Sans Pro&quot;, &quot;Source Sans Pro-fallback&quot;, sans-serif"/>
        <color rgb="FF000000"/>
        <sz val="9.0"/>
      </rPr>
      <t>Josh Honohan</t>
    </r>
    <r>
      <rPr>
        <rFont val="&quot;Source Sans Pro&quot;, &quot;Source Sans Pro-fallback&quot;, sans-serif"/>
        <color theme="1"/>
        <sz val="9.0"/>
      </rPr>
      <t xml:space="preserve"> Left-Back</t>
    </r>
  </si>
  <si>
    <t>28/03/2001 (21)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</si>
  <si>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</si>
  <si>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Derinsola Adewale</t>
    </r>
    <r>
      <rPr>
        <rFont val="&quot;Source Sans Pro&quot;, &quot;Source Sans Pro-fallback&quot;, sans-serif"/>
        <color theme="1"/>
        <sz val="9.0"/>
      </rPr>
      <t xml:space="preserve"> Left-Back</t>
    </r>
  </si>
  <si>
    <t>28/06/2005 (17)</t>
  </si>
  <si>
    <r>
      <rPr>
        <rFont val="&quot;Source Sans Pro&quot;, &quot;Source Sans Pro-fallback&quot;, sans-serif"/>
        <color rgb="FF000000"/>
        <sz val="9.0"/>
      </rPr>
      <t>Simon Power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</si>
  <si>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13/05/1998 (24)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</si>
  <si>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</si>
  <si>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Ade Solanke</t>
    </r>
    <r>
      <rPr>
        <rFont val="&quot;Source Sans Pro&quot;, &quot;Source Sans Pro-fallback&quot;, sans-serif"/>
        <color theme="1"/>
        <sz val="9.0"/>
      </rPr>
      <t xml:space="preserve"> Left-Back</t>
    </r>
  </si>
  <si>
    <t>09/01/2008 (14)</t>
  </si>
  <si>
    <r>
      <rPr>
        <rFont val="&quot;Source Sans Pro&quot;, &quot;Source Sans Pro-fallback&quot;, sans-serif"/>
        <color rgb="FF000000"/>
        <sz val="9.0"/>
      </rPr>
      <t>Sean Gannon</t>
    </r>
    <r>
      <rPr>
        <rFont val="&quot;Source Sans Pro&quot;, &quot;Source Sans Pro-fallback&quot;, sans-serif"/>
        <color theme="1"/>
        <sz val="9.0"/>
      </rPr>
      <t xml:space="preserve"> Right-Back</t>
    </r>
  </si>
  <si>
    <t>11/07/1991 (31)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</si>
  <si>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</si>
  <si>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Kevin Muldoon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</si>
  <si>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31/07/2006 (16)</t>
  </si>
  <si>
    <r>
      <rPr>
        <rFont val="&quot;Source Sans Pro&quot;, &quot;Source Sans Pro-fallback&quot;, sans-serif"/>
        <color rgb="FF000000"/>
        <sz val="9.0"/>
      </rPr>
      <t>Sean Gannon</t>
    </r>
    <r>
      <rPr>
        <rFont val="&quot;Source Sans Pro&quot;, &quot;Source Sans Pro-fallback&quot;, sans-serif"/>
        <color theme="1"/>
        <sz val="9.0"/>
      </rPr>
      <t xml:space="preserve"> Right-Back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</si>
  <si>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</si>
  <si>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Fiachra Coffey</t>
    </r>
    <r>
      <rPr>
        <rFont val="&quot;Source Sans Pro&quot;, &quot;Source Sans Pro-fallback&quot;, sans-serif"/>
        <color theme="1"/>
        <sz val="9.0"/>
      </rPr>
      <t xml:space="preserve"> Right-Back</t>
    </r>
  </si>
  <si>
    <t>27/01/2007 (15)</t>
  </si>
  <si>
    <r>
      <rPr>
        <rFont val="&quot;Source Sans Pro&quot;, &quot;Source Sans Pro-fallback&quot;, sans-serif"/>
        <color rgb="FF000000"/>
        <sz val="9.0"/>
      </rPr>
      <t>Ellis Chapman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</si>
  <si>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</si>
  <si>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Gary O'Neill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</si>
  <si>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27/01/1995 (27)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</si>
  <si>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</si>
  <si>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JJ Lunney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</si>
  <si>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02/02/1998 (24)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</si>
  <si>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</si>
  <si>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Stefan Radosavljevic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</si>
  <si>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08/09/2000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</si>
  <si>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</si>
  <si>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Muhammad Oladiti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</si>
  <si>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25/03/2008 (14)</t>
  </si>
  <si>
    <r>
      <rPr>
        <rFont val="&quot;Source Sans Pro&quot;, &quot;Source Sans Pro-fallback&quot;, sans-serif"/>
        <color rgb="FF000000"/>
        <sz val="9.0"/>
      </rPr>
      <t>Leo Healy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</si>
  <si>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Kailin Barlow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</si>
  <si>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28/06/2003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</si>
  <si>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</si>
  <si>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Harry Murray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</si>
  <si>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Cillian Kavanagh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</si>
  <si>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Kyle McDonagh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</si>
  <si>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color rgb="FF000000"/>
        <sz val="9.0"/>
      </rPr>
      <t>Aaron McEneff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</si>
  <si>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09/07/1995 (27)</t>
  </si>
  <si>
    <r>
      <rPr>
        <rFont val="&quot;Source Sans Pro&quot;, &quot;Source Sans Pro-fallback&quot;, sans-serif"/>
        <b/>
        <color rgb="FF1155CC"/>
        <sz val="9.0"/>
        <u/>
      </rPr>
      <t>€400k</t>
    </r>
  </si>
  <si>
    <r>
      <rPr>
        <rFont val="&quot;Source Sans Pro&quot;, &quot;Source Sans Pro-fallback&quot;, sans-serif"/>
        <color rgb="FF000000"/>
        <sz val="9.0"/>
      </rPr>
      <t>Shane Farrell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</si>
  <si>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</si>
  <si>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Daire Patton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</si>
  <si>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15/01/2006 (16)</t>
  </si>
  <si>
    <r>
      <rPr>
        <rFont val="&quot;Source Sans Pro&quot;, &quot;Source Sans Pro-fallback&quot;, sans-serif"/>
        <color rgb="FF000000"/>
        <sz val="9.0"/>
      </rPr>
      <t>Markus Poom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</si>
  <si>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27/02/1999 (23)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</si>
  <si>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</si>
  <si>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color rgb="FF000000"/>
        <sz val="9.0"/>
      </rPr>
      <t>Mark Coyle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</si>
  <si>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13/02/1997 (25)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</si>
  <si>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</si>
  <si>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Will Fitzgerald</t>
    </r>
    <r>
      <rPr>
        <rFont val="&quot;Source Sans Pro&quot;, &quot;Source Sans Pro-fallback&quot;, sans-serif"/>
        <color theme="1"/>
        <sz val="9.0"/>
      </rPr>
      <t xml:space="preserve"> Left Winger</t>
    </r>
  </si>
  <si>
    <t>19/05/1999 (23)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</si>
  <si>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</si>
  <si>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Richie Towell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</si>
  <si>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17/07/1991 (31)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</si>
  <si>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</si>
  <si>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Aaron Maloney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</si>
  <si>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30/04/2006 (16)</t>
  </si>
  <si>
    <r>
      <rPr>
        <rFont val="&quot;Source Sans Pro&quot;, &quot;Source Sans Pro-fallback&quot;, sans-serif"/>
        <color rgb="FF000000"/>
        <sz val="9.0"/>
      </rPr>
      <t>Stephen Mallon</t>
    </r>
    <r>
      <rPr>
        <rFont val="&quot;Source Sans Pro&quot;, &quot;Source Sans Pro-fallback&quot;, sans-serif"/>
        <color theme="1"/>
        <sz val="9.0"/>
      </rPr>
      <t xml:space="preserve"> Left Winger</t>
    </r>
  </si>
  <si>
    <t>07/02/1999 (23)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</si>
  <si>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</si>
  <si>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Dylan Watts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</si>
  <si>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11/04/1997 (25)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</si>
  <si>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</si>
  <si>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Cian Doyle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</si>
  <si>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07/01/2005 (17)</t>
  </si>
  <si>
    <r>
      <rPr>
        <rFont val="&quot;Source Sans Pro&quot;, &quot;Source Sans Pro-fallback&quot;, sans-serif"/>
        <color rgb="FF000000"/>
        <sz val="9.0"/>
      </rPr>
      <t>Fabrice Hartmann</t>
    </r>
    <r>
      <rPr>
        <rFont val="&quot;Source Sans Pro&quot;, &quot;Source Sans Pro-fallback&quot;, sans-serif"/>
        <color theme="1"/>
        <sz val="9.0"/>
      </rPr>
      <t xml:space="preserve"> Right Winger</t>
    </r>
  </si>
  <si>
    <t>02/03/2001 (21)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</si>
  <si>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</si>
  <si>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color rgb="FF000000"/>
        <sz val="9.0"/>
      </rPr>
      <t>Darragh Nugent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</si>
  <si>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01/03/2001 (21)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</si>
  <si>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</si>
  <si>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Liam Burt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</si>
  <si>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01/02/1999 (23)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</si>
  <si>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</si>
  <si>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Max Mata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</si>
  <si>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10/07/2000 (22)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</si>
  <si>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</si>
  <si>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color rgb="FF000000"/>
        <sz val="9.0"/>
      </rPr>
      <t>Ronan Finn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</si>
  <si>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21/12/1987 (35)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</si>
  <si>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</si>
  <si>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John O'Sullivan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</si>
  <si>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18/09/1993 (29)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</si>
  <si>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</si>
  <si>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Rein Smit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</si>
  <si>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05/01/2001 (21)</t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</si>
  <si>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</si>
  <si>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r>
      <rPr>
        <rFont val="&quot;Source Sans Pro&quot;, &quot;Source Sans Pro-fallback&quot;, sans-serif"/>
        <color rgb="FF000000"/>
        <sz val="9.0"/>
      </rPr>
      <t>Richard Vodo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</si>
  <si>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06/01/2007 (15)</t>
  </si>
  <si>
    <r>
      <rPr>
        <rFont val="&quot;Source Sans Pro&quot;, &quot;Source Sans Pro-fallback&quot;, sans-serif"/>
        <color rgb="FF000000"/>
        <sz val="9.0"/>
      </rPr>
      <t>Evan Caffrey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</si>
  <si>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27/02/2003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</si>
  <si>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</si>
  <si>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Wilson Waweru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</si>
  <si>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27/12/2000 (22)</t>
  </si>
  <si>
    <r>
      <rPr>
        <rFont val="&quot;Source Sans Pro&quot;, &quot;Source Sans Pro-fallback&quot;, sans-serif"/>
        <color rgb="FF000000"/>
        <sz val="9.0"/>
      </rPr>
      <t>Tristan Donnelly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</si>
  <si>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color rgb="FF000000"/>
        <sz val="9.0"/>
      </rPr>
      <t>Sean Cummins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</si>
  <si>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09/01/2005 (17)</t>
  </si>
  <si>
    <r>
      <rPr>
        <rFont val="&quot;Source Sans Pro&quot;, &quot;Source Sans Pro-fallback&quot;, sans-serif"/>
        <color rgb="FF000000"/>
        <sz val="9.0"/>
      </rPr>
      <t>Luke Pearce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</si>
  <si>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08/06/2004 (18)</t>
  </si>
  <si>
    <r>
      <rPr>
        <rFont val="&quot;Source Sans Pro&quot;, &quot;Source Sans Pro-fallback&quot;, sans-serif"/>
        <color rgb="FF000000"/>
        <sz val="9.0"/>
      </rPr>
      <t>Ryan Ritchie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</si>
  <si>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23/05/2006 (16)</t>
  </si>
  <si>
    <r>
      <rPr>
        <rFont val="&quot;Source Sans Pro&quot;, &quot;Source Sans Pro-fallback&quot;, sans-serif"/>
        <color rgb="FF000000"/>
        <sz val="9.0"/>
      </rPr>
      <t>Ali Coote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</si>
  <si>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11/06/1998 (24)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</si>
  <si>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</si>
  <si>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Owen Elding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</si>
  <si>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07/03/2006 (16)</t>
  </si>
  <si>
    <r>
      <rPr>
        <rFont val="&quot;Source Sans Pro&quot;, &quot;Source Sans Pro-fallback&quot;, sans-serif"/>
        <color rgb="FF000000"/>
        <sz val="9.0"/>
      </rPr>
      <t>John O'Sullivan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</si>
  <si>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29/01/2006 (16)</t>
  </si>
  <si>
    <r>
      <rPr>
        <rFont val="&quot;Source Sans Pro&quot;, &quot;Source Sans Pro-fallback&quot;, sans-serif"/>
        <color rgb="FF000000"/>
        <sz val="9.0"/>
      </rPr>
      <t>Jad Hakiki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</si>
  <si>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</si>
  <si>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Zak Reddy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</si>
  <si>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13/03/2007 (15)</t>
  </si>
  <si>
    <r>
      <rPr>
        <rFont val="&quot;Source Sans Pro&quot;, &quot;Source Sans Pro-fallback&quot;, sans-serif"/>
        <color rgb="FF000000"/>
        <sz val="9.0"/>
      </rPr>
      <t>Keith Ward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</si>
  <si>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12/10/1990 (32)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</si>
  <si>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</si>
  <si>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Liam Burt</t>
    </r>
    <r>
      <rPr>
        <rFont val="&quot;Source Sans Pro&quot;, &quot;Source Sans Pro-fallback&quot;, sans-serif"/>
        <color theme="1"/>
        <sz val="9.0"/>
      </rPr>
      <t xml:space="preserve"> Right Midfield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</si>
  <si>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</si>
  <si>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Harry Wood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</si>
  <si>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02/08/2002 (20)</t>
  </si>
  <si>
    <r>
      <rPr>
        <rFont val="&quot;Source Sans Pro&quot;, &quot;Source Sans Pro-fallback&quot;, sans-serif"/>
        <color rgb="FF000000"/>
        <sz val="9.0"/>
      </rPr>
      <t>Darragh Burns</t>
    </r>
    <r>
      <rPr>
        <rFont val="&quot;Source Sans Pro&quot;, &quot;Source Sans Pro-fallback&quot;, sans-serif"/>
        <color theme="1"/>
        <sz val="9.0"/>
      </rPr>
      <t xml:space="preserve"> Right Midfield</t>
    </r>
  </si>
  <si>
    <t>06/08/2002 (20)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</si>
  <si>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</si>
  <si>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Aiden O'Brien</t>
    </r>
    <r>
      <rPr>
        <rFont val="&quot;Source Sans Pro&quot;, &quot;Source Sans Pro-fallback&quot;, sans-serif"/>
        <color theme="1"/>
        <sz val="9.0"/>
      </rPr>
      <t xml:space="preserve"> Left Winger</t>
    </r>
  </si>
  <si>
    <t>04/10/1993 (29)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</si>
  <si>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</si>
  <si>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color rgb="FF000000"/>
        <sz val="9.0"/>
      </rPr>
      <t>Simon Power</t>
    </r>
    <r>
      <rPr>
        <rFont val="&quot;Source Sans Pro&quot;, &quot;Source Sans Pro-fallback&quot;, sans-serif"/>
        <color theme="1"/>
        <sz val="9.0"/>
      </rPr>
      <t xml:space="preserve"> Right Midfield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</si>
  <si>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</si>
  <si>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Rayhaan Tulloch</t>
    </r>
    <r>
      <rPr>
        <rFont val="&quot;Source Sans Pro&quot;, &quot;Source Sans Pro-fallback&quot;, sans-serif"/>
        <color theme="1"/>
        <sz val="9.0"/>
      </rPr>
      <t xml:space="preserve"> Left Winger</t>
    </r>
  </si>
  <si>
    <t>20/01/2001 (21)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</si>
  <si>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</si>
  <si>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Neil Farrugia</t>
    </r>
    <r>
      <rPr>
        <rFont val="&quot;Source Sans Pro&quot;, &quot;Source Sans Pro-fallback&quot;, sans-serif"/>
        <color theme="1"/>
        <sz val="9.0"/>
      </rPr>
      <t xml:space="preserve"> Left Midfield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</si>
  <si>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</si>
  <si>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Will Jarvis</t>
    </r>
    <r>
      <rPr>
        <rFont val="&quot;Source Sans Pro&quot;, &quot;Source Sans Pro-fallback&quot;, sans-serif"/>
        <color theme="1"/>
        <sz val="9.0"/>
      </rPr>
      <t xml:space="preserve"> Left Winger</t>
    </r>
  </si>
  <si>
    <t>17/12/2002 (20)</t>
  </si>
  <si>
    <r>
      <rPr>
        <rFont val="&quot;Source Sans Pro&quot;, &quot;Source Sans Pro-fallback&quot;, sans-serif"/>
        <color rgb="FF000000"/>
        <sz val="9.0"/>
      </rPr>
      <t>Jack Byrne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</si>
  <si>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24/04/1996 (26)</t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</si>
  <si>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</si>
  <si>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r>
      <rPr>
        <rFont val="&quot;Source Sans Pro&quot;, &quot;Source Sans Pro-fallback&quot;, sans-serif"/>
        <color rgb="FF000000"/>
        <sz val="9.0"/>
      </rPr>
      <t>Matty Smith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</si>
  <si>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13/03/1997 (25)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</si>
  <si>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</si>
  <si>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Daniel Mandroiu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</si>
  <si>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20/10/1998 (24)</t>
  </si>
  <si>
    <r>
      <rPr>
        <rFont val="&quot;Source Sans Pro&quot;, &quot;Source Sans Pro-fallback&quot;, sans-serif"/>
        <b/>
        <color rgb="FF1155CC"/>
        <sz val="9.0"/>
        <u/>
      </rPr>
      <t>€375k</t>
    </r>
  </si>
  <si>
    <r>
      <rPr>
        <rFont val="&quot;Source Sans Pro&quot;, &quot;Source Sans Pro-fallback&quot;, sans-serif"/>
        <color rgb="FF000000"/>
        <sz val="9.0"/>
      </rPr>
      <t>Sean Boyd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</si>
  <si>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20/06/1998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</si>
  <si>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</si>
  <si>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Conan Noonan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</si>
  <si>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17/01/2003 (19)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</si>
  <si>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</si>
  <si>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John Martin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</si>
  <si>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</si>
  <si>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Naj Razi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</si>
  <si>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28/10/2006 (16)</t>
  </si>
  <si>
    <r>
      <rPr>
        <rFont val="&quot;Source Sans Pro&quot;, &quot;Source Sans Pro-fallback&quot;, sans-serif"/>
        <color rgb="FF000000"/>
        <sz val="9.0"/>
      </rPr>
      <t>Dean Williams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</si>
  <si>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09/02/2000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</si>
  <si>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</si>
  <si>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Goodness Ogbonna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</si>
  <si>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02/01/2008 (14)</t>
  </si>
  <si>
    <r>
      <rPr>
        <rFont val="&quot;Source Sans Pro&quot;, &quot;Source Sans Pro-fallback&quot;, sans-serif"/>
        <color rgb="FF000000"/>
        <sz val="9.0"/>
      </rPr>
      <t>Gavin Hodgins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</si>
  <si>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06/06/2005 (17)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</si>
  <si>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</si>
  <si>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color rgb="FF000000"/>
        <sz val="9.0"/>
      </rPr>
      <t>Gideon Tetteh</t>
    </r>
    <r>
      <rPr>
        <rFont val="&quot;Source Sans Pro&quot;, &quot;Source Sans Pro-fallback&quot;, sans-serif"/>
        <color theme="1"/>
        <sz val="9.0"/>
      </rPr>
      <t xml:space="preserve"> Left Winger</t>
    </r>
  </si>
  <si>
    <t>30/05/2005 (17)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</si>
  <si>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</si>
  <si>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Daniel Bergin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</si>
  <si>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Brody Lee</t>
    </r>
    <r>
      <rPr>
        <rFont val="&quot;Source Sans Pro&quot;, &quot;Source Sans Pro-fallback&quot;, sans-serif"/>
        <color theme="1"/>
        <sz val="9.0"/>
      </rPr>
      <t xml:space="preserve"> Left Winger</t>
    </r>
  </si>
  <si>
    <t>31/07/2008 (14)</t>
  </si>
  <si>
    <r>
      <rPr>
        <rFont val="&quot;Source Sans Pro&quot;, &quot;Source Sans Pro-fallback&quot;, sans-serif"/>
        <color rgb="FF000000"/>
        <sz val="9.0"/>
      </rPr>
      <t>Darragh Murtagh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</si>
  <si>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Daniel Mare</t>
    </r>
    <r>
      <rPr>
        <rFont val="&quot;Source Sans Pro&quot;, &quot;Source Sans Pro-fallback&quot;, sans-serif"/>
        <color theme="1"/>
        <sz val="9.0"/>
      </rPr>
      <t xml:space="preserve"> Right Winger</t>
    </r>
  </si>
  <si>
    <t>01/04/2007 (15)</t>
  </si>
  <si>
    <r>
      <rPr>
        <rFont val="&quot;Source Sans Pro&quot;, &quot;Source Sans Pro-fallback&quot;, sans-serif"/>
        <color rgb="FF000000"/>
        <sz val="9.0"/>
      </rPr>
      <t>Tyreik Sammy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</si>
  <si>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09/06/2006 (16)</t>
  </si>
  <si>
    <r>
      <rPr>
        <rFont val="&quot;Source Sans Pro&quot;, &quot;Source Sans Pro-fallback&quot;, sans-serif"/>
        <color rgb="FF000000"/>
        <sz val="9.0"/>
      </rPr>
      <t>Max Kovalevskis</t>
    </r>
    <r>
      <rPr>
        <rFont val="&quot;Source Sans Pro&quot;, &quot;Source Sans Pro-fallback&quot;, sans-serif"/>
        <color theme="1"/>
        <sz val="9.0"/>
      </rPr>
      <t xml:space="preserve"> Right Winger</t>
    </r>
  </si>
  <si>
    <r>
      <rPr>
        <rFont val="&quot;Source Sans Pro&quot;, &quot;Source Sans Pro-fallback&quot;, sans-serif"/>
        <color rgb="FF000000"/>
        <sz val="9.0"/>
      </rPr>
      <t>Mark Isong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</si>
  <si>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26/01/2006 (16)</t>
  </si>
  <si>
    <r>
      <rPr>
        <rFont val="&quot;Source Sans Pro&quot;, &quot;Source Sans Pro-fallback&quot;, sans-serif"/>
        <color rgb="FF000000"/>
        <sz val="9.0"/>
      </rPr>
      <t>Graham Burke</t>
    </r>
    <r>
      <rPr>
        <rFont val="&quot;Source Sans Pro&quot;, &quot;Source Sans Pro-fallback&quot;, sans-serif"/>
        <color theme="1"/>
        <sz val="9.0"/>
      </rPr>
      <t xml:space="preserve"> Second Striker</t>
    </r>
  </si>
  <si>
    <t>21/09/1993 (29)</t>
  </si>
  <si>
    <r>
      <rPr>
        <rFont val="&quot;Source Sans Pro&quot;, &quot;Source Sans Pro-fallback&quot;, sans-serif"/>
        <b/>
        <color rgb="FF1155CC"/>
        <sz val="9.0"/>
        <u/>
      </rPr>
      <t>€275k</t>
    </r>
  </si>
  <si>
    <r>
      <rPr>
        <rFont val="&quot;Source Sans Pro&quot;, &quot;Source Sans Pro-fallback&quot;, sans-serif"/>
        <color rgb="FF000000"/>
        <sz val="9.0"/>
      </rPr>
      <t>Dan Ring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</si>
  <si>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03/02/2007 (15)</t>
  </si>
  <si>
    <r>
      <rPr>
        <rFont val="&quot;Source Sans Pro&quot;, &quot;Source Sans Pro-fallback&quot;, sans-serif"/>
        <color rgb="FF000000"/>
        <sz val="9.0"/>
      </rPr>
      <t>Marc McNulty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</si>
  <si>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14/09/1992 (30)</t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</si>
  <si>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</si>
  <si>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r>
      <rPr>
        <rFont val="&quot;Source Sans Pro&quot;, &quot;Source Sans Pro-fallback&quot;, sans-serif"/>
        <color rgb="FF000000"/>
        <sz val="9.0"/>
      </rPr>
      <t>Johnny Kenny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</si>
  <si>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</si>
  <si>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Rory Gaffney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</si>
  <si>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23/10/1989 (33)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</si>
  <si>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</si>
  <si>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Aaron Greene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</si>
  <si>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02/01/1990 (32)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</si>
  <si>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</si>
  <si>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Charles Akinrintayo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</si>
  <si>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06/06/2008 (14)</t>
  </si>
  <si>
    <r>
      <rPr>
        <rFont val="&quot;Source Sans Pro&quot;, &quot;Source Sans Pro-fallback&quot;, sans-serif"/>
        <color rgb="FF000000"/>
        <sz val="9.0"/>
      </rPr>
      <t>Darragh Marshall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</si>
  <si>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19/02/2007 (15)</t>
  </si>
  <si>
    <r>
      <rPr>
        <rFont val="&quot;Source Sans Pro&quot;, &quot;Source Sans Pro-fallback&quot;, sans-serif"/>
        <color rgb="FF000000"/>
        <sz val="9.0"/>
      </rPr>
      <t>Eric Koufie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</si>
  <si>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Cian Dillon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</si>
  <si>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Matthew Britton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</si>
  <si>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04/11/2007 (15)</t>
  </si>
  <si>
    <r>
      <rPr>
        <rFont val="&quot;Source Sans Pro&quot;, &quot;Source Sans Pro-fallback&quot;, sans-serif"/>
        <color rgb="FF000000"/>
        <sz val="9.0"/>
      </rPr>
      <t>Danny Rogers</t>
    </r>
    <r>
      <rPr>
        <rFont val="&quot;Source Sans Pro&quot;, &quot;Source Sans Pro-fallback&quot;, sans-serif"/>
        <color theme="1"/>
        <sz val="9.0"/>
      </rPr>
      <t xml:space="preserve"> Goalkeeper</t>
    </r>
  </si>
  <si>
    <t>23/03/1994 (28)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</si>
  <si>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</si>
  <si>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Dean Lyness</t>
    </r>
    <r>
      <rPr>
        <rFont val="&quot;Source Sans Pro&quot;, &quot;Source Sans Pro-fallback&quot;, sans-serif"/>
        <color theme="1"/>
        <sz val="9.0"/>
      </rPr>
      <t xml:space="preserve"> Goalkeeper</t>
    </r>
  </si>
  <si>
    <t>20/07/1991 (31)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</si>
  <si>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</si>
  <si>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Joseph Anang</t>
    </r>
    <r>
      <rPr>
        <rFont val="&quot;Source Sans Pro&quot;, &quot;Source Sans Pro-fallback&quot;, sans-serif"/>
        <color theme="1"/>
        <sz val="9.0"/>
      </rPr>
      <t xml:space="preserve"> Goalkeeper</t>
    </r>
  </si>
  <si>
    <t>08/06/2000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</si>
  <si>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</si>
  <si>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Marcelo Pitaluga</t>
    </r>
    <r>
      <rPr>
        <rFont val="&quot;Source Sans Pro&quot;, &quot;Source Sans Pro-fallback&quot;, sans-serif"/>
        <color theme="1"/>
        <sz val="9.0"/>
      </rPr>
      <t xml:space="preserve"> Goalkeeper</t>
    </r>
  </si>
  <si>
    <t>20/12/2002 (20)</t>
  </si>
  <si>
    <r>
      <rPr>
        <rFont val="&quot;Source Sans Pro&quot;, &quot;Source Sans Pro-fallback&quot;, sans-serif"/>
        <color rgb="FF000000"/>
        <sz val="9.0"/>
      </rPr>
      <t>Daragh Mooney</t>
    </r>
    <r>
      <rPr>
        <rFont val="&quot;Source Sans Pro&quot;, &quot;Source Sans Pro-fallback&quot;, sans-serif"/>
        <color theme="1"/>
        <sz val="9.0"/>
      </rPr>
      <t xml:space="preserve"> Goalkeeper</t>
    </r>
  </si>
  <si>
    <t>08/12/2004 (18)</t>
  </si>
  <si>
    <r>
      <rPr>
        <rFont val="&quot;Source Sans Pro&quot;, &quot;Source Sans Pro-fallback&quot;, sans-serif"/>
        <color rgb="FF000000"/>
        <sz val="9.0"/>
      </rPr>
      <t>Matt Boylan</t>
    </r>
    <r>
      <rPr>
        <rFont val="&quot;Source Sans Pro&quot;, &quot;Source Sans Pro-fallback&quot;, sans-serif"/>
        <color theme="1"/>
        <sz val="9.0"/>
      </rPr>
      <t xml:space="preserve"> Goalkeeper</t>
    </r>
  </si>
  <si>
    <t>04/07/2004 (18)</t>
  </si>
  <si>
    <r>
      <rPr>
        <rFont val="&quot;Source Sans Pro&quot;, &quot;Source Sans Pro-fallback&quot;, sans-serif"/>
        <color rgb="FF000000"/>
        <sz val="9.0"/>
      </rPr>
      <t>Adam Banim</t>
    </r>
    <r>
      <rPr>
        <rFont val="&quot;Source Sans Pro&quot;, &quot;Source Sans Pro-fallback&quot;, sans-serif"/>
        <color theme="1"/>
        <sz val="9.0"/>
      </rPr>
      <t xml:space="preserve"> Goalkeeper</t>
    </r>
  </si>
  <si>
    <t>13/11/2005 (17)</t>
  </si>
  <si>
    <r>
      <rPr>
        <rFont val="&quot;Source Sans Pro&quot;, &quot;Source Sans Pro-fallback&quot;, sans-serif"/>
        <color rgb="FF000000"/>
        <sz val="9.0"/>
      </rPr>
      <t>Shaun Hall</t>
    </r>
    <r>
      <rPr>
        <rFont val="&quot;Source Sans Pro&quot;, &quot;Source Sans Pro-fallback&quot;, sans-serif"/>
        <color theme="1"/>
        <sz val="9.0"/>
      </rPr>
      <t xml:space="preserve"> Goalkeeper</t>
    </r>
  </si>
  <si>
    <t>16/09/2007 (15)</t>
  </si>
  <si>
    <r>
      <rPr>
        <rFont val="&quot;Source Sans Pro&quot;, &quot;Source Sans Pro-fallback&quot;, sans-serif"/>
        <color rgb="FF000000"/>
        <sz val="9.0"/>
      </rPr>
      <t>Billy Canny</t>
    </r>
    <r>
      <rPr>
        <rFont val="&quot;Source Sans Pro&quot;, &quot;Source Sans Pro-fallback&quot;, sans-serif"/>
        <color theme="1"/>
        <sz val="9.0"/>
      </rPr>
      <t xml:space="preserve"> Defender</t>
    </r>
  </si>
  <si>
    <t>28/05/2008 (14)</t>
  </si>
  <si>
    <r>
      <rPr>
        <rFont val="&quot;Source Sans Pro&quot;, &quot;Source Sans Pro-fallback&quot;, sans-serif"/>
        <color rgb="FF000000"/>
        <sz val="9.0"/>
      </rPr>
      <t>Tom Grivosti</t>
    </r>
    <r>
      <rPr>
        <rFont val="&quot;Source Sans Pro&quot;, &quot;Source Sans Pro-fallback&quot;, sans-serif"/>
        <color theme="1"/>
        <sz val="9.0"/>
      </rPr>
      <t xml:space="preserve"> Centre-Back</t>
    </r>
  </si>
  <si>
    <t>15/06/1999 (23)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</si>
  <si>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</si>
  <si>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David Norman Jr.</t>
    </r>
    <r>
      <rPr>
        <rFont val="&quot;Source Sans Pro&quot;, &quot;Source Sans Pro-fallback&quot;, sans-serif"/>
        <color theme="1"/>
        <sz val="9.0"/>
      </rPr>
      <t xml:space="preserve"> Centre-Back</t>
    </r>
  </si>
  <si>
    <t>31/05/1998 (24)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</si>
  <si>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</si>
  <si>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Luke Turner</t>
    </r>
    <r>
      <rPr>
        <rFont val="&quot;Source Sans Pro&quot;, &quot;Source Sans Pro-fallback&quot;, sans-serif"/>
        <color theme="1"/>
        <sz val="9.0"/>
      </rPr>
      <t xml:space="preserve"> Centre-Back</t>
    </r>
  </si>
  <si>
    <t>20/05/2002 (20)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</si>
  <si>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</si>
  <si>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color rgb="FF000000"/>
        <sz val="9.0"/>
      </rPr>
      <t>Noah Lewis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</si>
  <si>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23/08/2000 (22)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</si>
  <si>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</si>
  <si>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Conor Keeley</t>
    </r>
    <r>
      <rPr>
        <rFont val="&quot;Source Sans Pro&quot;, &quot;Source Sans Pro-fallback&quot;, sans-serif"/>
        <color theme="1"/>
        <sz val="9.0"/>
      </rPr>
      <t xml:space="preserve"> Centre-Back</t>
    </r>
  </si>
  <si>
    <t>13/12/1997 (25)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</si>
  <si>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</si>
  <si>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color rgb="FF000000"/>
        <sz val="9.0"/>
      </rPr>
      <t>Joe Redmond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</si>
  <si>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23/01/2000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</si>
  <si>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</si>
  <si>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Jay McGrath</t>
    </r>
    <r>
      <rPr>
        <rFont val="&quot;Source Sans Pro&quot;, &quot;Source Sans Pro-fallback&quot;, sans-serif"/>
        <color theme="1"/>
        <sz val="9.0"/>
      </rPr>
      <t xml:space="preserve"> Centre-Back</t>
    </r>
  </si>
  <si>
    <t>15/04/2003 (19)</t>
  </si>
  <si>
    <r>
      <rPr>
        <rFont val="&quot;Source Sans Pro&quot;, &quot;Source Sans Pro-fallback&quot;, sans-serif"/>
        <color rgb="FF000000"/>
        <sz val="9.0"/>
      </rPr>
      <t>Sam Steward</t>
    </r>
    <r>
      <rPr>
        <rFont val="&quot;Source Sans Pro&quot;, &quot;Source Sans Pro-fallback&quot;, sans-serif"/>
        <color theme="1"/>
        <sz val="9.0"/>
      </rPr>
      <t xml:space="preserve"> Centre-Back</t>
    </r>
  </si>
  <si>
    <r>
      <rPr>
        <rFont val="&quot;Source Sans Pro&quot;, &quot;Source Sans Pro-fallback&quot;, sans-serif"/>
        <color rgb="FF000000"/>
        <sz val="9.0"/>
      </rPr>
      <t>Alfie Taylor</t>
    </r>
    <r>
      <rPr>
        <rFont val="&quot;Source Sans Pro&quot;, &quot;Source Sans Pro-fallback&quot;, sans-serif"/>
        <color theme="1"/>
        <sz val="9.0"/>
      </rPr>
      <t xml:space="preserve"> Centre-Back</t>
    </r>
  </si>
  <si>
    <t>22/02/2004 (18)</t>
  </si>
  <si>
    <r>
      <rPr>
        <rFont val="&quot;Source Sans Pro&quot;, &quot;Source Sans Pro-fallback&quot;, sans-serif"/>
        <color rgb="FF000000"/>
        <sz val="9.0"/>
      </rPr>
      <t>Sean McHale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Centre-Back</t>
    </r>
  </si>
  <si>
    <t>26/03/2005 (17)</t>
  </si>
  <si>
    <r>
      <rPr>
        <rFont val="&quot;Source Sans Pro&quot;, &quot;Source Sans Pro-fallback&quot;, sans-serif"/>
        <color rgb="FF000000"/>
        <sz val="9.0"/>
      </rPr>
      <t>Dan McHale</t>
    </r>
    <r>
      <rPr>
        <rFont val="&quot;Source Sans Pro&quot;, &quot;Source Sans Pro-fallback&quot;, sans-serif"/>
        <color theme="1"/>
        <sz val="9.0"/>
      </rPr>
      <t xml:space="preserve"> Centre-Back</t>
    </r>
  </si>
  <si>
    <t>01/04/2005 (17)</t>
  </si>
  <si>
    <r>
      <rPr>
        <rFont val="&quot;Source Sans Pro&quot;, &quot;Source Sans Pro-fallback&quot;, sans-serif"/>
        <color rgb="FF000000"/>
        <sz val="9.0"/>
      </rPr>
      <t>Anto Breslin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</si>
  <si>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</si>
  <si>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Ivan Graminschii</t>
    </r>
    <r>
      <rPr>
        <rFont val="&quot;Source Sans Pro&quot;, &quot;Source Sans Pro-fallback&quot;, sans-serif"/>
        <color theme="1"/>
        <sz val="9.0"/>
      </rPr>
      <t xml:space="preserve"> Left-Back</t>
    </r>
  </si>
  <si>
    <t>05/02/2007 (15)</t>
  </si>
  <si>
    <r>
      <rPr>
        <rFont val="&quot;Source Sans Pro&quot;, &quot;Source Sans Pro-fallback&quot;, sans-serif"/>
        <color rgb="FF000000"/>
        <sz val="9.0"/>
      </rPr>
      <t>Luke O'Brien</t>
    </r>
    <r>
      <rPr>
        <rFont val="&quot;Source Sans Pro&quot;, &quot;Source Sans Pro-fallback&quot;, sans-serif"/>
        <color theme="1"/>
        <sz val="9.0"/>
      </rPr>
      <t xml:space="preserve"> Left-Back</t>
    </r>
  </si>
  <si>
    <t>13/01/2005 (17)</t>
  </si>
  <si>
    <r>
      <rPr>
        <rFont val="&quot;Source Sans Pro&quot;, &quot;Source Sans Pro-fallback&quot;, sans-serif"/>
        <color rgb="FF000000"/>
        <sz val="9.0"/>
      </rPr>
      <t>Eric Abudiore</t>
    </r>
    <r>
      <rPr>
        <rFont val="&quot;Source Sans Pro&quot;, &quot;Source Sans Pro-fallback&quot;, sans-serif"/>
        <color theme="1"/>
        <sz val="9.0"/>
      </rPr>
      <t xml:space="preserve"> Left-Back</t>
    </r>
  </si>
  <si>
    <t>13/06/2004 (18)</t>
  </si>
  <si>
    <r>
      <rPr>
        <rFont val="&quot;Source Sans Pro&quot;, &quot;Source Sans Pro-fallback&quot;, sans-serif"/>
        <color rgb="FF000000"/>
        <sz val="9.0"/>
      </rPr>
      <t>Al-Amin Kazeem</t>
    </r>
    <r>
      <rPr>
        <rFont val="&quot;Source Sans Pro&quot;, &quot;Source Sans Pro-fallback&quot;, sans-serif"/>
        <color theme="1"/>
        <sz val="9.0"/>
      </rPr>
      <t xml:space="preserve"> Left-Back</t>
    </r>
  </si>
  <si>
    <r>
      <rPr>
        <rFont val="&quot;Source Sans Pro&quot;, &quot;Source Sans Pro-fallback&quot;, sans-serif"/>
        <color rgb="FF000000"/>
        <sz val="9.0"/>
      </rPr>
      <t>Kieran Freeman</t>
    </r>
    <r>
      <rPr>
        <rFont val="&quot;Source Sans Pro&quot;, &quot;Source Sans Pro-fallback&quot;, sans-serif"/>
        <color theme="1"/>
        <sz val="9.0"/>
      </rPr>
      <t xml:space="preserve"> Right-Back</t>
    </r>
  </si>
  <si>
    <t>30/03/2000 (22)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</si>
  <si>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</si>
  <si>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color rgb="FF000000"/>
        <sz val="9.0"/>
      </rPr>
      <t>Harry Brockbank</t>
    </r>
    <r>
      <rPr>
        <rFont val="&quot;Source Sans Pro&quot;, &quot;Source Sans Pro-fallback&quot;, sans-serif"/>
        <color theme="1"/>
        <sz val="9.0"/>
      </rPr>
      <t xml:space="preserve"> Right-Back</t>
    </r>
  </si>
  <si>
    <t>26/09/1998 (24)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</si>
  <si>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</si>
  <si>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Ryan McLaughlin</t>
    </r>
    <r>
      <rPr>
        <rFont val="&quot;Source Sans Pro&quot;, &quot;Source Sans Pro-fallback&quot;, sans-serif"/>
        <color theme="1"/>
        <sz val="9.0"/>
      </rPr>
      <t xml:space="preserve"> Right-Back</t>
    </r>
  </si>
  <si>
    <t>30/09/1994 (28)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</si>
  <si>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</si>
  <si>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Sam Curtis</t>
    </r>
    <r>
      <rPr>
        <rFont val="&quot;Source Sans Pro&quot;, &quot;Source Sans Pro-fallback&quot;, sans-serif"/>
        <color theme="1"/>
        <sz val="9.0"/>
      </rPr>
      <t xml:space="preserve"> Right-Back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</si>
  <si>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</si>
  <si>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Axel Sjöberg</t>
    </r>
    <r>
      <rPr>
        <rFont val="&quot;Source Sans Pro&quot;, &quot;Source Sans Pro-fallback&quot;, sans-serif"/>
        <color theme="1"/>
        <sz val="9.0"/>
      </rPr>
      <t xml:space="preserve"> Right-Back</t>
    </r>
  </si>
  <si>
    <t>12/04/2000 (22)</t>
  </si>
  <si>
    <r>
      <rPr>
        <rFont val="&quot;Source Sans Pro&quot;, &quot;Source Sans Pro-fallback&quot;, sans-serif"/>
        <color rgb="FF000000"/>
        <sz val="9.0"/>
      </rPr>
      <t>Adam Deans</t>
    </r>
    <r>
      <rPr>
        <rFont val="&quot;Source Sans Pro&quot;, &quot;Source Sans Pro-fallback&quot;, sans-serif"/>
        <color theme="1"/>
        <sz val="9.0"/>
      </rPr>
      <t xml:space="preserve"> Right-Back</t>
    </r>
  </si>
  <si>
    <t>21/11/2005 (17)</t>
  </si>
  <si>
    <r>
      <rPr>
        <rFont val="&quot;Source Sans Pro&quot;, &quot;Source Sans Pro-fallback&quot;, sans-serif"/>
        <color rgb="FF000000"/>
        <sz val="9.0"/>
      </rPr>
      <t>Jamie Lennon</t>
    </r>
    <r>
      <rPr>
        <rFont val="&quot;Source Sans Pro&quot;, &quot;Source Sans Pro-fallback&quot;, sans-serif"/>
        <color theme="1"/>
        <sz val="9.0"/>
      </rPr>
      <t xml:space="preserve"> Defensive Midfield</t>
    </r>
  </si>
  <si>
    <t>09/05/1998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</si>
  <si>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</si>
  <si>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Ruairi Morgan</t>
    </r>
    <r>
      <rPr>
        <rFont val="&quot;Source Sans Pro&quot;, &quot;Source Sans Pro-fallback&quot;, sans-serif"/>
        <color theme="1"/>
        <sz val="9.0"/>
      </rPr>
      <t xml:space="preserve"> Midfielder</t>
    </r>
  </si>
  <si>
    <r>
      <rPr>
        <rFont val="&quot;Source Sans Pro&quot;, &quot;Source Sans Pro-fallback&quot;, sans-serif"/>
        <color rgb="FF000000"/>
        <sz val="9.0"/>
      </rPr>
      <t>Romal Palmer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</si>
  <si>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30/09/1998 (24)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</si>
  <si>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</si>
  <si>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color rgb="FF000000"/>
        <sz val="9.0"/>
      </rPr>
      <t>Chris Forrester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</si>
  <si>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17/12/1992 (30)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</si>
  <si>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</si>
  <si>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color rgb="FF000000"/>
        <sz val="9.0"/>
      </rPr>
      <t>Thijs Timmermans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</si>
  <si>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25/07/1998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</si>
  <si>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</si>
  <si>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Aaron Bolger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</si>
  <si>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02/02/2000 (22)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</si>
  <si>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</si>
  <si>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Ben McCormack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</si>
  <si>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</si>
  <si>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Adam Murphy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</si>
  <si>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08/04/2005 (17)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</si>
  <si>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</si>
  <si>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Kian Leavy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</si>
  <si>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21/03/2002 (20)</t>
  </si>
  <si>
    <r>
      <rPr>
        <rFont val="&quot;Source Sans Pro&quot;, &quot;Source Sans Pro-fallback&quot;, sans-serif"/>
        <color rgb="FF000000"/>
        <sz val="9.0"/>
      </rPr>
      <t>Arran Pettifer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</si>
  <si>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r>
      <rPr>
        <rFont val="&quot;Source Sans Pro&quot;, &quot;Source Sans Pro-fallback&quot;, sans-serif"/>
        <color rgb="FF000000"/>
        <sz val="9.0"/>
      </rPr>
      <t>Rhys Bartley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</si>
  <si>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03/03/2006 (16)</t>
  </si>
  <si>
    <r>
      <rPr>
        <rFont val="&quot;Source Sans Pro&quot;, &quot;Source Sans Pro-fallback&quot;, sans-serif"/>
        <color rgb="FF000000"/>
        <sz val="9.0"/>
      </rPr>
      <t>Anthony Dodd</t>
    </r>
    <r>
      <rPr>
        <rFont val="&quot;Source Sans Pro&quot;, &quot;Source Sans Pro-fallback&quot;, sans-serif"/>
        <color theme="1"/>
        <sz val="9.0"/>
      </rPr>
      <t xml:space="preserve"> Central Midfield</t>
    </r>
  </si>
  <si>
    <t>19/02/2006 (16)</t>
  </si>
  <si>
    <r>
      <rPr>
        <rFont val="&quot;Source Sans Pro&quot;, &quot;Source Sans Pro-fallback&quot;, sans-serif"/>
        <color rgb="FF000000"/>
        <sz val="9.0"/>
      </rPr>
      <t>Jason McClelland</t>
    </r>
    <r>
      <rPr>
        <rFont val="&quot;Source Sans Pro&quot;, &quot;Source Sans Pro-fallback&quot;, sans-serif"/>
        <color theme="1"/>
        <sz val="9.0"/>
      </rPr>
      <t xml:space="preserve"> Left Midfield</t>
    </r>
  </si>
  <si>
    <t>03/05/1997 (25)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</si>
  <si>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</si>
  <si>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Jamie Gray</t>
    </r>
    <r>
      <rPr>
        <rFont val="&quot;Source Sans Pro&quot;, &quot;Source Sans Pro-fallback&quot;, sans-serif"/>
        <color theme="1"/>
        <sz val="9.0"/>
      </rPr>
      <t xml:space="preserve"> Left Midfield</t>
    </r>
  </si>
  <si>
    <r>
      <rPr>
        <rFont val="&quot;Source Sans Pro&quot;, &quot;Source Sans Pro-fallback&quot;, sans-serif"/>
        <color rgb="FF000000"/>
        <sz val="9.0"/>
      </rPr>
      <t>Brandon Kavanagh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</si>
  <si>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</si>
  <si>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Luke Kehir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</si>
  <si>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t>02/02/2006 (16)</t>
  </si>
  <si>
    <r>
      <rPr>
        <rFont val="&quot;Source Sans Pro&quot;, &quot;Source Sans Pro-fallback&quot;, sans-serif"/>
        <color rgb="FF000000"/>
        <sz val="9.0"/>
      </rPr>
      <t>Matthew O'Hara</t>
    </r>
    <r>
      <rPr>
        <rFont val="&quot;Source Sans Pro&quot;, &quot;Source Sans Pro-fallback&quot;, sans-serif"/>
        <color theme="1"/>
        <sz val="9.0"/>
      </rPr>
      <t xml:space="preserve"> Attacking Midfield</t>
    </r>
  </si>
  <si>
    <r>
      <rPr>
        <rFont val="&quot;Source Sans Pro&quot;, &quot;Source Sans Pro-fallback&quot;, sans-serif"/>
        <color rgb="FF000000"/>
        <sz val="9.0"/>
      </rPr>
      <t>Mark Doyle</t>
    </r>
    <r>
      <rPr>
        <rFont val="&quot;Source Sans Pro&quot;, &quot;Source Sans Pro-fallback&quot;, sans-serif"/>
        <color theme="1"/>
        <sz val="9.0"/>
      </rPr>
      <t xml:space="preserve"> Left Winger</t>
    </r>
  </si>
  <si>
    <t>19/11/1998 (24)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</si>
  <si>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</si>
  <si>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Alex Nolan</t>
    </r>
    <r>
      <rPr>
        <rFont val="&quot;Source Sans Pro&quot;, &quot;Source Sans Pro-fallback&quot;, sans-serif"/>
        <color theme="1"/>
        <sz val="9.0"/>
      </rPr>
      <t xml:space="preserve"> Left Winger</t>
    </r>
  </si>
  <si>
    <t>20/03/2003 (19)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</si>
  <si>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</si>
  <si>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Billy Hayes</t>
    </r>
    <r>
      <rPr>
        <rFont val="&quot;Source Sans Pro&quot;, &quot;Source Sans Pro-fallback&quot;, sans-serif"/>
        <color theme="1"/>
        <sz val="9.0"/>
      </rPr>
      <t xml:space="preserve"> Left Winger</t>
    </r>
  </si>
  <si>
    <r>
      <rPr>
        <rFont val="&quot;Source Sans Pro&quot;, &quot;Source Sans Pro-fallback&quot;, sans-serif"/>
        <color rgb="FF000000"/>
        <sz val="9.0"/>
      </rPr>
      <t>Jake Mulraney</t>
    </r>
    <r>
      <rPr>
        <rFont val="&quot;Source Sans Pro&quot;, &quot;Source Sans Pro-fallback&quot;, sans-serif"/>
        <color theme="1"/>
        <sz val="9.0"/>
      </rPr>
      <t xml:space="preserve"> Right Winger</t>
    </r>
  </si>
  <si>
    <t>05/04/1996 (26)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</si>
  <si>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</si>
  <si>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color rgb="FF000000"/>
        <sz val="9.0"/>
      </rPr>
      <t>Zach Elbouzedi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Right Winger</t>
    </r>
  </si>
  <si>
    <t>05/04/1998 (24)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</si>
  <si>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</si>
  <si>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Jason Oyenuga</t>
    </r>
    <r>
      <rPr>
        <rFont val="&quot;Source Sans Pro&quot;, &quot;Source Sans Pro-fallback&quot;, sans-serif"/>
        <color theme="1"/>
        <sz val="9.0"/>
      </rPr>
      <t xml:space="preserve"> Right Winger</t>
    </r>
  </si>
  <si>
    <t>20/11/2005 (17)</t>
  </si>
  <si>
    <r>
      <rPr>
        <rFont val="&quot;Source Sans Pro&quot;, &quot;Source Sans Pro-fallback&quot;, sans-serif"/>
        <color rgb="FF000000"/>
        <sz val="9.0"/>
      </rPr>
      <t>Eoin Doyle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</si>
  <si>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12/03/1988 (34)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</si>
  <si>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</si>
  <si>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color rgb="FF000000"/>
        <sz val="9.0"/>
      </rPr>
      <t>Aidan Keena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</si>
  <si>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25/04/1999 (23)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</si>
  <si>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</si>
  <si>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color rgb="FF000000"/>
        <sz val="9.0"/>
      </rPr>
      <t>Tommy Lonergan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</si>
  <si>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</si>
  <si>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color rgb="FF000000"/>
        <sz val="9.0"/>
      </rPr>
      <t>Ruairi Keating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</si>
  <si>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16/07/1995 (27)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</si>
  <si>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</si>
  <si>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color rgb="FF000000"/>
        <sz val="9.0"/>
      </rPr>
      <t>Cian Kavanagh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</si>
  <si>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</si>
  <si>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color rgb="FF000000"/>
        <sz val="9.0"/>
      </rPr>
      <t>Conor Carty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</si>
  <si>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25/05/2002 (20)</t>
  </si>
  <si>
    <r>
      <rPr>
        <rFont val="&quot;Source Sans Pro&quot;, &quot;Source Sans Pro-fallback&quot;, sans-serif"/>
        <color rgb="FF000000"/>
        <sz val="9.0"/>
      </rPr>
      <t>Dare Kareem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</si>
  <si>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17/01/2006 (16)</t>
  </si>
  <si>
    <r>
      <rPr>
        <rFont val="&quot;Source Sans Pro&quot;, &quot;Source Sans Pro-fallback&quot;, sans-serif"/>
        <color rgb="FF000000"/>
        <sz val="9.0"/>
      </rPr>
      <t>Leo Crabb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</si>
  <si>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color rgb="FF000000"/>
        <sz val="9.0"/>
      </rPr>
      <t>Mason Melia</t>
    </r>
    <r>
      <rPr>
        <rFont val="&quot;Source Sans Pro&quot;, &quot;Source Sans Pro-fallback&quot;, sans-serif"/>
        <color theme="1"/>
        <sz val="9.0"/>
      </rPr>
      <t xml:space="preserve"> Centre-Forward</t>
    </r>
  </si>
  <si>
    <t>22/09/2007 (15)</t>
  </si>
  <si>
    <r>
      <rPr>
        <rFont val="&quot;Source Sans Pro&quot;, &quot;Source Sans Pro-fallback&quot;, sans-serif"/>
        <color rgb="FF000000"/>
        <sz val="9.0"/>
      </rPr>
      <t>Michael Noonan</t>
    </r>
    <r>
      <rPr>
        <rFont val="&quot;Source Sans Pro&quot;, &quot;Source Sans Pro-fallback&quot;, sans-serif"/>
        <color theme="1"/>
        <sz val="9.0"/>
      </rPr>
      <t xml:space="preserve"> Centre-Forward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</si>
  <si>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</si>
  <si>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Keep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</si>
  <si>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</si>
  <si>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Aaron Harper-Bailey</t>
  </si>
  <si>
    <t>Delete</t>
  </si>
  <si>
    <t>Aaron Heaney</t>
  </si>
  <si>
    <t>Aaron Maloney</t>
  </si>
  <si>
    <r>
      <rPr>
        <rFont val="&quot;Source Sans Pro&quot;, &quot;Source Sans Pro-fallback&quot;, sans-serif"/>
        <b/>
        <color rgb="FF1155CC"/>
        <sz val="9.0"/>
        <u/>
      </rPr>
      <t>€400k</t>
    </r>
  </si>
  <si>
    <r>
      <rPr>
        <rFont val="&quot;Source Sans Pro&quot;, &quot;Source Sans Pro-fallback&quot;, sans-serif"/>
        <b/>
        <color rgb="FF1155CC"/>
        <sz val="9.0"/>
        <u/>
      </rPr>
      <t>€1.00m</t>
    </r>
  </si>
  <si>
    <t>Adam Banim</t>
  </si>
  <si>
    <t>Adam Byrne</t>
  </si>
  <si>
    <t>Adam Deans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</si>
  <si>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</si>
  <si>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</si>
  <si>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Adam Murphy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</si>
  <si>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</si>
  <si>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€400k</t>
    </r>
  </si>
  <si>
    <t>Adam Queally</t>
  </si>
  <si>
    <t>Aidan Gabbidon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</si>
  <si>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</si>
  <si>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Aidan Russell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</si>
  <si>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</si>
  <si>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t>Al-Amin Kazeem</t>
  </si>
  <si>
    <t>Alan Mannus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</si>
  <si>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</si>
  <si>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</si>
  <si>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t>Alex Noonan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</si>
  <si>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</si>
  <si>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Alfie Lewis</t>
  </si>
  <si>
    <t>Alfie Taylor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</si>
  <si>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</si>
  <si>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Ali Topcu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</si>
  <si>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</si>
  <si>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Altay Güneyer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</si>
  <si>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</si>
  <si>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</si>
  <si>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Anthony Adenopo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</si>
  <si>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</si>
  <si>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Anthony Dodd</t>
  </si>
  <si>
    <t>Anthony Ebhonuaye</t>
  </si>
  <si>
    <t>Anthony Moyo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</si>
  <si>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</si>
  <si>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</si>
  <si>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Arran Pettifer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</si>
  <si>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</si>
  <si>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Baasit Ishola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</si>
  <si>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</si>
  <si>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t>Barry Baggley</t>
  </si>
  <si>
    <t>Barry Kealy</t>
  </si>
  <si>
    <t>Bartlomiej Kukulowicz</t>
  </si>
  <si>
    <t>Benjamin Fagbemi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</si>
  <si>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</si>
  <si>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Billy Canny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</si>
  <si>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</si>
  <si>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Billy Gilmore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</si>
  <si>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</si>
  <si>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Billy Hayes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</si>
  <si>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</si>
  <si>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Billy Regan</t>
  </si>
  <si>
    <t>Brian Cunningham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</si>
  <si>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</si>
  <si>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</si>
  <si>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</si>
  <si>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Brody Lee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</si>
  <si>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</si>
  <si>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Callum Bonner</t>
  </si>
  <si>
    <t>Callum Doherty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</si>
  <si>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</si>
  <si>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Callum Doyle-Travers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</si>
  <si>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</si>
  <si>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Callum McCay</t>
  </si>
  <si>
    <t>Callum Warren</t>
  </si>
  <si>
    <t>Calum Costello</t>
  </si>
  <si>
    <t>Calum Flynn</t>
  </si>
  <si>
    <t>Cameron Cresswell</t>
  </si>
  <si>
    <t>Cameron Feehan</t>
  </si>
  <si>
    <t>Carl Lennox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</si>
  <si>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</si>
  <si>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Charles Akinrintayo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</si>
  <si>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</si>
  <si>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Charles McGee</t>
  </si>
  <si>
    <t>Chris Forrester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</si>
  <si>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</si>
  <si>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Chris Lotefa</t>
  </si>
  <si>
    <t>Christie Pattisson</t>
  </si>
  <si>
    <t>Christopher Conlon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</si>
  <si>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</si>
  <si>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Cian Doyle</t>
  </si>
  <si>
    <t>Cian Kenna</t>
  </si>
  <si>
    <t>Cian Spaight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</si>
  <si>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</si>
  <si>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</si>
  <si>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Cillian Kavanagh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</si>
  <si>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</si>
  <si>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Colin Mooney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</si>
  <si>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</si>
  <si>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</si>
  <si>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Conor Barr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</si>
  <si>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</si>
  <si>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Conor Cannon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</si>
  <si>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</si>
  <si>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Conor Carty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</si>
  <si>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</si>
  <si>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</si>
  <si>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</si>
  <si>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</si>
  <si>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Conor O'Gorman</t>
  </si>
  <si>
    <t>Conor Walsh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</si>
  <si>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</si>
  <si>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Cormac O'Donoghue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</si>
  <si>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</si>
  <si>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Dáithí Folan</t>
  </si>
  <si>
    <t>Dan Cleary</t>
  </si>
  <si>
    <t>Dan McHale</t>
  </si>
  <si>
    <t>Dan Ring</t>
  </si>
  <si>
    <t>Daniel Bergin</t>
  </si>
  <si>
    <t>Daniel Mare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</si>
  <si>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</si>
  <si>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</si>
  <si>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Daragh Mooney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</si>
  <si>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</si>
  <si>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Dare Kareem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</si>
  <si>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</si>
  <si>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b/>
        <color rgb="FF1155CC"/>
        <sz val="9.0"/>
        <u/>
      </rPr>
      <t>€375k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</si>
  <si>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</si>
  <si>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Darragh Marshall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</si>
  <si>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</si>
  <si>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t>Darragh Murtagh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</si>
  <si>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</si>
  <si>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</si>
  <si>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</si>
  <si>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David Jonathan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</si>
  <si>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</si>
  <si>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David Norman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</si>
  <si>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</si>
  <si>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David Tarmey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</si>
  <si>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</si>
  <si>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</si>
  <si>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Dean Larkin</t>
  </si>
  <si>
    <r>
      <rPr>
        <rFont val="&quot;Source Sans Pro&quot;, &quot;Source Sans Pro-fallback&quot;, sans-serif"/>
        <b/>
        <color rgb="FF1155CC"/>
        <sz val="9.0"/>
        <u/>
      </rPr>
      <t>€450k</t>
    </r>
  </si>
  <si>
    <t>Declan Osagie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</si>
  <si>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</si>
  <si>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Derinsola Adewale</t>
  </si>
  <si>
    <t>Divin Isamala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</si>
  <si>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</si>
  <si>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</si>
  <si>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Dualta Honney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</si>
  <si>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</si>
  <si>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Dylan Atanda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</si>
  <si>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</si>
  <si>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</si>
  <si>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Dylan Warren</t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</si>
  <si>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</si>
  <si>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t>Ed McCarthy</t>
  </si>
  <si>
    <t>Edvinas Jakas</t>
  </si>
  <si>
    <t>Emmanuel Milongo</t>
  </si>
  <si>
    <t>Emre Topçu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</si>
  <si>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</si>
  <si>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t>Eoin Doyle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</si>
  <si>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</si>
  <si>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Eric Abudiore</t>
  </si>
  <si>
    <t>Eric Koufie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</si>
  <si>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</si>
  <si>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Evan Geary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</si>
  <si>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</si>
  <si>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Evan Ovendale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</si>
  <si>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</si>
  <si>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</si>
  <si>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t>Fiachra Coffey</t>
  </si>
  <si>
    <t>Finn Cowper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</si>
  <si>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</si>
  <si>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Finn Moore</t>
  </si>
  <si>
    <t>Fintan McNamara</t>
  </si>
  <si>
    <t>Fionn McNamara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</si>
  <si>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</si>
  <si>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</si>
  <si>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</si>
  <si>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Gavin Hodgins</t>
  </si>
  <si>
    <t>Gideon Tetteh</t>
  </si>
  <si>
    <t>Goodness Ogbonna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</si>
  <si>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</si>
  <si>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</si>
  <si>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Graham Dooner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</si>
  <si>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</si>
  <si>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</si>
  <si>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</si>
  <si>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Greg Sloggett</t>
  </si>
  <si>
    <t>Harry Brockbank</t>
  </si>
  <si>
    <t>Harry Murray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</si>
  <si>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</si>
  <si>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Harry O'Connor</t>
  </si>
  <si>
    <r>
      <rPr>
        <rFont val="&quot;Source Sans Pro&quot;, &quot;Source Sans Pro-fallback&quot;, sans-serif"/>
        <b/>
        <color rgb="FF1155CC"/>
        <sz val="9.0"/>
        <u/>
      </rPr>
      <t>€275k</t>
    </r>
  </si>
  <si>
    <t>Harvey Warren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</si>
  <si>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</si>
  <si>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</si>
  <si>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t>Hugh Smith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</si>
  <si>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</si>
  <si>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Ivan Graminschii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</si>
  <si>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</si>
  <si>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Jack Brady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</si>
  <si>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</si>
  <si>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Jack Mills</t>
  </si>
  <si>
    <t>Jack O'Flaherty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</si>
  <si>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</si>
  <si>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Jake Hough</t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</si>
  <si>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</si>
  <si>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</si>
  <si>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James Roche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</si>
  <si>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</si>
  <si>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</si>
  <si>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Jamie Gray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</si>
  <si>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</si>
  <si>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Jamie Gullan</t>
  </si>
  <si>
    <r>
      <rPr>
        <rFont val="&quot;Source Sans Pro&quot;, &quot;Source Sans Pro-fallback&quot;, sans-serif"/>
        <b/>
        <color rgb="FF1155CC"/>
        <sz val="9.0"/>
        <u/>
      </rPr>
      <t>€375k</t>
    </r>
  </si>
  <si>
    <t>Jamie McGonigle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</si>
  <si>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</si>
  <si>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</si>
  <si>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Jason Healy</t>
  </si>
  <si>
    <t>Jason Oyenuga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</si>
  <si>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</si>
  <si>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Jay McGrath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</si>
  <si>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</si>
  <si>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Jesse Dempsey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</si>
  <si>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</si>
  <si>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€275k</t>
    </r>
  </si>
  <si>
    <t>JJ Lunney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</si>
  <si>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</si>
  <si>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Joe Collins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</si>
  <si>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</si>
  <si>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Joe Wright</t>
  </si>
  <si>
    <t>Johannes Yli-Kokko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</si>
  <si>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</si>
  <si>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</si>
  <si>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John Ross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</si>
  <si>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</si>
  <si>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</si>
  <si>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Jonathan Kehir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</si>
  <si>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</si>
  <si>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</si>
  <si>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Josh Lyons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</si>
  <si>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</si>
  <si>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</si>
  <si>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</si>
  <si>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Kacper Chorazka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</si>
  <si>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</si>
  <si>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Kacper Skwierczynski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</si>
  <si>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</si>
  <si>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</si>
  <si>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</si>
  <si>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Keith Buckley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</si>
  <si>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</si>
  <si>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</si>
  <si>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Kevin Muldoon</t>
  </si>
  <si>
    <t>Kian Dignam</t>
  </si>
  <si>
    <t>Kieran Cruise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</si>
  <si>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</si>
  <si>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Kieran McDonagh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</si>
  <si>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</si>
  <si>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</si>
  <si>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</si>
  <si>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</si>
  <si>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Kyle Gabbidon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</si>
  <si>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</si>
  <si>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</si>
  <si>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Kyle White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</si>
  <si>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</si>
  <si>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Leo Crabb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</si>
  <si>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</si>
  <si>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t>Leo Healy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</si>
  <si>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</si>
  <si>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Lorcan Healy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</si>
  <si>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</si>
  <si>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Luca Cailloce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</si>
  <si>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</si>
  <si>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Luke Kehir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</si>
  <si>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</si>
  <si>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Luke O'Brien</t>
  </si>
  <si>
    <t>Luke O'Donnell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</si>
  <si>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</si>
  <si>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</si>
  <si>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Luke Povall</t>
  </si>
  <si>
    <r>
      <rPr>
        <rFont val="&quot;Source Sans Pro&quot;, &quot;Source Sans Pro-fallback&quot;, sans-serif"/>
        <b/>
        <color rgb="FF1155CC"/>
        <sz val="9.0"/>
        <u/>
      </rPr>
      <t>€550k</t>
    </r>
  </si>
  <si>
    <t>€550k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</si>
  <si>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</si>
  <si>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</si>
  <si>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Mark Byrne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</si>
  <si>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</si>
  <si>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Mark Doyle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</si>
  <si>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</si>
  <si>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t>Markuss Strods</t>
  </si>
  <si>
    <t>Matt Boylan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</si>
  <si>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</si>
  <si>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Matthew Connor</t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</si>
  <si>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</si>
  <si>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Matthew McCarrick</t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</si>
  <si>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</si>
  <si>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t>Matthew O'Hara</t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</si>
  <si>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</si>
  <si>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</si>
  <si>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Max Kovalevskis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</si>
  <si>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</si>
  <si>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</si>
  <si>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r>
      <rPr>
        <rFont val="&quot;Source Sans Pro&quot;, &quot;Source Sans Pro-fallback&quot;, sans-serif"/>
        <b/>
        <color rgb="FF1155CC"/>
        <sz val="9.0"/>
        <u/>
      </rPr>
      <t>€325k</t>
    </r>
  </si>
  <si>
    <t>Mikey Carroll</t>
  </si>
  <si>
    <t>Muhammad Oladiti</t>
  </si>
  <si>
    <t>Naj Razi</t>
  </si>
  <si>
    <t>Nathan Shepperd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</si>
  <si>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</si>
  <si>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Nico Lovrekovic</t>
  </si>
  <si>
    <r>
      <rPr>
        <rFont val="&quot;Source Sans Pro&quot;, &quot;Source Sans Pro-fallback&quot;, sans-serif"/>
        <b/>
        <color rgb="FF1155CC"/>
        <sz val="9.0"/>
        <u/>
      </rPr>
      <t>€250k</t>
    </r>
  </si>
  <si>
    <t>Noah Lewis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</si>
  <si>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</si>
  <si>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</si>
  <si>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Oisin Aldred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</si>
  <si>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</si>
  <si>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t>Oisín Gallagher</t>
  </si>
  <si>
    <t>Ollie Denham</t>
  </si>
  <si>
    <t>Onesime Tembe</t>
  </si>
  <si>
    <t>Osaze Irhue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</si>
  <si>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</si>
  <si>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</si>
  <si>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</si>
  <si>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Padraig Amond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</si>
  <si>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</si>
  <si>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t>Pat Hoban</t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</si>
  <si>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</si>
  <si>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</si>
  <si>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Peter Cherrie</t>
  </si>
  <si>
    <t>Pharrell Manuel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</si>
  <si>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</si>
  <si>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Raymond Offor</t>
  </si>
  <si>
    <t>Regan Donelon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</si>
  <si>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</si>
  <si>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Rhys Bartley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</si>
  <si>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</si>
  <si>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Rhys O'Hare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</si>
  <si>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</si>
  <si>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Rian Hogan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</si>
  <si>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</si>
  <si>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Richard Vodo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</si>
  <si>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</si>
  <si>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</si>
  <si>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€500k</t>
    </r>
  </si>
  <si>
    <r>
      <rPr>
        <rFont val="&quot;Source Sans Pro&quot;, &quot;Source Sans Pro-fallback&quot;, sans-serif"/>
        <b/>
        <color rgb="FF1155CC"/>
        <sz val="9.0"/>
        <u/>
      </rPr>
      <t>€10k</t>
    </r>
  </si>
  <si>
    <t>Robbie Mahon</t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</si>
  <si>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</si>
  <si>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Roberto Lopes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</si>
  <si>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</si>
  <si>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</si>
  <si>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</si>
  <si>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t>Ronan Finn</t>
  </si>
  <si>
    <t>Ronan Mansfield</t>
  </si>
  <si>
    <r>
      <rPr>
        <rFont val="&quot;Source Sans Pro&quot;, &quot;Source Sans Pro-fallback&quot;, sans-serif"/>
        <b/>
        <color rgb="FF1155CC"/>
        <sz val="9.0"/>
        <u/>
      </rPr>
      <t>€10k</t>
    </r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</si>
  <si>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</si>
  <si>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</si>
  <si>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Ruairi Morgan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</si>
  <si>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</si>
  <si>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</si>
  <si>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</si>
  <si>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Ryan Maher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</si>
  <si>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</si>
  <si>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</si>
  <si>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</si>
  <si>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Ryan Ritchie</t>
  </si>
  <si>
    <r>
      <rPr>
        <rFont val="&quot;Source Sans Pro&quot;, &quot;Source Sans Pro-fallback&quot;, sans-serif"/>
        <b/>
        <color rgb="FF1155CC"/>
        <sz val="9.0"/>
        <u/>
      </rPr>
      <t>€600k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</si>
  <si>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</si>
  <si>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</si>
  <si>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Sam Curtis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</si>
  <si>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</si>
  <si>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Sam Glenfield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</si>
  <si>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</si>
  <si>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€350k</t>
    </r>
  </si>
  <si>
    <t>Sam Steward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</si>
  <si>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</si>
  <si>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Samuel Case</t>
  </si>
  <si>
    <t>Samuel Safaei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</si>
  <si>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</si>
  <si>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Scott Brady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</si>
  <si>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</si>
  <si>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</si>
  <si>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</si>
  <si>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Sean Cummins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</si>
  <si>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</si>
  <si>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</si>
  <si>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Sean Keane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</si>
  <si>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</si>
  <si>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</si>
  <si>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t>Sean McCarthy</t>
  </si>
  <si>
    <t>Sean McHale</t>
  </si>
  <si>
    <t>Sean McMahon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</si>
  <si>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</si>
  <si>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Sean Moore</t>
  </si>
  <si>
    <r>
      <rPr>
        <rFont val="&quot;Source Sans Pro&quot;, &quot;Source Sans Pro-fallback&quot;, sans-serif"/>
        <b/>
        <color rgb="FF1155CC"/>
        <sz val="9.0"/>
        <u/>
      </rPr>
      <t>€900k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</si>
  <si>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</si>
  <si>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Shane Griffin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</si>
  <si>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</si>
  <si>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Shane O'Sullivan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</si>
  <si>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</si>
  <si>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Shane Tracey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</si>
  <si>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</si>
  <si>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Shaun Hall</t>
  </si>
  <si>
    <r>
      <rPr>
        <rFont val="&quot;Source Sans Pro&quot;, &quot;Source Sans Pro-fallback&quot;, sans-serif"/>
        <b/>
        <color rgb="FF1155CC"/>
        <sz val="9.0"/>
        <u/>
      </rPr>
      <t>€175k</t>
    </r>
  </si>
  <si>
    <t>Shayne McDonald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</si>
  <si>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</si>
  <si>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Shea Malone</t>
  </si>
  <si>
    <t>Stefan Radosavljevic</t>
  </si>
  <si>
    <t>Steven Healy</t>
  </si>
  <si>
    <t>Tadhg Ryan</t>
  </si>
  <si>
    <t>Taylor McCarthy</t>
  </si>
  <si>
    <t>Taylor Mooney</t>
  </si>
  <si>
    <t>Thijs Timmermans</t>
  </si>
  <si>
    <t>Tiernan McGinty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</si>
  <si>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</si>
  <si>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</si>
  <si>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</si>
  <si>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Tom McLoughlin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</si>
  <si>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</si>
  <si>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Tommy Lonergan</t>
  </si>
  <si>
    <t>Toms Leitis</t>
  </si>
  <si>
    <t>Tristan Donnelly</t>
  </si>
  <si>
    <t>Tyreik Sammy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</si>
  <si>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</si>
  <si>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Ultan McLaughlin</t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</si>
  <si>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</si>
  <si>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t>Viktors Ohvovoriole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</si>
  <si>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</si>
  <si>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€200k</t>
    </r>
  </si>
  <si>
    <t>Vinnie Leonard</t>
  </si>
  <si>
    <r>
      <rPr>
        <rFont val="&quot;Source Sans Pro&quot;, &quot;Source Sans Pro-fallback&quot;, sans-serif"/>
        <b/>
        <color rgb="FF1155CC"/>
        <sz val="9.0"/>
        <u/>
      </rPr>
      <t>€50k</t>
    </r>
  </si>
  <si>
    <t>Will Fitzgerald</t>
  </si>
  <si>
    <r>
      <rPr>
        <rFont val="&quot;Source Sans Pro&quot;, &quot;Source Sans Pro-fallback&quot;, sans-serif"/>
        <b/>
        <color rgb="FF1155CC"/>
        <sz val="9.0"/>
        <u/>
      </rPr>
      <t>€75k</t>
    </r>
  </si>
  <si>
    <t>Will Jarvis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</si>
  <si>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</si>
  <si>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t>Zach Elbouzedi</t>
  </si>
  <si>
    <t>Zak Johnson</t>
  </si>
  <si>
    <t>Zak O'Sullivan</t>
  </si>
  <si>
    <r>
      <rPr>
        <rFont val="&quot;Source Sans Pro&quot;, &quot;Source Sans Pro-fallback&quot;, sans-serif"/>
        <b/>
        <color rgb="FF1155CC"/>
        <sz val="9.0"/>
        <u/>
      </rPr>
      <t>€300k</t>
    </r>
  </si>
  <si>
    <t>Zak Reddy</t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</si>
  <si>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</si>
  <si>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€150k</t>
    </r>
  </si>
  <si>
    <r>
      <rPr>
        <rFont val="&quot;Source Sans Pro&quot;, &quot;Source Sans Pro-fallback&quot;, sans-serif"/>
        <b/>
        <color rgb="FF1155CC"/>
        <sz val="9.0"/>
        <u/>
      </rPr>
      <t>€100k</t>
    </r>
  </si>
  <si>
    <r>
      <rPr>
        <rFont val="&quot;Source Sans Pro&quot;, &quot;Source Sans Pro-fallback&quot;, sans-serif"/>
        <b/>
        <color rgb="FF1155CC"/>
        <sz val="9.0"/>
        <u/>
      </rPr>
      <t>€25k</t>
    </r>
  </si>
  <si>
    <r>
      <rPr>
        <rFont val="&quot;Source Sans Pro&quot;, &quot;Source Sans Pro-fallback&quot;, sans-serif"/>
        <b/>
        <color rgb="FF1155CC"/>
        <sz val="9.0"/>
        <u/>
      </rPr>
      <t>€125k</t>
    </r>
  </si>
  <si>
    <r>
      <rPr>
        <rFont val="&quot;Source Sans Pro&quot;, &quot;Source Sans Pro-fallback&quot;, sans-serif"/>
        <b/>
        <color rgb="FF1155CC"/>
        <sz val="9.0"/>
        <u/>
      </rPr>
      <t>€225k</t>
    </r>
  </si>
  <si>
    <r>
      <rPr>
        <rFont val="&quot;Source Sans Pro&quot;, &quot;Source Sans Pro-fallback&quot;, sans-serif"/>
        <b/>
        <color rgb="FF1155CC"/>
        <sz val="9.0"/>
        <u/>
      </rPr>
      <t>€300k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</si>
</sst>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color rgb="FF888888"/>
      <name val="Verdana"/>
    </font>
    <font>
      <color theme="1"/>
      <name val="Verdana"/>
    </font>
    <font>
      <u/>
      <color rgb="FF0000FF"/>
      <name val="Verdana"/>
    </font>
    <font>
      <u/>
      <color rgb="FF0000FF"/>
      <name val="Verdana"/>
    </font>
    <font>
      <color theme="1"/>
      <name val="Arial"/>
    </font>
    <font>
      <b/>
      <color theme="1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sz val="9.0"/>
      <color theme="1"/>
      <name val="&quot;Source Sans Pro&quot;"/>
    </font>
    <font>
      <u/>
      <color rgb="FF0000FF"/>
      <name val="Verdana"/>
    </font>
    <font>
      <b/>
      <sz val="9.0"/>
      <color rgb="FF333333"/>
      <name val="&quot;Source Sans Pro&quot;"/>
    </font>
    <font>
      <b/>
      <sz val="9.0"/>
      <color rgb="FF57585A"/>
      <name val="&quot;Source Sans Pro&quot;"/>
    </font>
    <font>
      <u/>
      <color rgb="FF0000FF"/>
    </font>
    <font>
      <sz val="9.0"/>
      <color rgb="FF57585A"/>
      <name val="&quot;Source Sans Pro&quot;"/>
    </font>
    <font>
      <b/>
      <color rgb="FF666666"/>
      <name val="&quot;Helvetica Neue&quot;"/>
    </font>
    <font>
      <b/>
      <sz val="11.0"/>
      <color rgb="FF666666"/>
      <name val="&quot;Helvetica Neue&quot;"/>
    </font>
    <font>
      <b/>
      <sz val="11.0"/>
      <color rgb="FF990000"/>
      <name val="&quot;Helvetica Neue&quot;"/>
    </font>
    <font>
      <b/>
      <sz val="9.0"/>
      <color theme="1"/>
      <name val="&quot;Source Sans Pro&quot;"/>
    </font>
    <font>
      <b/>
      <u/>
      <sz val="9.0"/>
      <color rgb="FF0000FF"/>
      <name val="&quot;Source Sans Pro&quot;"/>
    </font>
    <font>
      <b/>
      <u/>
      <sz val="9.0"/>
      <color rgb="FF0000FF"/>
      <name val="&quot;Source Sans Pro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AFD179"/>
        <bgColor rgb="FFAFD179"/>
      </patternFill>
    </fill>
    <fill>
      <patternFill patternType="solid">
        <fgColor rgb="FFA5CCE9"/>
        <bgColor rgb="FFA5CCE9"/>
      </patternFill>
    </fill>
    <fill>
      <patternFill patternType="solid">
        <fgColor rgb="FFF6B26B"/>
        <bgColor rgb="FFF6B26B"/>
      </patternFill>
    </fill>
    <fill>
      <patternFill patternType="solid">
        <fgColor rgb="FFF8CFCD"/>
        <bgColor rgb="FFF8CFCD"/>
      </patternFill>
    </fill>
    <fill>
      <patternFill patternType="solid">
        <fgColor rgb="FFF8A7A3"/>
        <bgColor rgb="FFF8A7A3"/>
      </patternFill>
    </fill>
    <fill>
      <patternFill patternType="solid">
        <fgColor rgb="FFEA9999"/>
        <bgColor rgb="FFEA9999"/>
      </patternFill>
    </fill>
  </fills>
  <borders count="23">
    <border/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DDDDD"/>
      </lef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678"/>
      </left>
      <bottom style="hair">
        <color rgb="FFDDDDDD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E4E4E4"/>
      </top>
      <bottom style="thin">
        <color rgb="FFE4E4E4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bottom style="thin">
        <color rgb="FFDDDDDD"/>
      </bottom>
    </border>
    <border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top style="thin">
        <color rgb="FFE4E4E4"/>
      </top>
      <bottom style="thin">
        <color rgb="FFE4E4E4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0" xfId="0" applyFont="1"/>
    <xf borderId="0" fillId="0" fontId="1" numFmtId="0" xfId="0" applyFont="1"/>
    <xf borderId="1" fillId="2" fontId="2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horizontal="right" readingOrder="0" shrinkToFit="0" wrapText="0"/>
    </xf>
    <xf borderId="1" fillId="2" fontId="2" numFmtId="0" xfId="0" applyAlignment="1" applyBorder="1" applyFont="1">
      <alignment horizontal="right" readingOrder="0" shrinkToFit="0" wrapText="0"/>
    </xf>
    <xf borderId="2" fillId="2" fontId="3" numFmtId="0" xfId="0" applyAlignment="1" applyBorder="1" applyFont="1">
      <alignment horizontal="right" readingOrder="0" shrinkToFit="0" wrapText="0"/>
    </xf>
    <xf borderId="1" fillId="2" fontId="3" numFmtId="0" xfId="0" applyAlignment="1" applyBorder="1" applyFont="1">
      <alignment horizontal="righ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1" fillId="2" fontId="2" numFmtId="3" xfId="0" applyAlignment="1" applyBorder="1" applyFont="1" applyNumberFormat="1">
      <alignment horizontal="right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2" fontId="2" numFmtId="0" xfId="0" applyAlignment="1" applyBorder="1" applyFont="1">
      <alignment horizontal="center" readingOrder="0" shrinkToFit="0" wrapText="0"/>
    </xf>
    <xf borderId="4" fillId="2" fontId="2" numFmtId="0" xfId="0" applyAlignment="1" applyBorder="1" applyFont="1">
      <alignment horizontal="right" readingOrder="0" shrinkToFit="0" wrapText="0"/>
    </xf>
    <xf borderId="3" fillId="2" fontId="2" numFmtId="0" xfId="0" applyAlignment="1" applyBorder="1" applyFont="1">
      <alignment horizontal="right" readingOrder="0" shrinkToFit="0" wrapText="0"/>
    </xf>
    <xf borderId="3" fillId="2" fontId="2" numFmtId="3" xfId="0" applyAlignment="1" applyBorder="1" applyFont="1" applyNumberFormat="1">
      <alignment horizontal="right" readingOrder="0" shrinkToFit="0" wrapText="0"/>
    </xf>
    <xf borderId="3" fillId="2" fontId="3" numFmtId="0" xfId="0" applyAlignment="1" applyBorder="1" applyFont="1">
      <alignment horizontal="right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vertical="bottom"/>
    </xf>
    <xf borderId="0" fillId="0" fontId="1" numFmtId="0" xfId="0" applyFont="1"/>
    <xf borderId="0" fillId="0" fontId="1" numFmtId="3" xfId="0" applyFont="1" applyNumberFormat="1"/>
    <xf borderId="0" fillId="0" fontId="8" numFmtId="0" xfId="0" applyAlignment="1" applyFont="1">
      <alignment horizontal="center" readingOrder="0"/>
    </xf>
    <xf borderId="5" fillId="3" fontId="9" numFmtId="0" xfId="0" applyAlignment="1" applyBorder="1" applyFill="1" applyFont="1">
      <alignment horizontal="center" shrinkToFit="0" wrapText="0"/>
    </xf>
    <xf borderId="6" fillId="0" fontId="10" numFmtId="0" xfId="0" applyBorder="1" applyFont="1"/>
    <xf borderId="4" fillId="3" fontId="9" numFmtId="0" xfId="0" applyAlignment="1" applyBorder="1" applyFont="1">
      <alignment horizontal="center" readingOrder="0" shrinkToFit="0" wrapText="0"/>
    </xf>
    <xf borderId="5" fillId="3" fontId="9" numFmtId="0" xfId="0" applyAlignment="1" applyBorder="1" applyFont="1">
      <alignment horizontal="center" readingOrder="0" shrinkToFit="0" wrapText="0"/>
    </xf>
    <xf borderId="3" fillId="3" fontId="9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horizontal="center" readingOrder="0" shrinkToFit="0" wrapText="0"/>
    </xf>
    <xf borderId="7" fillId="3" fontId="9" numFmtId="0" xfId="0" applyAlignment="1" applyBorder="1" applyFont="1">
      <alignment horizontal="center" readingOrder="0" shrinkToFit="0" wrapText="0"/>
    </xf>
    <xf borderId="8" fillId="3" fontId="9" numFmtId="0" xfId="0" applyAlignment="1" applyBorder="1" applyFont="1">
      <alignment horizontal="center" readingOrder="0" shrinkToFit="0" wrapText="0"/>
    </xf>
    <xf borderId="9" fillId="3" fontId="9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10" fillId="0" fontId="11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right" readingOrder="0" shrinkToFit="0" wrapText="0"/>
    </xf>
    <xf borderId="11" fillId="2" fontId="2" numFmtId="0" xfId="0" applyAlignment="1" applyBorder="1" applyFont="1">
      <alignment horizontal="right" readingOrder="0" shrinkToFit="0" wrapText="0"/>
    </xf>
    <xf borderId="12" fillId="2" fontId="2" numFmtId="0" xfId="0" applyAlignment="1" applyBorder="1" applyFont="1">
      <alignment horizontal="right" readingOrder="0" shrinkToFit="0" wrapText="0"/>
    </xf>
    <xf borderId="13" fillId="0" fontId="12" numFmtId="0" xfId="0" applyAlignment="1" applyBorder="1" applyFont="1">
      <alignment horizontal="right" readingOrder="0"/>
    </xf>
    <xf borderId="0" fillId="0" fontId="12" numFmtId="0" xfId="0" applyAlignment="1" applyFont="1">
      <alignment horizontal="right" readingOrder="0"/>
    </xf>
    <xf borderId="5" fillId="0" fontId="13" numFmtId="0" xfId="0" applyAlignment="1" applyBorder="1" applyFont="1">
      <alignment horizontal="left" readingOrder="0" shrinkToFit="0" wrapText="0"/>
    </xf>
    <xf borderId="3" fillId="2" fontId="2" numFmtId="0" xfId="0" applyAlignment="1" applyBorder="1" applyFont="1">
      <alignment horizontal="right" readingOrder="0" shrinkToFit="0" wrapText="0"/>
    </xf>
    <xf borderId="14" fillId="2" fontId="2" numFmtId="0" xfId="0" applyAlignment="1" applyBorder="1" applyFont="1">
      <alignment horizontal="right" readingOrder="0" shrinkToFit="0" wrapText="0"/>
    </xf>
    <xf borderId="15" fillId="2" fontId="2" numFmtId="0" xfId="0" applyAlignment="1" applyBorder="1" applyFont="1">
      <alignment horizontal="right" readingOrder="0" shrinkToFit="0" wrapText="0"/>
    </xf>
    <xf borderId="16" fillId="2" fontId="2" numFmtId="0" xfId="0" applyAlignment="1" applyBorder="1" applyFont="1">
      <alignment horizontal="right" readingOrder="0" shrinkToFit="0" wrapText="0"/>
    </xf>
    <xf borderId="0" fillId="2" fontId="2" numFmtId="0" xfId="0" applyAlignment="1" applyFont="1">
      <alignment vertical="bottom"/>
    </xf>
    <xf borderId="0" fillId="0" fontId="1" numFmtId="0" xfId="0" applyFont="1"/>
    <xf borderId="0" fillId="4" fontId="1" numFmtId="0" xfId="0" applyAlignment="1" applyFill="1" applyFont="1">
      <alignment readingOrder="0"/>
    </xf>
    <xf borderId="17" fillId="5" fontId="14" numFmtId="0" xfId="0" applyAlignment="1" applyBorder="1" applyFill="1" applyFont="1">
      <alignment horizontal="right" readingOrder="0"/>
    </xf>
    <xf borderId="18" fillId="5" fontId="14" numFmtId="0" xfId="0" applyAlignment="1" applyBorder="1" applyFont="1">
      <alignment horizontal="center"/>
    </xf>
    <xf borderId="18" fillId="5" fontId="14" numFmtId="0" xfId="0" applyAlignment="1" applyBorder="1" applyFont="1">
      <alignment horizontal="center" readingOrder="0"/>
    </xf>
    <xf borderId="19" fillId="5" fontId="14" numFmtId="0" xfId="0" applyAlignment="1" applyBorder="1" applyFont="1">
      <alignment horizontal="center" readingOrder="0"/>
    </xf>
    <xf borderId="20" fillId="6" fontId="15" numFmtId="0" xfId="0" applyAlignment="1" applyBorder="1" applyFill="1" applyFont="1">
      <alignment horizontal="right" readingOrder="0"/>
    </xf>
    <xf borderId="0" fillId="0" fontId="16" numFmtId="0" xfId="0" applyFont="1"/>
    <xf borderId="21" fillId="2" fontId="17" numFmtId="0" xfId="0" applyAlignment="1" applyBorder="1" applyFont="1">
      <alignment horizontal="center" readingOrder="0"/>
    </xf>
    <xf borderId="21" fillId="2" fontId="17" numFmtId="46" xfId="0" applyAlignment="1" applyBorder="1" applyFont="1" applyNumberFormat="1">
      <alignment horizontal="center" readingOrder="0"/>
    </xf>
    <xf borderId="22" fillId="2" fontId="17" numFmtId="0" xfId="0" applyAlignment="1" applyBorder="1" applyFont="1">
      <alignment horizontal="center" readingOrder="0"/>
    </xf>
    <xf borderId="20" fillId="7" fontId="15" numFmtId="0" xfId="0" applyAlignment="1" applyBorder="1" applyFill="1" applyFont="1">
      <alignment horizontal="right" readingOrder="0"/>
    </xf>
    <xf borderId="20" fillId="2" fontId="15" numFmtId="0" xfId="0" applyAlignment="1" applyBorder="1" applyFont="1">
      <alignment horizontal="right" readingOrder="0"/>
    </xf>
    <xf borderId="0" fillId="8" fontId="1" numFmtId="0" xfId="0" applyAlignment="1" applyFill="1" applyFont="1">
      <alignment readingOrder="0"/>
    </xf>
    <xf borderId="20" fillId="9" fontId="15" numFmtId="0" xfId="0" applyAlignment="1" applyBorder="1" applyFill="1" applyFont="1">
      <alignment horizontal="right" readingOrder="0"/>
    </xf>
    <xf borderId="20" fillId="10" fontId="15" numFmtId="0" xfId="0" applyAlignment="1" applyBorder="1" applyFill="1" applyFont="1">
      <alignment horizontal="right" readingOrder="0"/>
    </xf>
    <xf borderId="21" fillId="2" fontId="17" numFmtId="20" xfId="0" applyAlignment="1" applyBorder="1" applyFont="1" applyNumberFormat="1">
      <alignment horizontal="center" readingOrder="0"/>
    </xf>
    <xf borderId="0" fillId="2" fontId="18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/>
    </xf>
    <xf borderId="6" fillId="3" fontId="9" numFmtId="0" xfId="0" applyAlignment="1" applyBorder="1" applyFont="1">
      <alignment horizontal="center" shrinkToFit="0" wrapText="0"/>
    </xf>
    <xf borderId="3" fillId="3" fontId="9" numFmtId="0" xfId="0" applyAlignment="1" applyBorder="1" applyFont="1">
      <alignment horizontal="center" shrinkToFit="0" wrapText="0"/>
    </xf>
    <xf borderId="5" fillId="3" fontId="9" numFmtId="0" xfId="0" applyAlignment="1" applyBorder="1" applyFont="1">
      <alignment horizontal="center" readingOrder="0" shrinkToFit="0" wrapText="0"/>
    </xf>
    <xf borderId="3" fillId="3" fontId="9" numFmtId="0" xfId="0" applyAlignment="1" applyBorder="1" applyFont="1">
      <alignment horizontal="center" readingOrder="0" shrinkToFit="0" wrapText="0"/>
    </xf>
    <xf borderId="10" fillId="2" fontId="2" numFmtId="0" xfId="0" applyAlignment="1" applyBorder="1" applyFont="1">
      <alignment horizontal="right" readingOrder="0" shrinkToFit="0" wrapText="0"/>
    </xf>
    <xf borderId="5" fillId="2" fontId="2" numFmtId="0" xfId="0" applyAlignment="1" applyBorder="1" applyFont="1">
      <alignment horizontal="right" readingOrder="0" shrinkToFit="0" wrapText="0"/>
    </xf>
    <xf borderId="0" fillId="2" fontId="2" numFmtId="0" xfId="0" applyFont="1"/>
    <xf borderId="21" fillId="0" fontId="12" numFmtId="0" xfId="0" applyAlignment="1" applyBorder="1" applyFont="1">
      <alignment horizontal="left" readingOrder="0"/>
    </xf>
    <xf borderId="22" fillId="0" fontId="21" numFmtId="0" xfId="0" applyAlignment="1" applyBorder="1" applyFont="1">
      <alignment horizontal="right" readingOrder="0"/>
    </xf>
    <xf borderId="0" fillId="11" fontId="7" numFmtId="0" xfId="0" applyAlignment="1" applyFill="1" applyFont="1">
      <alignment vertical="bottom"/>
    </xf>
    <xf borderId="0" fillId="0" fontId="12" numFmtId="0" xfId="0" applyAlignment="1" applyFont="1">
      <alignment horizontal="left" readingOrder="0"/>
    </xf>
    <xf borderId="22" fillId="0" fontId="22" numFmtId="0" xfId="0" applyAlignment="1" applyBorder="1" applyFont="1">
      <alignment horizontal="right" readingOrder="0"/>
    </xf>
    <xf borderId="0" fillId="0" fontId="21" numFmtId="0" xfId="0" applyAlignment="1" applyFont="1">
      <alignment horizontal="right" readingOrder="0"/>
    </xf>
    <xf borderId="0" fillId="11" fontId="7" numFmtId="0" xfId="0" applyAlignment="1" applyFont="1">
      <alignment vertical="bottom"/>
    </xf>
    <xf borderId="0" fillId="2" fontId="15" numFmtId="0" xfId="0" applyAlignment="1" applyFont="1">
      <alignment horizontal="right" readingOrder="0"/>
    </xf>
    <xf borderId="22" fillId="0" fontId="12" numFmtId="0" xfId="0" applyAlignment="1" applyBorder="1" applyFont="1">
      <alignment horizontal="left" readingOrder="0"/>
    </xf>
    <xf borderId="21" fillId="0" fontId="12" numFmtId="0" xfId="0" applyAlignment="1" applyBorder="1" applyFont="1">
      <alignment horizontal="left"/>
    </xf>
    <xf borderId="1" fillId="2" fontId="2" numFmtId="0" xfId="0" applyAlignment="1" applyBorder="1" applyFont="1">
      <alignment horizontal="right" shrinkToFit="0" wrapText="0"/>
    </xf>
    <xf borderId="2" fillId="0" fontId="4" numFmtId="0" xfId="0" applyAlignment="1" applyBorder="1" applyFont="1">
      <alignment horizontal="left" readingOrder="0" shrinkToFit="0" wrapText="0"/>
    </xf>
    <xf borderId="0" fillId="0" fontId="21" numFmtId="0" xfId="0" applyAlignment="1" applyFont="1">
      <alignment horizontal="right" readingOrder="0"/>
    </xf>
    <xf borderId="2" fillId="2" fontId="2" numFmtId="0" xfId="0" applyAlignment="1" applyBorder="1" applyFont="1">
      <alignment horizontal="right" shrinkToFit="0" wrapText="0"/>
    </xf>
    <xf borderId="22" fillId="11" fontId="7" numFmtId="0" xfId="0" applyAlignment="1" applyBorder="1" applyFont="1">
      <alignment vertical="bottom"/>
    </xf>
    <xf borderId="0" fillId="0" fontId="23" numFmtId="0" xfId="0" applyAlignment="1" applyFont="1">
      <alignment horizontal="right" readingOrder="0"/>
    </xf>
    <xf borderId="1" fillId="2" fontId="3" numFmtId="0" xfId="0" applyAlignment="1" applyBorder="1" applyFont="1">
      <alignment horizontal="right" shrinkToFit="0" wrapText="0"/>
    </xf>
    <xf borderId="1" fillId="2" fontId="3" numFmtId="0" xfId="0" applyAlignment="1" applyBorder="1" applyFont="1">
      <alignment horizontal="center" readingOrder="0" shrinkToFit="0" wrapText="0"/>
    </xf>
    <xf borderId="22" fillId="11" fontId="7" numFmtId="0" xfId="0" applyAlignment="1" applyBorder="1" applyFont="1">
      <alignment vertical="bottom"/>
    </xf>
    <xf borderId="4" fillId="2" fontId="2" numFmtId="0" xfId="0" applyAlignment="1" applyBorder="1" applyFont="1">
      <alignment horizontal="right" shrinkToFit="0" wrapText="0"/>
    </xf>
    <xf borderId="3" fillId="2" fontId="2" numFmtId="0" xfId="0" applyAlignment="1" applyBorder="1" applyFont="1">
      <alignment horizontal="right" shrinkToFit="0" wrapText="0"/>
    </xf>
    <xf borderId="4" fillId="0" fontId="4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2" fontId="1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12</xdr:row>
      <xdr:rowOff>171450</xdr:rowOff>
    </xdr:from>
    <xdr:ext cx="7058025" cy="9020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014b544e/matchlogs/2024/summary/Cameron-McJannett-Match-Logs" TargetMode="External"/><Relationship Id="rId190" Type="http://schemas.openxmlformats.org/officeDocument/2006/relationships/hyperlink" Target="https://fbref.com/en/players/b3038e9f/matchlogs/2024/summary/Maleace-Asamoah-Match-Logs" TargetMode="External"/><Relationship Id="rId42" Type="http://schemas.openxmlformats.org/officeDocument/2006/relationships/hyperlink" Target="https://fbref.com/en/players/678fc112/matchlogs/2024/summary/Christie-Pattison-Match-Logs" TargetMode="External"/><Relationship Id="rId41" Type="http://schemas.openxmlformats.org/officeDocument/2006/relationships/hyperlink" Target="https://fbref.com/en/players/e250436f/matchlogs/2024/summary/Charlie-Wiggett-Match-Logs" TargetMode="External"/><Relationship Id="rId44" Type="http://schemas.openxmlformats.org/officeDocument/2006/relationships/hyperlink" Target="https://fbref.com/en/players/61280da6/matchlogs/2024/summary/Cian-Barrett-Match-Logs" TargetMode="External"/><Relationship Id="rId194" Type="http://schemas.openxmlformats.org/officeDocument/2006/relationships/hyperlink" Target="https://fbref.com/en/players/adc49832/matchlogs/2024/summary/Mark-Coyle-Match-Logs" TargetMode="External"/><Relationship Id="rId43" Type="http://schemas.openxmlformats.org/officeDocument/2006/relationships/hyperlink" Target="https://fbref.com/en/players/dcacbe30/matchlogs/2024/summary/Christopher-Forrester-Match-Logs" TargetMode="External"/><Relationship Id="rId193" Type="http://schemas.openxmlformats.org/officeDocument/2006/relationships/hyperlink" Target="https://fbref.com/en/players/d89eb771/matchlogs/2024/summary/Mark-Connolly-Match-Logs" TargetMode="External"/><Relationship Id="rId46" Type="http://schemas.openxmlformats.org/officeDocument/2006/relationships/hyperlink" Target="https://fbref.com/en/players/f18e360b/matchlogs/2024/summary/Cian-Dillon-Match-Logs" TargetMode="External"/><Relationship Id="rId192" Type="http://schemas.openxmlformats.org/officeDocument/2006/relationships/hyperlink" Target="https://fbref.com/en/players/b3cafda8/matchlogs/2024/summary/Marcelo-Pitaluga-Match-Logs" TargetMode="External"/><Relationship Id="rId45" Type="http://schemas.openxmlformats.org/officeDocument/2006/relationships/hyperlink" Target="https://fbref.com/en/players/f864ffe8/matchlogs/2024/summary/Cian-Byrne-Match-Logs" TargetMode="External"/><Relationship Id="rId191" Type="http://schemas.openxmlformats.org/officeDocument/2006/relationships/hyperlink" Target="https://fbref.com/en/players/ed6bb087/matchlogs/2024/summary/Marc-McNulty-Match-Logs" TargetMode="External"/><Relationship Id="rId48" Type="http://schemas.openxmlformats.org/officeDocument/2006/relationships/hyperlink" Target="https://fbref.com/en/players/82c3f3f7/matchlogs/2024/summary/Ciaran-Coll-Match-Logs" TargetMode="External"/><Relationship Id="rId187" Type="http://schemas.openxmlformats.org/officeDocument/2006/relationships/hyperlink" Target="https://fbref.com/en/players/62e9508e/matchlogs/2024/summary/Luke-Mulligan-Match-Logs" TargetMode="External"/><Relationship Id="rId47" Type="http://schemas.openxmlformats.org/officeDocument/2006/relationships/hyperlink" Target="https://fbref.com/en/players/6746ede5/matchlogs/2024/summary/Cian-Kavanagh-Match-Logs" TargetMode="External"/><Relationship Id="rId186" Type="http://schemas.openxmlformats.org/officeDocument/2006/relationships/hyperlink" Target="https://fbref.com/en/players/2b1d5481/matchlogs/2024/summary/Luke-Matheson-Match-Logs" TargetMode="External"/><Relationship Id="rId185" Type="http://schemas.openxmlformats.org/officeDocument/2006/relationships/hyperlink" Target="https://fbref.com/en/players/9a115caf/matchlogs/2024/summary/Luke-Heeney-Match-Logs" TargetMode="External"/><Relationship Id="rId49" Type="http://schemas.openxmlformats.org/officeDocument/2006/relationships/hyperlink" Target="https://fbref.com/en/players/aa583204/matchlogs/2024/summary/Ciaran-McGuckin-Match-Logs" TargetMode="External"/><Relationship Id="rId184" Type="http://schemas.openxmlformats.org/officeDocument/2006/relationships/hyperlink" Target="https://fbref.com/en/players/c3eee23b/matchlogs/2024/summary/Luke-Dennison-Match-Logs" TargetMode="External"/><Relationship Id="rId189" Type="http://schemas.openxmlformats.org/officeDocument/2006/relationships/hyperlink" Target="https://fbref.com/en/players/edf462fa/matchlogs/2024/summary/Luke-Turner-Match-Logs" TargetMode="External"/><Relationship Id="rId188" Type="http://schemas.openxmlformats.org/officeDocument/2006/relationships/hyperlink" Target="https://fbref.com/en/players/df1e34a1/matchlogs/2024/summary/Luke-Pearce-Match-Logs" TargetMode="External"/><Relationship Id="rId31" Type="http://schemas.openxmlformats.org/officeDocument/2006/relationships/hyperlink" Target="https://fbref.com/en/players/3610c2d2/matchlogs/2024/summary/Bobby-Burns-Match-Logs" TargetMode="External"/><Relationship Id="rId30" Type="http://schemas.openxmlformats.org/officeDocument/2006/relationships/hyperlink" Target="https://fbref.com/en/players/f40f5119/matchlogs/2024/summary/Ben-McCormack-Match-Logs" TargetMode="External"/><Relationship Id="rId33" Type="http://schemas.openxmlformats.org/officeDocument/2006/relationships/hyperlink" Target="https://fbref.com/en/players/89309bb3/matchlogs/2024/summary/Brandon-Kavanagh-Match-Logs" TargetMode="External"/><Relationship Id="rId183" Type="http://schemas.openxmlformats.org/officeDocument/2006/relationships/hyperlink" Target="https://fbref.com/en/players/c58bcf0d/matchlogs/2024/summary/Louis-Jones-Match-Logs" TargetMode="External"/><Relationship Id="rId32" Type="http://schemas.openxmlformats.org/officeDocument/2006/relationships/hyperlink" Target="https://fbref.com/en/players/c94699d0/matchlogs/2024/summary/Bobby-Faulkner-Match-Logs" TargetMode="External"/><Relationship Id="rId182" Type="http://schemas.openxmlformats.org/officeDocument/2006/relationships/hyperlink" Target="https://fbref.com/en/players/88ddc295/matchlogs/2024/summary/Louie-Annesley-Match-Logs" TargetMode="External"/><Relationship Id="rId35" Type="http://schemas.openxmlformats.org/officeDocument/2006/relationships/hyperlink" Target="https://fbref.com/en/players/183106bd/matchlogs/2024/summary/Brian-Maher-Match-Logs" TargetMode="External"/><Relationship Id="rId181" Type="http://schemas.openxmlformats.org/officeDocument/2006/relationships/hyperlink" Target="https://fbref.com/en/players/b2a208fb/matchlogs/2024/summary/Liam-Smith-Match-Logs" TargetMode="External"/><Relationship Id="rId34" Type="http://schemas.openxmlformats.org/officeDocument/2006/relationships/hyperlink" Target="https://fbref.com/en/players/3f8306e2/matchlogs/2024/summary/Brendan-Clarke-Match-Logs" TargetMode="External"/><Relationship Id="rId180" Type="http://schemas.openxmlformats.org/officeDocument/2006/relationships/hyperlink" Target="https://fbref.com/en/players/e9165bb1/matchlogs/2024/summary/Liam-Burt-Match-Logs" TargetMode="External"/><Relationship Id="rId37" Type="http://schemas.openxmlformats.org/officeDocument/2006/relationships/hyperlink" Target="https://fbref.com/en/players/73e04e1c/matchlogs/2024/summary/Bridel-Bosakani-Match-Logs" TargetMode="External"/><Relationship Id="rId176" Type="http://schemas.openxmlformats.org/officeDocument/2006/relationships/hyperlink" Target="https://fbref.com/en/players/e16986b1/matchlogs/2024/summary/Leigh-Kavanagh-Match-Logs" TargetMode="External"/><Relationship Id="rId297" Type="http://schemas.openxmlformats.org/officeDocument/2006/relationships/drawing" Target="../drawings/drawing1.xml"/><Relationship Id="rId36" Type="http://schemas.openxmlformats.org/officeDocument/2006/relationships/hyperlink" Target="https://fbref.com/en/players/6b366df3/matchlogs/2024/summary/Brian-McManus-Match-Logs" TargetMode="External"/><Relationship Id="rId175" Type="http://schemas.openxmlformats.org/officeDocument/2006/relationships/hyperlink" Target="https://fbref.com/en/players/2e45bc2e/matchlogs/2024/summary/Lee-Steacy-Match-Logs" TargetMode="External"/><Relationship Id="rId296" Type="http://schemas.openxmlformats.org/officeDocument/2006/relationships/hyperlink" Target="https://fbref.com/en/players/32594ec9/matchlogs/2024/summary/Zishim-Bawa-Match-Logs" TargetMode="External"/><Relationship Id="rId39" Type="http://schemas.openxmlformats.org/officeDocument/2006/relationships/hyperlink" Target="https://fbref.com/en/players/71ce9940/matchlogs/2024/summary/Cameron-Elliott-Match-Logs" TargetMode="External"/><Relationship Id="rId174" Type="http://schemas.openxmlformats.org/officeDocument/2006/relationships/hyperlink" Target="https://fbref.com/en/players/fb903561/matchlogs/2024/summary/Lee-Grace-Match-Logs" TargetMode="External"/><Relationship Id="rId295" Type="http://schemas.openxmlformats.org/officeDocument/2006/relationships/hyperlink" Target="https://fbref.com/en/players/85a6376e/matchlogs/2024/summary/Zak-Bradshaw-Match-Logs" TargetMode="External"/><Relationship Id="rId38" Type="http://schemas.openxmlformats.org/officeDocument/2006/relationships/hyperlink" Target="https://fbref.com/en/players/e6631d18/matchlogs/2024/summary/Cameron-Dummigan-Match-Logs" TargetMode="External"/><Relationship Id="rId173" Type="http://schemas.openxmlformats.org/officeDocument/2006/relationships/hyperlink" Target="https://fbref.com/en/players/856a3633/matchlogs/2024/summary/Kyle-McDonagh-Match-Logs" TargetMode="External"/><Relationship Id="rId294" Type="http://schemas.openxmlformats.org/officeDocument/2006/relationships/hyperlink" Target="https://fbref.com/en/players/1a5ed92d/matchlogs/2024/summary/Zachary-Elbouzedi-Match-Logs" TargetMode="External"/><Relationship Id="rId179" Type="http://schemas.openxmlformats.org/officeDocument/2006/relationships/hyperlink" Target="https://fbref.com/en/players/ff34cdcb/matchlogs/2024/summary/Lewis-Temple-Match-Logs" TargetMode="External"/><Relationship Id="rId178" Type="http://schemas.openxmlformats.org/officeDocument/2006/relationships/hyperlink" Target="https://fbref.com/en/players/056fdf3a/matchlogs/2024/summary/Leon-Maurice-Pohls-Match-Logs" TargetMode="External"/><Relationship Id="rId177" Type="http://schemas.openxmlformats.org/officeDocument/2006/relationships/hyperlink" Target="https://fbref.com/en/players/280af64b/matchlogs/2024/summary/Leo-Gaxha-Match-Logs" TargetMode="External"/><Relationship Id="rId20" Type="http://schemas.openxmlformats.org/officeDocument/2006/relationships/hyperlink" Target="https://fbref.com/en/players/e4ac16cf/matchlogs/2024/summary/Andy-Boyle-Match-Logs" TargetMode="External"/><Relationship Id="rId22" Type="http://schemas.openxmlformats.org/officeDocument/2006/relationships/hyperlink" Target="https://fbref.com/en/players/db88ddbb/matchlogs/2024/summary/Aodh-Dervin-Match-Logs" TargetMode="External"/><Relationship Id="rId21" Type="http://schemas.openxmlformats.org/officeDocument/2006/relationships/hyperlink" Target="https://fbref.com/en/players/e855658f/matchlogs/2024/summary/Anto-Breslin-Match-Logs" TargetMode="External"/><Relationship Id="rId24" Type="http://schemas.openxmlformats.org/officeDocument/2006/relationships/hyperlink" Target="https://fbref.com/en/players/f14536b9/matchlogs/2024/summary/Archie-Davies-Match-Logs" TargetMode="External"/><Relationship Id="rId23" Type="http://schemas.openxmlformats.org/officeDocument/2006/relationships/hyperlink" Target="https://fbref.com/en/players/db88ddbb/matchlogs/2024/summary/Aodh-Dervin-Match-Logs" TargetMode="External"/><Relationship Id="rId26" Type="http://schemas.openxmlformats.org/officeDocument/2006/relationships/hyperlink" Target="https://fbref.com/en/players/3774bc38/matchlogs/2024/summary/Axel-Sjoberg-Match-Logs" TargetMode="External"/><Relationship Id="rId25" Type="http://schemas.openxmlformats.org/officeDocument/2006/relationships/hyperlink" Target="https://fbref.com/en/players/d1df7a85/matchlogs/2024/summary/Archie-Meekison-Match-Logs" TargetMode="External"/><Relationship Id="rId28" Type="http://schemas.openxmlformats.org/officeDocument/2006/relationships/hyperlink" Target="https://fbref.com/en/players/60a7467c/matchlogs/2024/summary/Bartlomiej-Kukulowicz-Match-Logs" TargetMode="External"/><Relationship Id="rId27" Type="http://schemas.openxmlformats.org/officeDocument/2006/relationships/hyperlink" Target="https://fbref.com/en/players/fd01ec74/matchlogs/2024/summary/Barry-Crowe-Baggley-Match-Logs" TargetMode="External"/><Relationship Id="rId29" Type="http://schemas.openxmlformats.org/officeDocument/2006/relationships/hyperlink" Target="https://fbref.com/en/players/7b77b12e/matchlogs/2024/summary/Ben-Doherty-Match-Logs" TargetMode="External"/><Relationship Id="rId11" Type="http://schemas.openxmlformats.org/officeDocument/2006/relationships/hyperlink" Target="https://fbref.com/en/players/c5cc1b13/matchlogs/2024/summary/Aiden-OBrien-Match-Logs" TargetMode="External"/><Relationship Id="rId10" Type="http://schemas.openxmlformats.org/officeDocument/2006/relationships/hyperlink" Target="https://fbref.com/en/players/699b2b29/matchlogs/2024/summary/Aidan-Keena-Match-Logs" TargetMode="External"/><Relationship Id="rId13" Type="http://schemas.openxmlformats.org/officeDocument/2006/relationships/hyperlink" Target="https://fbref.com/en/players/2020d19a/matchlogs/2024/summary/Al-Amin-Kazeem-Match-Logs" TargetMode="External"/><Relationship Id="rId12" Type="http://schemas.openxmlformats.org/officeDocument/2006/relationships/hyperlink" Target="https://fbref.com/en/players/2020d19a/matchlogs/2024/summary/Al-Amin-Kazeem-Match-Logs" TargetMode="External"/><Relationship Id="rId15" Type="http://schemas.openxmlformats.org/officeDocument/2006/relationships/hyperlink" Target="https://fbref.com/en/players/ecb29702/matchlogs/2024/summary/Alex-Nolan-Match-Logs" TargetMode="External"/><Relationship Id="rId198" Type="http://schemas.openxmlformats.org/officeDocument/2006/relationships/hyperlink" Target="https://fbref.com/en/players/d43042ea/matchlogs/2024/summary/Martin-Miller-Match-Logs" TargetMode="External"/><Relationship Id="rId14" Type="http://schemas.openxmlformats.org/officeDocument/2006/relationships/hyperlink" Target="https://fbref.com/en/players/f40a57b2/matchlogs/2024/summary/Alex-Greive-Match-Logs" TargetMode="External"/><Relationship Id="rId197" Type="http://schemas.openxmlformats.org/officeDocument/2006/relationships/hyperlink" Target="https://fbref.com/en/players/b3f56a05/matchlogs/2024/summary/Markus-Strods-Match-Logs" TargetMode="External"/><Relationship Id="rId17" Type="http://schemas.openxmlformats.org/officeDocument/2006/relationships/hyperlink" Target="https://fbref.com/en/players/ab6a3628/matchlogs/2024/summary/Andre-Wisdom-Match-Logs" TargetMode="External"/><Relationship Id="rId196" Type="http://schemas.openxmlformats.org/officeDocument/2006/relationships/hyperlink" Target="https://fbref.com/en/players/88ba4b24/matchlogs/2024/summary/Markus-Poom-Match-Logs" TargetMode="External"/><Relationship Id="rId16" Type="http://schemas.openxmlformats.org/officeDocument/2006/relationships/hyperlink" Target="https://fbref.com/en/players/e42c53b6/matchlogs/2024/summary/Ali-Coote-Match-Logs" TargetMode="External"/><Relationship Id="rId195" Type="http://schemas.openxmlformats.org/officeDocument/2006/relationships/hyperlink" Target="https://fbref.com/en/players/bc836d6d/matchlogs/2024/summary/Mark-Isong-Match-Logs" TargetMode="External"/><Relationship Id="rId19" Type="http://schemas.openxmlformats.org/officeDocument/2006/relationships/hyperlink" Target="https://fbref.com/en/players/4210b23e/matchlogs/2024/summary/Andrew-Wogan-Match-Logs" TargetMode="External"/><Relationship Id="rId18" Type="http://schemas.openxmlformats.org/officeDocument/2006/relationships/hyperlink" Target="https://fbref.com/en/players/6a205426/matchlogs/2024/summary/Andrew-Quinn-Match-Logs" TargetMode="External"/><Relationship Id="rId199" Type="http://schemas.openxmlformats.org/officeDocument/2006/relationships/hyperlink" Target="https://fbref.com/en/players/aed3e19e/matchlogs/2024/summary/Mason-Melia-Match-Logs" TargetMode="External"/><Relationship Id="rId84" Type="http://schemas.openxmlformats.org/officeDocument/2006/relationships/hyperlink" Target="https://fbref.com/en/players/998e9c56/matchlogs/2024/summary/Dayle-Rooney-Match-Logs" TargetMode="External"/><Relationship Id="rId83" Type="http://schemas.openxmlformats.org/officeDocument/2006/relationships/hyperlink" Target="https://fbref.com/en/players/f39096d1/matchlogs/2024/summary/Dawson-Devoy-Match-Logs" TargetMode="External"/><Relationship Id="rId86" Type="http://schemas.openxmlformats.org/officeDocument/2006/relationships/hyperlink" Target="https://fbref.com/en/players/deb1d9d6/matchlogs/2024/summary/Dean-Williams-Match-Logs" TargetMode="External"/><Relationship Id="rId85" Type="http://schemas.openxmlformats.org/officeDocument/2006/relationships/hyperlink" Target="https://fbref.com/en/players/628f9695/matchlogs/2024/summary/Dean-McMenamy-Match-Logs" TargetMode="External"/><Relationship Id="rId88" Type="http://schemas.openxmlformats.org/officeDocument/2006/relationships/hyperlink" Target="https://fbref.com/en/players/2ed67d47/matchlogs/2024/summary/Douglas-James-Taylor-Match-Logs" TargetMode="External"/><Relationship Id="rId150" Type="http://schemas.openxmlformats.org/officeDocument/2006/relationships/hyperlink" Target="https://fbref.com/en/players/4c4f8b7a/matchlogs/2024/summary/John-Ross-Wilson-Match-Logs" TargetMode="External"/><Relationship Id="rId271" Type="http://schemas.openxmlformats.org/officeDocument/2006/relationships/hyperlink" Target="https://fbref.com/en/players/0b96177e/matchlogs/2024/summary/Shane-Farrell-Match-Logs" TargetMode="External"/><Relationship Id="rId87" Type="http://schemas.openxmlformats.org/officeDocument/2006/relationships/hyperlink" Target="https://fbref.com/en/players/28fc9565/matchlogs/2024/summary/Declan-McDaid-Match-Logs" TargetMode="External"/><Relationship Id="rId270" Type="http://schemas.openxmlformats.org/officeDocument/2006/relationships/hyperlink" Target="https://fbref.com/en/players/d9bae961/matchlogs/2024/summary/Shane-Anthony-Griffin-Match-Logs" TargetMode="External"/><Relationship Id="rId89" Type="http://schemas.openxmlformats.org/officeDocument/2006/relationships/hyperlink" Target="https://fbref.com/en/players/77782466/matchlogs/2024/summary/Duncan-Idehen-Match-Logs" TargetMode="External"/><Relationship Id="rId80" Type="http://schemas.openxmlformats.org/officeDocument/2006/relationships/hyperlink" Target="https://fbref.com/en/players/2305b2c0/matchlogs/2024/summary/Daryl-Horgan-Match-Logs" TargetMode="External"/><Relationship Id="rId82" Type="http://schemas.openxmlformats.org/officeDocument/2006/relationships/hyperlink" Target="https://fbref.com/en/players/43181fdb/matchlogs/2024/summary/David-Webster-Match-Logs" TargetMode="External"/><Relationship Id="rId81" Type="http://schemas.openxmlformats.org/officeDocument/2006/relationships/hyperlink" Target="https://fbref.com/en/players/b3c51950/matchlogs/2024/summary/David-Hurley-Match-Logs" TargetMode="External"/><Relationship Id="rId1" Type="http://schemas.openxmlformats.org/officeDocument/2006/relationships/hyperlink" Target="https://fbref.com/en/players/5353cf2b/matchlogs/2024/summary/Aaron-Bolger-Match-Logs" TargetMode="External"/><Relationship Id="rId2" Type="http://schemas.openxmlformats.org/officeDocument/2006/relationships/hyperlink" Target="https://fbref.com/en/players/ba1c139e/matchlogs/2024/summary/Aaron-Greene-Match-Logs" TargetMode="External"/><Relationship Id="rId3" Type="http://schemas.openxmlformats.org/officeDocument/2006/relationships/hyperlink" Target="https://fbref.com/en/players/9cf94b1c/matchlogs/2024/summary/Aaron-Haper-Bailey-Match-Logs" TargetMode="External"/><Relationship Id="rId149" Type="http://schemas.openxmlformats.org/officeDocument/2006/relationships/hyperlink" Target="https://fbref.com/en/players/2bd20aad/matchlogs/2024/summary/John-OSullivan-Match-Logs" TargetMode="External"/><Relationship Id="rId4" Type="http://schemas.openxmlformats.org/officeDocument/2006/relationships/hyperlink" Target="https://fbref.com/en/players/dd31f092/matchlogs/2024/summary/Aaron-McEneff-Match-Logs" TargetMode="External"/><Relationship Id="rId148" Type="http://schemas.openxmlformats.org/officeDocument/2006/relationships/hyperlink" Target="https://fbref.com/en/players/6a6165d9/matchlogs/2024/summary/John-OSullivan-Match-Logs" TargetMode="External"/><Relationship Id="rId269" Type="http://schemas.openxmlformats.org/officeDocument/2006/relationships/hyperlink" Target="https://fbref.com/en/players/5a275676/matchlogs/2024/summary/Sean-Robertson-Match-Logs" TargetMode="External"/><Relationship Id="rId9" Type="http://schemas.openxmlformats.org/officeDocument/2006/relationships/hyperlink" Target="https://fbref.com/en/players/bf6508d3/matchlogs/2024/summary/Adam-OReilly-Match-Logs" TargetMode="External"/><Relationship Id="rId143" Type="http://schemas.openxmlformats.org/officeDocument/2006/relationships/hyperlink" Target="https://fbref.com/en/players/76b2019e/matchlogs/2024/summary/Jimmy-Keohane-Match-Logs" TargetMode="External"/><Relationship Id="rId264" Type="http://schemas.openxmlformats.org/officeDocument/2006/relationships/hyperlink" Target="https://fbref.com/en/players/2df56d51/matchlogs/2024/summary/Sean-Kavanagh-Match-Logs" TargetMode="External"/><Relationship Id="rId142" Type="http://schemas.openxmlformats.org/officeDocument/2006/relationships/hyperlink" Target="https://fbref.com/en/players/3bd47c13/matchlogs/2024/summary/Jevon-Mills-Match-Logs" TargetMode="External"/><Relationship Id="rId263" Type="http://schemas.openxmlformats.org/officeDocument/2006/relationships/hyperlink" Target="https://fbref.com/en/players/c8a4aafd/matchlogs/2024/summary/Sean-Hoare-Match-Logs" TargetMode="External"/><Relationship Id="rId141" Type="http://schemas.openxmlformats.org/officeDocument/2006/relationships/hyperlink" Target="https://fbref.com/en/players/b34cb606/matchlogs/2024/summary/Jethren-Barr-Match-Logs" TargetMode="External"/><Relationship Id="rId262" Type="http://schemas.openxmlformats.org/officeDocument/2006/relationships/hyperlink" Target="https://fbref.com/en/players/4cb950ea/matchlogs/2024/summary/Sean-Gannon-Match-Logs" TargetMode="External"/><Relationship Id="rId140" Type="http://schemas.openxmlformats.org/officeDocument/2006/relationships/hyperlink" Target="https://fbref.com/en/players/250cf65a/matchlogs/2024/summary/Jeannot-Esua-Match-Logs" TargetMode="External"/><Relationship Id="rId261" Type="http://schemas.openxmlformats.org/officeDocument/2006/relationships/hyperlink" Target="https://fbref.com/en/players/e726b9ed/matchlogs/2024/summary/Sean-Boyd-Match-Logs" TargetMode="External"/><Relationship Id="rId5" Type="http://schemas.openxmlformats.org/officeDocument/2006/relationships/hyperlink" Target="https://fbref.com/en/players/bd479552/matchlogs/2024/summary/Aaron-McNally-Match-Logs" TargetMode="External"/><Relationship Id="rId147" Type="http://schemas.openxmlformats.org/officeDocument/2006/relationships/hyperlink" Target="https://fbref.com/en/players/49aa1724/matchlogs/2024/summary/John-Mountney-Match-Logs" TargetMode="External"/><Relationship Id="rId268" Type="http://schemas.openxmlformats.org/officeDocument/2006/relationships/hyperlink" Target="https://fbref.com/en/players/aa352006/matchlogs/2024/summary/Sean-Patton-Match-Logs" TargetMode="External"/><Relationship Id="rId6" Type="http://schemas.openxmlformats.org/officeDocument/2006/relationships/hyperlink" Target="https://fbref.com/en/players/85fbf1e4/matchlogs/2024/summary/Aboubacar-Keita-Match-Logs" TargetMode="External"/><Relationship Id="rId146" Type="http://schemas.openxmlformats.org/officeDocument/2006/relationships/hyperlink" Target="https://fbref.com/en/players/0043fed0/matchlogs/2024/summary/John-Martin-Match-Logs" TargetMode="External"/><Relationship Id="rId267" Type="http://schemas.openxmlformats.org/officeDocument/2006/relationships/hyperlink" Target="https://fbref.com/en/players/ade4ad90/matchlogs/2024/summary/Sean-Molloy-Match-Logs" TargetMode="External"/><Relationship Id="rId7" Type="http://schemas.openxmlformats.org/officeDocument/2006/relationships/hyperlink" Target="https://fbref.com/en/players/993b68af/matchlogs/2024/summary/Adam-Foley-Match-Logs" TargetMode="External"/><Relationship Id="rId145" Type="http://schemas.openxmlformats.org/officeDocument/2006/relationships/hyperlink" Target="https://fbref.com/en/players/e9155d02/matchlogs/2024/summary/John-Mahon-Match-Logs" TargetMode="External"/><Relationship Id="rId266" Type="http://schemas.openxmlformats.org/officeDocument/2006/relationships/hyperlink" Target="https://fbref.com/en/players/2f9849d0/matchlogs/2024/summary/Sean-McAteer-Match-Logs" TargetMode="External"/><Relationship Id="rId8" Type="http://schemas.openxmlformats.org/officeDocument/2006/relationships/hyperlink" Target="https://fbref.com/en/players/0d21020d/matchlogs/2024/summary/Adam-McDonnell-Match-Logs" TargetMode="External"/><Relationship Id="rId144" Type="http://schemas.openxmlformats.org/officeDocument/2006/relationships/hyperlink" Target="https://fbref.com/en/players/ab44244d/matchlogs/2024/summary/Joe-Redmond-Match-Logs" TargetMode="External"/><Relationship Id="rId265" Type="http://schemas.openxmlformats.org/officeDocument/2006/relationships/hyperlink" Target="https://fbref.com/en/players/6c51a40a/matchlogs/2024/summary/Sean-Keogh-Match-Logs" TargetMode="External"/><Relationship Id="rId73" Type="http://schemas.openxmlformats.org/officeDocument/2006/relationships/hyperlink" Target="https://fbref.com/en/players/3b39ee5e/matchlogs/2024/summary/Danny-Rogers-Match-Logs" TargetMode="External"/><Relationship Id="rId72" Type="http://schemas.openxmlformats.org/officeDocument/2006/relationships/hyperlink" Target="https://fbref.com/en/players/ffce7861/matchlogs/2024/summary/Danny-Mullen-Match-Logs" TargetMode="External"/><Relationship Id="rId75" Type="http://schemas.openxmlformats.org/officeDocument/2006/relationships/hyperlink" Target="https://fbref.com/en/players/fe025f20/matchlogs/2024/summary/Darragh-Burns-Match-Logs" TargetMode="External"/><Relationship Id="rId74" Type="http://schemas.openxmlformats.org/officeDocument/2006/relationships/hyperlink" Target="https://fbref.com/en/players/ebd1d7b0/matchlogs/2024/summary/Dara-Keane-Match-Logs" TargetMode="External"/><Relationship Id="rId77" Type="http://schemas.openxmlformats.org/officeDocument/2006/relationships/hyperlink" Target="https://fbref.com/en/players/c389c1ff/matchlogs/2024/summary/Darragh-Markey-Match-Logs" TargetMode="External"/><Relationship Id="rId260" Type="http://schemas.openxmlformats.org/officeDocument/2006/relationships/hyperlink" Target="https://fbref.com/en/players/5a60f461/matchlogs/2024/summary/Scott-McGill-Match-Logs" TargetMode="External"/><Relationship Id="rId76" Type="http://schemas.openxmlformats.org/officeDocument/2006/relationships/hyperlink" Target="https://fbref.com/en/players/7ec1955f/matchlogs/2024/summary/Darragh-Leahy-Match-Logs" TargetMode="External"/><Relationship Id="rId79" Type="http://schemas.openxmlformats.org/officeDocument/2006/relationships/hyperlink" Target="https://fbref.com/en/players/3b48c6e3/matchlogs/2024/summary/Darragh-Power-Match-Logs" TargetMode="External"/><Relationship Id="rId78" Type="http://schemas.openxmlformats.org/officeDocument/2006/relationships/hyperlink" Target="https://fbref.com/en/players/5f692ac1/matchlogs/2024/summary/Darragh-Nugent-Match-Logs" TargetMode="External"/><Relationship Id="rId71" Type="http://schemas.openxmlformats.org/officeDocument/2006/relationships/hyperlink" Target="https://fbref.com/en/players/d97b8ab2/matchlogs/2024/summary/Danny-Grant-Match-Logs" TargetMode="External"/><Relationship Id="rId70" Type="http://schemas.openxmlformats.org/officeDocument/2006/relationships/hyperlink" Target="https://fbref.com/en/players/1a6dd27a/matchlogs/2024/summary/Daniel-Ring-Match-Logs" TargetMode="External"/><Relationship Id="rId139" Type="http://schemas.openxmlformats.org/officeDocument/2006/relationships/hyperlink" Target="https://fbref.com/en/players/7b53ecf8/matchlogs/2024/summary/Jason-McClelland-Match-Logs" TargetMode="External"/><Relationship Id="rId138" Type="http://schemas.openxmlformats.org/officeDocument/2006/relationships/hyperlink" Target="https://fbref.com/en/players/099ac404/matchlogs/2024/summary/Jamie-Walker-Match-Logs" TargetMode="External"/><Relationship Id="rId259" Type="http://schemas.openxmlformats.org/officeDocument/2006/relationships/hyperlink" Target="https://fbref.com/en/players/b8ec3525/matchlogs/2024/summary/Scott-High-Match-Logs" TargetMode="External"/><Relationship Id="rId137" Type="http://schemas.openxmlformats.org/officeDocument/2006/relationships/hyperlink" Target="https://fbref.com/en/players/f3e0cb23/matchlogs/2024/summary/Jamie-Lennon-Match-Logs" TargetMode="External"/><Relationship Id="rId258" Type="http://schemas.openxmlformats.org/officeDocument/2006/relationships/hyperlink" Target="https://fbref.com/en/players/d10fdb58/matchlogs/2024/summary/Samuel-Glenfield-Match-Logs" TargetMode="External"/><Relationship Id="rId132" Type="http://schemas.openxmlformats.org/officeDocument/2006/relationships/hyperlink" Target="https://fbref.com/en/players/9697c246/matchlogs/2024/summary/James-Byrne-Match-Logs" TargetMode="External"/><Relationship Id="rId253" Type="http://schemas.openxmlformats.org/officeDocument/2006/relationships/hyperlink" Target="https://fbref.com/en/players/598f0ae7/matchlogs/2024/summary/Sam-Bellis-Match-Logs" TargetMode="External"/><Relationship Id="rId131" Type="http://schemas.openxmlformats.org/officeDocument/2006/relationships/hyperlink" Target="https://fbref.com/en/players/9558d2aa/matchlogs/2024/summary/James-Bolger-Match-Logs" TargetMode="External"/><Relationship Id="rId252" Type="http://schemas.openxmlformats.org/officeDocument/2006/relationships/hyperlink" Target="https://fbref.com/en/players/09ba123a/matchlogs/2024/summary/Sadou-Diallo-Match-Logs" TargetMode="External"/><Relationship Id="rId130" Type="http://schemas.openxmlformats.org/officeDocument/2006/relationships/hyperlink" Target="https://fbref.com/en/players/2e13c8c4/matchlogs/2024/summary/James-Akintunde-Match-Logs" TargetMode="External"/><Relationship Id="rId251" Type="http://schemas.openxmlformats.org/officeDocument/2006/relationships/hyperlink" Target="https://fbref.com/en/players/639be3ec/matchlogs/2024/summary/Ryan-OKane-Match-Logs" TargetMode="External"/><Relationship Id="rId250" Type="http://schemas.openxmlformats.org/officeDocument/2006/relationships/hyperlink" Target="https://fbref.com/en/players/98f9400a/matchlogs/2024/summary/Ryan-McLaughlin-Match-Logs" TargetMode="External"/><Relationship Id="rId136" Type="http://schemas.openxmlformats.org/officeDocument/2006/relationships/hyperlink" Target="https://fbref.com/en/players/c56e2c56/matchlogs/2024/summary/James-Talbot-Match-Logs" TargetMode="External"/><Relationship Id="rId257" Type="http://schemas.openxmlformats.org/officeDocument/2006/relationships/hyperlink" Target="https://fbref.com/en/players/eeb52c13/matchlogs/2024/summary/Sam-Todd-Match-Logs" TargetMode="External"/><Relationship Id="rId135" Type="http://schemas.openxmlformats.org/officeDocument/2006/relationships/hyperlink" Target="https://fbref.com/en/players/4af036e1/matchlogs/2024/summary/James-McManus-Match-Logs" TargetMode="External"/><Relationship Id="rId256" Type="http://schemas.openxmlformats.org/officeDocument/2006/relationships/hyperlink" Target="https://fbref.com/en/players/ca092999/matchlogs/2024/summary/Sam-Sargeant-Match-Logs" TargetMode="External"/><Relationship Id="rId134" Type="http://schemas.openxmlformats.org/officeDocument/2006/relationships/hyperlink" Target="https://fbref.com/en/players/8ba2e28d/matchlogs/2024/summary/James-Gullan-Match-Logs" TargetMode="External"/><Relationship Id="rId255" Type="http://schemas.openxmlformats.org/officeDocument/2006/relationships/hyperlink" Target="https://fbref.com/en/players/de77fa53/matchlogs/2024/summary/Sam-Durrant-Match-Logs" TargetMode="External"/><Relationship Id="rId133" Type="http://schemas.openxmlformats.org/officeDocument/2006/relationships/hyperlink" Target="https://fbref.com/en/players/49760d59/matchlogs/2024/summary/James-Clarke-Match-Logs" TargetMode="External"/><Relationship Id="rId254" Type="http://schemas.openxmlformats.org/officeDocument/2006/relationships/hyperlink" Target="https://fbref.com/en/players/81d3f7a2/matchlogs/2024/summary/Sam-Bone-Match-Logs" TargetMode="External"/><Relationship Id="rId62" Type="http://schemas.openxmlformats.org/officeDocument/2006/relationships/hyperlink" Target="https://fbref.com/en/players/42d9e953/matchlogs/2024/summary/Conor-OKeeffe-Match-Logs" TargetMode="External"/><Relationship Id="rId61" Type="http://schemas.openxmlformats.org/officeDocument/2006/relationships/hyperlink" Target="https://fbref.com/en/players/661e79e8/matchlogs/2024/summary/Conor-McCormack-Match-Logs" TargetMode="External"/><Relationship Id="rId64" Type="http://schemas.openxmlformats.org/officeDocument/2006/relationships/hyperlink" Target="https://fbref.com/en/players/6b23e5f6/matchlogs/2024/summary/Cory-OSullivan-Match-Logs" TargetMode="External"/><Relationship Id="rId63" Type="http://schemas.openxmlformats.org/officeDocument/2006/relationships/hyperlink" Target="https://fbref.com/en/players/8844807d/matchlogs/2024/summary/Conor-Reynolds-Match-Logs" TargetMode="External"/><Relationship Id="rId66" Type="http://schemas.openxmlformats.org/officeDocument/2006/relationships/hyperlink" Target="https://fbref.com/en/players/308169f0/matchlogs/2024/summary/Dan-Pike-Match-Logs" TargetMode="External"/><Relationship Id="rId172" Type="http://schemas.openxmlformats.org/officeDocument/2006/relationships/hyperlink" Target="https://fbref.com/en/players/87242596/matchlogs/2024/summary/Kyle-Fitzgerald-Match-Logs" TargetMode="External"/><Relationship Id="rId293" Type="http://schemas.openxmlformats.org/officeDocument/2006/relationships/hyperlink" Target="https://fbref.com/en/players/67cd6d8d/matchlogs/2024/summary/Zac-Johnson-Match-Logs" TargetMode="External"/><Relationship Id="rId65" Type="http://schemas.openxmlformats.org/officeDocument/2006/relationships/hyperlink" Target="https://fbref.com/en/players/7f71b7a2/matchlogs/2024/summary/Daire-Patton-Match-Logs" TargetMode="External"/><Relationship Id="rId171" Type="http://schemas.openxmlformats.org/officeDocument/2006/relationships/hyperlink" Target="https://fbref.com/en/players/230877a0/matchlogs/2024/summary/Koen-Oostenbrink-Match-Logs" TargetMode="External"/><Relationship Id="rId292" Type="http://schemas.openxmlformats.org/officeDocument/2006/relationships/hyperlink" Target="https://fbref.com/en/players/38a300da/matchlogs/2024/summary/Wilson-Waweru-Match-Logs" TargetMode="External"/><Relationship Id="rId68" Type="http://schemas.openxmlformats.org/officeDocument/2006/relationships/hyperlink" Target="https://fbref.com/en/players/881fb89d/matchlogs/2024/summary/Daniel-Kelly-Match-Logs" TargetMode="External"/><Relationship Id="rId170" Type="http://schemas.openxmlformats.org/officeDocument/2006/relationships/hyperlink" Target="https://fbref.com/en/players/018d2654/matchlogs/2024/summary/Killian-Cailloce-Match-Logs" TargetMode="External"/><Relationship Id="rId291" Type="http://schemas.openxmlformats.org/officeDocument/2006/relationships/hyperlink" Target="https://fbref.com/en/players/f471718a/matchlogs/2024/summary/William-Jarvis-Match-Logs" TargetMode="External"/><Relationship Id="rId67" Type="http://schemas.openxmlformats.org/officeDocument/2006/relationships/hyperlink" Target="https://fbref.com/en/players/bcdc8055/matchlogs/2024/summary/Daniel-Cleary-Match-Logs" TargetMode="External"/><Relationship Id="rId290" Type="http://schemas.openxmlformats.org/officeDocument/2006/relationships/hyperlink" Target="https://fbref.com/en/players/2043b48f/matchlogs/2024/summary/William-Fitzgerald-Match-Logs" TargetMode="External"/><Relationship Id="rId60" Type="http://schemas.openxmlformats.org/officeDocument/2006/relationships/hyperlink" Target="https://fbref.com/en/players/9dc5dc14/matchlogs/2024/summary/Conor-Keeley-Match-Logs" TargetMode="External"/><Relationship Id="rId165" Type="http://schemas.openxmlformats.org/officeDocument/2006/relationships/hyperlink" Target="https://fbref.com/en/players/a14a0a74/matchlogs/2024/summary/Karl-OSullivan-Match-Logs" TargetMode="External"/><Relationship Id="rId286" Type="http://schemas.openxmlformats.org/officeDocument/2006/relationships/hyperlink" Target="https://fbref.com/en/players/e65186a3/matchlogs/2024/summary/Vincent-Leonard-Match-Logs" TargetMode="External"/><Relationship Id="rId69" Type="http://schemas.openxmlformats.org/officeDocument/2006/relationships/hyperlink" Target="https://fbref.com/en/players/fa6f3dad/matchlogs/2024/summary/Daniel-Mandroiu-Match-Logs" TargetMode="External"/><Relationship Id="rId164" Type="http://schemas.openxmlformats.org/officeDocument/2006/relationships/hyperlink" Target="https://fbref.com/en/players/004a6ac3/matchlogs/2024/summary/Kameron-Ledwidge-Match-Logs" TargetMode="External"/><Relationship Id="rId285" Type="http://schemas.openxmlformats.org/officeDocument/2006/relationships/hyperlink" Target="https://fbref.com/en/players/61d8078d/matchlogs/2024/summary/Vincent-Borden-Match-Logs" TargetMode="External"/><Relationship Id="rId163" Type="http://schemas.openxmlformats.org/officeDocument/2006/relationships/hyperlink" Target="https://fbref.com/en/players/c7cee5f4/matchlogs/2024/summary/Kailin-Barlow-Match-Logs" TargetMode="External"/><Relationship Id="rId284" Type="http://schemas.openxmlformats.org/officeDocument/2006/relationships/hyperlink" Target="https://fbref.com/en/players/4c16ead6/matchlogs/2024/summary/Tyreke-Wilson-Match-Logs" TargetMode="External"/><Relationship Id="rId162" Type="http://schemas.openxmlformats.org/officeDocument/2006/relationships/hyperlink" Target="https://fbref.com/en/players/f7a3ec21/matchlogs/2024/summary/Kacper-Skwierczynski-Match-Logs" TargetMode="External"/><Relationship Id="rId283" Type="http://schemas.openxmlformats.org/officeDocument/2006/relationships/hyperlink" Target="https://fbref.com/en/players/088059d8/matchlogs/2024/summary/Trevor-Clarke-Match-Logs" TargetMode="External"/><Relationship Id="rId169" Type="http://schemas.openxmlformats.org/officeDocument/2006/relationships/hyperlink" Target="https://fbref.com/en/players/a352cc43/matchlogs/2024/summary/Killian-Brouder-Match-Logs" TargetMode="External"/><Relationship Id="rId168" Type="http://schemas.openxmlformats.org/officeDocument/2006/relationships/hyperlink" Target="https://fbref.com/en/players/b1a7bf79/matchlogs/2024/summary/Kieran-Freeman-Match-Logs" TargetMode="External"/><Relationship Id="rId289" Type="http://schemas.openxmlformats.org/officeDocument/2006/relationships/hyperlink" Target="https://fbref.com/en/players/8de9b2a2/matchlogs/2024/summary/Will-Patching-Match-Logs" TargetMode="External"/><Relationship Id="rId167" Type="http://schemas.openxmlformats.org/officeDocument/2006/relationships/hyperlink" Target="https://fbref.com/en/players/cf21dc55/matchlogs/2024/summary/Kian-Leavy-Match-Logs" TargetMode="External"/><Relationship Id="rId288" Type="http://schemas.openxmlformats.org/officeDocument/2006/relationships/hyperlink" Target="https://fbref.com/en/players/be64e622/matchlogs/2024/summary/Wassim-Aouachria-Match-Logs" TargetMode="External"/><Relationship Id="rId166" Type="http://schemas.openxmlformats.org/officeDocument/2006/relationships/hyperlink" Target="https://fbref.com/en/players/a8f489d7/matchlogs/2024/summary/Keith-Ward-Match-Logs" TargetMode="External"/><Relationship Id="rId287" Type="http://schemas.openxmlformats.org/officeDocument/2006/relationships/hyperlink" Target="https://fbref.com/en/players/2a11ec72/matchlogs/2024/summary/Warren-Davis-Match-Logs" TargetMode="External"/><Relationship Id="rId51" Type="http://schemas.openxmlformats.org/officeDocument/2006/relationships/hyperlink" Target="https://fbref.com/en/players/1fc74318/matchlogs/2024/summary/Cillian-Tollett-Match-Logs" TargetMode="External"/><Relationship Id="rId50" Type="http://schemas.openxmlformats.org/officeDocument/2006/relationships/hyperlink" Target="https://fbref.com/en/players/889460eb/matchlogs/2024/summary/Ciaron-Harkin-Match-Logs" TargetMode="External"/><Relationship Id="rId53" Type="http://schemas.openxmlformats.org/officeDocument/2006/relationships/hyperlink" Target="https://fbref.com/en/players/a3cc1051/matchlogs/2024/summary/Colm-Whelan-Match-Logs" TargetMode="External"/><Relationship Id="rId52" Type="http://schemas.openxmlformats.org/officeDocument/2006/relationships/hyperlink" Target="https://fbref.com/en/players/69ae323e/matchlogs/2024/summary/Colm-Horgan-Match-Logs" TargetMode="External"/><Relationship Id="rId55" Type="http://schemas.openxmlformats.org/officeDocument/2006/relationships/hyperlink" Target="https://fbref.com/en/players/7026b43c/matchlogs/2024/summary/Connor-Evans-Match-Logs" TargetMode="External"/><Relationship Id="rId161" Type="http://schemas.openxmlformats.org/officeDocument/2006/relationships/hyperlink" Target="https://fbref.com/en/players/20eeccfc/matchlogs/2024/summary/Kacper-Radkowski-Match-Logs" TargetMode="External"/><Relationship Id="rId282" Type="http://schemas.openxmlformats.org/officeDocument/2006/relationships/hyperlink" Target="https://fbref.com/en/players/bb173ec3/matchlogs/2024/summary/Tom-Grivosti-Match-Logs" TargetMode="External"/><Relationship Id="rId54" Type="http://schemas.openxmlformats.org/officeDocument/2006/relationships/hyperlink" Target="https://fbref.com/en/players/e726d7e0/matchlogs/2024/summary/Conan-Noonan-Match-Logs" TargetMode="External"/><Relationship Id="rId160" Type="http://schemas.openxmlformats.org/officeDocument/2006/relationships/hyperlink" Target="https://fbref.com/en/players/f0d58452/matchlogs/2024/summary/Kacper-Chorazka-Match-Logs" TargetMode="External"/><Relationship Id="rId281" Type="http://schemas.openxmlformats.org/officeDocument/2006/relationships/hyperlink" Target="https://fbref.com/en/players/b323f30f/matchlogs/2024/summary/Tom-Costello-Match-Logs" TargetMode="External"/><Relationship Id="rId57" Type="http://schemas.openxmlformats.org/officeDocument/2006/relationships/hyperlink" Target="https://fbref.com/en/players/46dcd732/matchlogs/2024/summary/Connor-Parsons-Match-Logs" TargetMode="External"/><Relationship Id="rId280" Type="http://schemas.openxmlformats.org/officeDocument/2006/relationships/hyperlink" Target="https://fbref.com/en/players/308b8e0d/matchlogs/2024/summary/TJ-Molloy-Match-Logs" TargetMode="External"/><Relationship Id="rId56" Type="http://schemas.openxmlformats.org/officeDocument/2006/relationships/hyperlink" Target="https://fbref.com/en/players/bddb690e/matchlogs/2024/summary/Connor-Malley-Match-Logs" TargetMode="External"/><Relationship Id="rId159" Type="http://schemas.openxmlformats.org/officeDocument/2006/relationships/hyperlink" Target="https://fbref.com/en/players/aca99b0f/matchlogs/2024/summary/Junior-Ogedi-Uzokwe-Match-Logs" TargetMode="External"/><Relationship Id="rId59" Type="http://schemas.openxmlformats.org/officeDocument/2006/relationships/hyperlink" Target="https://fbref.com/en/players/50abe7ae/matchlogs/2024/summary/Conor-Kearns-Match-Logs" TargetMode="External"/><Relationship Id="rId154" Type="http://schemas.openxmlformats.org/officeDocument/2006/relationships/hyperlink" Target="https://fbref.com/en/players/4c32ed6f/matchlogs/2024/summary/Jordan-McEneff-Match-Logs" TargetMode="External"/><Relationship Id="rId275" Type="http://schemas.openxmlformats.org/officeDocument/2006/relationships/hyperlink" Target="https://fbref.com/en/players/4ede09b3/matchlogs/2024/summary/Simon-Power-Match-Logs" TargetMode="External"/><Relationship Id="rId58" Type="http://schemas.openxmlformats.org/officeDocument/2006/relationships/hyperlink" Target="https://fbref.com/en/players/b1b38720/matchlogs/2024/summary/Conor-Kane-Match-Logs" TargetMode="External"/><Relationship Id="rId153" Type="http://schemas.openxmlformats.org/officeDocument/2006/relationships/hyperlink" Target="https://fbref.com/en/players/469be117/matchlogs/2024/summary/Jordan-Flores-Match-Logs" TargetMode="External"/><Relationship Id="rId274" Type="http://schemas.openxmlformats.org/officeDocument/2006/relationships/hyperlink" Target="https://fbref.com/en/players/ca17b855/matchlogs/2024/summary/Shane-McEleney-Match-Logs" TargetMode="External"/><Relationship Id="rId152" Type="http://schemas.openxmlformats.org/officeDocument/2006/relationships/hyperlink" Target="https://fbref.com/en/players/e6c50827/matchlogs/2024/summary/Jonathan-Lunney-Match-Logs" TargetMode="External"/><Relationship Id="rId273" Type="http://schemas.openxmlformats.org/officeDocument/2006/relationships/hyperlink" Target="https://fbref.com/en/players/862cc23f/matchlogs/2024/summary/Shane-Flynn-Match-Logs" TargetMode="External"/><Relationship Id="rId151" Type="http://schemas.openxmlformats.org/officeDocument/2006/relationships/hyperlink" Target="https://fbref.com/en/players/e8ce6ee7/matchlogs/2024/summary/Johnny-Kenny-Match-Logs" TargetMode="External"/><Relationship Id="rId272" Type="http://schemas.openxmlformats.org/officeDocument/2006/relationships/hyperlink" Target="https://fbref.com/en/players/0b96177e/matchlogs/2024/summary/Shane-Farrell-Match-Logs" TargetMode="External"/><Relationship Id="rId158" Type="http://schemas.openxmlformats.org/officeDocument/2006/relationships/hyperlink" Target="https://fbref.com/en/players/301683da/matchlogs/2024/summary/Joshua-Honohan-Match-Logs" TargetMode="External"/><Relationship Id="rId279" Type="http://schemas.openxmlformats.org/officeDocument/2006/relationships/hyperlink" Target="https://fbref.com/en/players/7b46dc3d/matchlogs/2024/summary/Stephen-Walsh-Match-Logs" TargetMode="External"/><Relationship Id="rId157" Type="http://schemas.openxmlformats.org/officeDocument/2006/relationships/hyperlink" Target="https://fbref.com/en/players/f2c540bf/matchlogs/2024/summary/Josh-OConnor-Match-Logs" TargetMode="External"/><Relationship Id="rId278" Type="http://schemas.openxmlformats.org/officeDocument/2006/relationships/hyperlink" Target="https://fbref.com/en/players/4765d9ea/matchlogs/2024/summary/Stephen-Mallon-Match-Logs" TargetMode="External"/><Relationship Id="rId156" Type="http://schemas.openxmlformats.org/officeDocument/2006/relationships/hyperlink" Target="https://fbref.com/en/players/eabd38d5/matchlogs/2024/summary/Joseph-Forde-Match-Logs" TargetMode="External"/><Relationship Id="rId277" Type="http://schemas.openxmlformats.org/officeDocument/2006/relationships/hyperlink" Target="https://fbref.com/en/players/db9c6583/matchlogs/2024/summary/Sten-Reinkort-Match-Logs" TargetMode="External"/><Relationship Id="rId155" Type="http://schemas.openxmlformats.org/officeDocument/2006/relationships/hyperlink" Target="https://fbref.com/en/players/21a866b7/matchlogs/2024/summary/Joseph-Anang-Match-Logs" TargetMode="External"/><Relationship Id="rId276" Type="http://schemas.openxmlformats.org/officeDocument/2006/relationships/hyperlink" Target="https://fbref.com/en/players/29dc2f1b/matchlogs/2024/summary/Stefan-Radosavlevic-Match-Logs" TargetMode="External"/><Relationship Id="rId107" Type="http://schemas.openxmlformats.org/officeDocument/2006/relationships/hyperlink" Target="https://fbref.com/en/players/4744178d/matchlogs/2024/summary/Garry-Buckley-Match-Logs" TargetMode="External"/><Relationship Id="rId228" Type="http://schemas.openxmlformats.org/officeDocument/2006/relationships/hyperlink" Target="https://fbref.com/en/players/bddd8ba3/matchlogs/2024/summary/Rayhaan-Tulloch-Match-Logs" TargetMode="External"/><Relationship Id="rId106" Type="http://schemas.openxmlformats.org/officeDocument/2006/relationships/hyperlink" Target="https://fbref.com/en/players/3496e3ee/matchlogs/2024/summary/Gareth-McElroy-Match-Logs" TargetMode="External"/><Relationship Id="rId227" Type="http://schemas.openxmlformats.org/officeDocument/2006/relationships/hyperlink" Target="https://fbref.com/en/players/faef0f92/matchlogs/2024/summary/Pico-Match-Logs" TargetMode="External"/><Relationship Id="rId105" Type="http://schemas.openxmlformats.org/officeDocument/2006/relationships/hyperlink" Target="https://fbref.com/en/players/fba31b1e/matchlogs/2024/summary/Frantz-Pierrot-Match-Logs" TargetMode="External"/><Relationship Id="rId226" Type="http://schemas.openxmlformats.org/officeDocument/2006/relationships/hyperlink" Target="https://fbref.com/en/players/d1335808/matchlogs/2024/summary/Paul-McMullan-Match-Logs" TargetMode="External"/><Relationship Id="rId104" Type="http://schemas.openxmlformats.org/officeDocument/2006/relationships/hyperlink" Target="https://fbref.com/en/players/3d0a1c44/matchlogs/2024/summary/Francely-Lomboto-Match-Logs" TargetMode="External"/><Relationship Id="rId225" Type="http://schemas.openxmlformats.org/officeDocument/2006/relationships/hyperlink" Target="https://fbref.com/en/players/4a71b080/matchlogs/2024/summary/Paul-Doyle-Match-Logs" TargetMode="External"/><Relationship Id="rId109" Type="http://schemas.openxmlformats.org/officeDocument/2006/relationships/hyperlink" Target="https://fbref.com/en/players/7f176025/matchlogs/2024/summary/Gary-ONeill-Match-Logs" TargetMode="External"/><Relationship Id="rId108" Type="http://schemas.openxmlformats.org/officeDocument/2006/relationships/hyperlink" Target="https://fbref.com/en/players/e4545ca7/matchlogs/2024/summary/Gary-Deegan-Match-Logs" TargetMode="External"/><Relationship Id="rId229" Type="http://schemas.openxmlformats.org/officeDocument/2006/relationships/hyperlink" Target="https://fbref.com/en/players/3c6782fc/matchlogs/2024/summary/Reece-Hutchinson-Match-Logs" TargetMode="External"/><Relationship Id="rId220" Type="http://schemas.openxmlformats.org/officeDocument/2006/relationships/hyperlink" Target="https://fbref.com/en/players/f4135487/matchlogs/2024/summary/Paddy-Kirk-Match-Logs" TargetMode="External"/><Relationship Id="rId103" Type="http://schemas.openxmlformats.org/officeDocument/2006/relationships/hyperlink" Target="https://fbref.com/en/players/48a69bf9/matchlogs/2024/summary/Filip-Piszczek-Match-Logs" TargetMode="External"/><Relationship Id="rId224" Type="http://schemas.openxmlformats.org/officeDocument/2006/relationships/hyperlink" Target="https://fbref.com/en/players/f3b2463e/matchlogs/2024/summary/Patrick-McEleney-Match-Logs" TargetMode="External"/><Relationship Id="rId102" Type="http://schemas.openxmlformats.org/officeDocument/2006/relationships/hyperlink" Target="https://fbref.com/en/players/975dc6ea/matchlogs/2024/summary/Felix-Goddard-Match-Logs" TargetMode="External"/><Relationship Id="rId223" Type="http://schemas.openxmlformats.org/officeDocument/2006/relationships/hyperlink" Target="https://fbref.com/en/players/f934cffd/matchlogs/2024/summary/Patrick-Hoban-Match-Logs" TargetMode="External"/><Relationship Id="rId101" Type="http://schemas.openxmlformats.org/officeDocument/2006/relationships/hyperlink" Target="https://fbref.com/en/players/922935f5/matchlogs/2024/summary/Fabrice-Hartmann-Match-Logs" TargetMode="External"/><Relationship Id="rId222" Type="http://schemas.openxmlformats.org/officeDocument/2006/relationships/hyperlink" Target="https://fbref.com/en/players/9652f480/matchlogs/2024/summary/Patrick-Hickey-Match-Logs" TargetMode="External"/><Relationship Id="rId100" Type="http://schemas.openxmlformats.org/officeDocument/2006/relationships/hyperlink" Target="https://fbref.com/en/players/f275afa0/matchlogs/2024/summary/Evan-Weir-Match-Logs" TargetMode="External"/><Relationship Id="rId221" Type="http://schemas.openxmlformats.org/officeDocument/2006/relationships/hyperlink" Target="https://fbref.com/en/players/75499f71/matchlogs/2024/summary/Padraig-Amond-Match-Logs" TargetMode="External"/><Relationship Id="rId217" Type="http://schemas.openxmlformats.org/officeDocument/2006/relationships/hyperlink" Target="https://fbref.com/en/players/b056ce1c/matchlogs/2024/summary/Oliver-Denham-Match-Logs" TargetMode="External"/><Relationship Id="rId216" Type="http://schemas.openxmlformats.org/officeDocument/2006/relationships/hyperlink" Target="https://fbref.com/en/players/5b4880c8/matchlogs/2024/summary/Oisin-Gallagher-Match-Logs" TargetMode="External"/><Relationship Id="rId215" Type="http://schemas.openxmlformats.org/officeDocument/2006/relationships/hyperlink" Target="https://fbref.com/en/players/f039d3e5/matchlogs/2024/summary/Norman-Garbett-Match-Logs" TargetMode="External"/><Relationship Id="rId214" Type="http://schemas.openxmlformats.org/officeDocument/2006/relationships/hyperlink" Target="https://fbref.com/en/players/df8ce513/matchlogs/2024/summary/Nickson-Okosun-Match-Logs" TargetMode="External"/><Relationship Id="rId219" Type="http://schemas.openxmlformats.org/officeDocument/2006/relationships/hyperlink" Target="https://fbref.com/en/players/9b2e7c8f/matchlogs/2024/summary/Paddy-Barrett-Match-Logs" TargetMode="External"/><Relationship Id="rId218" Type="http://schemas.openxmlformats.org/officeDocument/2006/relationships/hyperlink" Target="https://fbref.com/en/players/88be0a63/matchlogs/2024/summary/Owen-Elding-Match-Logs" TargetMode="External"/><Relationship Id="rId213" Type="http://schemas.openxmlformats.org/officeDocument/2006/relationships/hyperlink" Target="https://fbref.com/en/players/f734396f/matchlogs/2024/summary/Niall-OKeeffe-Match-Logs" TargetMode="External"/><Relationship Id="rId212" Type="http://schemas.openxmlformats.org/officeDocument/2006/relationships/hyperlink" Target="https://fbref.com/en/players/4be8671e/matchlogs/2024/summary/Niall-Morahan-Match-Logs" TargetMode="External"/><Relationship Id="rId211" Type="http://schemas.openxmlformats.org/officeDocument/2006/relationships/hyperlink" Target="https://fbref.com/en/players/48f7a573/matchlogs/2024/summary/Neil-Farrugia-Match-Logs" TargetMode="External"/><Relationship Id="rId210" Type="http://schemas.openxmlformats.org/officeDocument/2006/relationships/hyperlink" Target="https://fbref.com/en/players/92afdf2a/matchlogs/2024/summary/Nando-Pijnaker-Match-Logs" TargetMode="External"/><Relationship Id="rId129" Type="http://schemas.openxmlformats.org/officeDocument/2006/relationships/hyperlink" Target="https://fbref.com/en/players/0f04858e/matchlogs/2024/summary/Jake-Mulraney-Match-Logs" TargetMode="External"/><Relationship Id="rId128" Type="http://schemas.openxmlformats.org/officeDocument/2006/relationships/hyperlink" Target="https://fbref.com/en/players/717d8910/matchlogs/2024/summary/Jake-Carroll-Match-Logs" TargetMode="External"/><Relationship Id="rId249" Type="http://schemas.openxmlformats.org/officeDocument/2006/relationships/hyperlink" Target="https://fbref.com/en/players/b53349fa/matchlogs/2024/summary/Ryan-Burke-Match-Logs" TargetMode="External"/><Relationship Id="rId127" Type="http://schemas.openxmlformats.org/officeDocument/2006/relationships/hyperlink" Target="https://fbref.com/en/players/425bb610/matchlogs/2024/summary/Jad-Hakiki-Match-Logs" TargetMode="External"/><Relationship Id="rId248" Type="http://schemas.openxmlformats.org/officeDocument/2006/relationships/hyperlink" Target="https://fbref.com/en/players/217b7bf8/matchlogs/2024/summary/Ryan-Brennan-Match-Logs" TargetMode="External"/><Relationship Id="rId126" Type="http://schemas.openxmlformats.org/officeDocument/2006/relationships/hyperlink" Target="https://fbref.com/en/players/425bb610/matchlogs/2024/summary/Jad-Hakiki-Match-Logs" TargetMode="External"/><Relationship Id="rId247" Type="http://schemas.openxmlformats.org/officeDocument/2006/relationships/hyperlink" Target="https://fbref.com/en/players/60a1cfcd/matchlogs/2024/summary/Ruairi-Keating-Match-Logs" TargetMode="External"/><Relationship Id="rId121" Type="http://schemas.openxmlformats.org/officeDocument/2006/relationships/hyperlink" Target="https://fbref.com/en/players/78549571/matchlogs/2024/summary/Hayden-Muller-Match-Logs" TargetMode="External"/><Relationship Id="rId242" Type="http://schemas.openxmlformats.org/officeDocument/2006/relationships/hyperlink" Target="https://fbref.com/en/players/3bb532bb/matchlogs/2024/summary/Ronan-Boyce-Match-Logs" TargetMode="External"/><Relationship Id="rId120" Type="http://schemas.openxmlformats.org/officeDocument/2006/relationships/hyperlink" Target="https://fbref.com/en/players/05d1a070/matchlogs/2024/summary/Hayden-Cann-Match-Logs" TargetMode="External"/><Relationship Id="rId241" Type="http://schemas.openxmlformats.org/officeDocument/2006/relationships/hyperlink" Target="https://fbref.com/en/players/e964b8f3/matchlogs/2024/summary/Romeo-Akachukwu-Match-Logs" TargetMode="External"/><Relationship Id="rId240" Type="http://schemas.openxmlformats.org/officeDocument/2006/relationships/hyperlink" Target="https://fbref.com/en/players/ff1becbe/matchlogs/2024/summary/Romal-Palmer-Match-Logs" TargetMode="External"/><Relationship Id="rId125" Type="http://schemas.openxmlformats.org/officeDocument/2006/relationships/hyperlink" Target="https://fbref.com/en/players/9ca82cdb/matchlogs/2024/summary/Jacob-Davenport-Match-Logs" TargetMode="External"/><Relationship Id="rId246" Type="http://schemas.openxmlformats.org/officeDocument/2006/relationships/hyperlink" Target="https://fbref.com/en/players/5e7246d1/matchlogs/2024/summary/Rowan-McDonald-Match-Logs" TargetMode="External"/><Relationship Id="rId124" Type="http://schemas.openxmlformats.org/officeDocument/2006/relationships/hyperlink" Target="https://fbref.com/en/players/64d97c1f/matchlogs/2024/summary/Jack-Keaney-Match-Logs" TargetMode="External"/><Relationship Id="rId245" Type="http://schemas.openxmlformats.org/officeDocument/2006/relationships/hyperlink" Target="https://fbref.com/en/players/ae4e1395/matchlogs/2024/summary/Ross-Tierney-Match-Logs" TargetMode="External"/><Relationship Id="rId123" Type="http://schemas.openxmlformats.org/officeDocument/2006/relationships/hyperlink" Target="https://fbref.com/en/players/e93d8ed1/matchlogs/2024/summary/Jack-Henry-Francis-Match-Logs" TargetMode="External"/><Relationship Id="rId244" Type="http://schemas.openxmlformats.org/officeDocument/2006/relationships/hyperlink" Target="https://fbref.com/en/players/adb966e4/matchlogs/2024/summary/Ross-Munro-Match-Logs" TargetMode="External"/><Relationship Id="rId122" Type="http://schemas.openxmlformats.org/officeDocument/2006/relationships/hyperlink" Target="https://fbref.com/en/players/55472d80/matchlogs/2024/summary/Jack-Byrne-Match-Logs" TargetMode="External"/><Relationship Id="rId243" Type="http://schemas.openxmlformats.org/officeDocument/2006/relationships/hyperlink" Target="https://fbref.com/en/players/63e50c5a/matchlogs/2024/summary/Rory-Gaffney-Match-Logs" TargetMode="External"/><Relationship Id="rId95" Type="http://schemas.openxmlformats.org/officeDocument/2006/relationships/hyperlink" Target="https://fbref.com/en/players/40382c9b/matchlogs/2024/summary/Ellis-Chapman-Match-Logs" TargetMode="External"/><Relationship Id="rId94" Type="http://schemas.openxmlformats.org/officeDocument/2006/relationships/hyperlink" Target="https://fbref.com/en/players/583f1a50/matchlogs/2024/summary/Elicha-Ahui-Match-Logs" TargetMode="External"/><Relationship Id="rId97" Type="http://schemas.openxmlformats.org/officeDocument/2006/relationships/hyperlink" Target="https://fbref.com/en/players/0de701d3/matchlogs/2024/summary/Eoin-Kenny-Match-Logs" TargetMode="External"/><Relationship Id="rId96" Type="http://schemas.openxmlformats.org/officeDocument/2006/relationships/hyperlink" Target="https://fbref.com/en/players/9d8cce71/matchlogs/2024/summary/Emre-Topcu-Match-Logs" TargetMode="External"/><Relationship Id="rId99" Type="http://schemas.openxmlformats.org/officeDocument/2006/relationships/hyperlink" Target="https://fbref.com/en/players/8c79c107/matchlogs/2024/summary/Evan-Haddock-Match-Logs" TargetMode="External"/><Relationship Id="rId98" Type="http://schemas.openxmlformats.org/officeDocument/2006/relationships/hyperlink" Target="https://fbref.com/en/players/9d82b0a7/matchlogs/2024/summary/Evan-Caffrey-Match-Logs" TargetMode="External"/><Relationship Id="rId91" Type="http://schemas.openxmlformats.org/officeDocument/2006/relationships/hyperlink" Target="https://fbref.com/en/players/5a180a4c/matchlogs/2024/summary/Dylan-Watts-Match-Logs" TargetMode="External"/><Relationship Id="rId90" Type="http://schemas.openxmlformats.org/officeDocument/2006/relationships/hyperlink" Target="https://fbref.com/en/players/4eae5f86/matchlogs/2024/summary/Dylan-Connolly-Match-Logs" TargetMode="External"/><Relationship Id="rId93" Type="http://schemas.openxmlformats.org/officeDocument/2006/relationships/hyperlink" Target="https://fbref.com/en/players/00e5fdd6/matchlogs/2024/summary/Edward-McCarthy-Match-Logs" TargetMode="External"/><Relationship Id="rId92" Type="http://schemas.openxmlformats.org/officeDocument/2006/relationships/hyperlink" Target="https://fbref.com/en/players/e6a3f23c/matchlogs/2024/summary/Ed-McGinty-Match-Logs" TargetMode="External"/><Relationship Id="rId118" Type="http://schemas.openxmlformats.org/officeDocument/2006/relationships/hyperlink" Target="https://fbref.com/en/players/e35c0427/matchlogs/2024/summary/Harvey-Macadam-Match-Logs" TargetMode="External"/><Relationship Id="rId239" Type="http://schemas.openxmlformats.org/officeDocument/2006/relationships/hyperlink" Target="https://fbref.com/en/players/927b9dcc/matchlogs/2024/summary/Robert-Mahon-Match-Logs" TargetMode="External"/><Relationship Id="rId117" Type="http://schemas.openxmlformats.org/officeDocument/2006/relationships/hyperlink" Target="https://fbref.com/en/players/972f40d1/matchlogs/2024/summary/Harry-Wood-Match-Logs" TargetMode="External"/><Relationship Id="rId238" Type="http://schemas.openxmlformats.org/officeDocument/2006/relationships/hyperlink" Target="https://fbref.com/en/players/d315b486/matchlogs/2024/summary/Robbie-McCourt-Match-Logs" TargetMode="External"/><Relationship Id="rId116" Type="http://schemas.openxmlformats.org/officeDocument/2006/relationships/hyperlink" Target="https://fbref.com/en/players/dc10b26c/matchlogs/2024/summary/Greg-Cunningham-Match-Logs" TargetMode="External"/><Relationship Id="rId237" Type="http://schemas.openxmlformats.org/officeDocument/2006/relationships/hyperlink" Target="https://fbref.com/en/players/f7fc4281/matchlogs/2024/summary/Robbie-Benson-Match-Logs" TargetMode="External"/><Relationship Id="rId115" Type="http://schemas.openxmlformats.org/officeDocument/2006/relationships/hyperlink" Target="https://fbref.com/en/players/7c73e318/matchlogs/2024/summary/Grant-Horton-Match-Logs" TargetMode="External"/><Relationship Id="rId236" Type="http://schemas.openxmlformats.org/officeDocument/2006/relationships/hyperlink" Target="https://fbref.com/en/players/24b3e034/matchlogs/2024/summary/Rob-Slevin-Match-Logs" TargetMode="External"/><Relationship Id="rId119" Type="http://schemas.openxmlformats.org/officeDocument/2006/relationships/hyperlink" Target="https://fbref.com/en/players/05d1a070/matchlogs/2024/summary/Hayden-Cann-Match-Logs" TargetMode="External"/><Relationship Id="rId110" Type="http://schemas.openxmlformats.org/officeDocument/2006/relationships/hyperlink" Target="https://fbref.com/en/players/202d0884/matchlogs/2024/summary/Gavin-Molloy-Match-Logs" TargetMode="External"/><Relationship Id="rId231" Type="http://schemas.openxmlformats.org/officeDocument/2006/relationships/hyperlink" Target="https://fbref.com/en/players/956d4bbf/matchlogs/2024/summary/Rein-Smit-Match-Logs" TargetMode="External"/><Relationship Id="rId230" Type="http://schemas.openxmlformats.org/officeDocument/2006/relationships/hyperlink" Target="https://fbref.com/en/players/60921ae4/matchlogs/2024/summary/Regan-Donnellan-Match-Logs" TargetMode="External"/><Relationship Id="rId114" Type="http://schemas.openxmlformats.org/officeDocument/2006/relationships/hyperlink" Target="https://fbref.com/en/players/bc227f51/matchlogs/2024/summary/Graham-Burke-Match-Logs" TargetMode="External"/><Relationship Id="rId235" Type="http://schemas.openxmlformats.org/officeDocument/2006/relationships/hyperlink" Target="https://fbref.com/en/players/e2874e3c/matchlogs/2024/summary/Rob-Cornwall-Match-Logs" TargetMode="External"/><Relationship Id="rId113" Type="http://schemas.openxmlformats.org/officeDocument/2006/relationships/hyperlink" Target="https://fbref.com/en/players/60dd04fc/matchlogs/2024/summary/Glenn-McCourt-Match-Logs" TargetMode="External"/><Relationship Id="rId234" Type="http://schemas.openxmlformats.org/officeDocument/2006/relationships/hyperlink" Target="https://fbref.com/en/players/7a73917e/matchlogs/2024/summary/Richie-Towell-Match-Logs" TargetMode="External"/><Relationship Id="rId112" Type="http://schemas.openxmlformats.org/officeDocument/2006/relationships/hyperlink" Target="https://fbref.com/en/players/5ab61aea/matchlogs/2024/summary/George-Shelvey-Match-Logs" TargetMode="External"/><Relationship Id="rId233" Type="http://schemas.openxmlformats.org/officeDocument/2006/relationships/hyperlink" Target="https://fbref.com/en/players/7d993f7e/matchlogs/2024/summary/Richard-Brush-Match-Logs" TargetMode="External"/><Relationship Id="rId111" Type="http://schemas.openxmlformats.org/officeDocument/2006/relationships/hyperlink" Target="https://fbref.com/en/players/4e8184bb/matchlogs/2024/summary/Gbemi-Arubi-Match-Logs" TargetMode="External"/><Relationship Id="rId232" Type="http://schemas.openxmlformats.org/officeDocument/2006/relationships/hyperlink" Target="https://fbref.com/en/players/1d85c8ea/matchlogs/2024/summary/Rhys-Brennan-Match-Logs" TargetMode="External"/><Relationship Id="rId206" Type="http://schemas.openxmlformats.org/officeDocument/2006/relationships/hyperlink" Target="https://fbref.com/en/players/8f06c5f4/matchlogs/2024/summary/Mayowa-Animasahun-Match-Logs" TargetMode="External"/><Relationship Id="rId205" Type="http://schemas.openxmlformats.org/officeDocument/2006/relationships/hyperlink" Target="https://fbref.com/en/players/36adbe9b/matchlogs/2024/summary/Max-Mata-Match-Logs" TargetMode="External"/><Relationship Id="rId204" Type="http://schemas.openxmlformats.org/officeDocument/2006/relationships/hyperlink" Target="https://fbref.com/en/players/86166c8d/matchlogs/2024/summary/Max-Kovaleskis-Match-Logs" TargetMode="External"/><Relationship Id="rId203" Type="http://schemas.openxmlformats.org/officeDocument/2006/relationships/hyperlink" Target="https://fbref.com/en/players/20a3cf2b/matchlogs/2024/summary/Maurice-Nugent-Match-Logs" TargetMode="External"/><Relationship Id="rId209" Type="http://schemas.openxmlformats.org/officeDocument/2006/relationships/hyperlink" Target="https://fbref.com/en/players/ef81d0b0/matchlogs/2024/summary/Michael-Noonan-Match-Logs" TargetMode="External"/><Relationship Id="rId208" Type="http://schemas.openxmlformats.org/officeDocument/2006/relationships/hyperlink" Target="https://fbref.com/en/players/98af2c0d/matchlogs/2024/summary/Michael-Lilander-Match-Logs" TargetMode="External"/><Relationship Id="rId207" Type="http://schemas.openxmlformats.org/officeDocument/2006/relationships/hyperlink" Target="https://fbref.com/en/players/db123b51/matchlogs/2024/summary/Michael-Duffy-Match-Logs" TargetMode="External"/><Relationship Id="rId202" Type="http://schemas.openxmlformats.org/officeDocument/2006/relationships/hyperlink" Target="https://fbref.com/en/players/628032d2/matchlogs/2024/summary/Matty-Smith-Match-Logs" TargetMode="External"/><Relationship Id="rId201" Type="http://schemas.openxmlformats.org/officeDocument/2006/relationships/hyperlink" Target="https://fbref.com/en/players/3497babe/matchlogs/2024/summary/Matthew-OBrien-Match-Logs" TargetMode="External"/><Relationship Id="rId200" Type="http://schemas.openxmlformats.org/officeDocument/2006/relationships/hyperlink" Target="https://fbref.com/en/players/78689378/matchlogs/2024/summary/Matthew-Britton-Match-Log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ransfermarkt.com/dundalk-fc/spielplan/verein/6066/saison_id/2023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s://www.transfermarkt.com/shelbourne-fc/spielplan/verein/3909/saison_id/2023" TargetMode="External"/><Relationship Id="rId10" Type="http://schemas.openxmlformats.org/officeDocument/2006/relationships/hyperlink" Target="https://fbref.com/en/squads/92b17fca/2024/Waterford-United-Stats" TargetMode="External"/><Relationship Id="rId13" Type="http://schemas.openxmlformats.org/officeDocument/2006/relationships/hyperlink" Target="https://www.transfermarkt.com/st-patricks-athletic/spielplan/verein/1189/saison_id/2023" TargetMode="External"/><Relationship Id="rId12" Type="http://schemas.openxmlformats.org/officeDocument/2006/relationships/hyperlink" Target="https://www.transfermarkt.com/shamrock-rovers/spielplan/verein/3258/saison_id/2023" TargetMode="External"/><Relationship Id="rId15" Type="http://schemas.openxmlformats.org/officeDocument/2006/relationships/hyperlink" Target="https://www.transfermarkt.com/fc-galway-united/spielplan/verein/42394/saison_id/2023" TargetMode="External"/><Relationship Id="rId14" Type="http://schemas.openxmlformats.org/officeDocument/2006/relationships/hyperlink" Target="https://www.transfermarkt.com/derry-city/spielplan/verein/920/saison_id/2023" TargetMode="External"/><Relationship Id="rId17" Type="http://schemas.openxmlformats.org/officeDocument/2006/relationships/hyperlink" Target="https://www.transfermarkt.com/fc-waterford/spielplan/verein/7609/saison_id/2023" TargetMode="External"/><Relationship Id="rId16" Type="http://schemas.openxmlformats.org/officeDocument/2006/relationships/hyperlink" Target="https://www.transfermarkt.com/sligo-rovers/spielplan/verein/8780/saison_id/2023" TargetMode="External"/><Relationship Id="rId19" Type="http://schemas.openxmlformats.org/officeDocument/2006/relationships/hyperlink" Target="https://www.transfermarkt.com/drogheda-united-fc/spielplan/verein/4277/saison_id/2023" TargetMode="External"/><Relationship Id="rId18" Type="http://schemas.openxmlformats.org/officeDocument/2006/relationships/hyperlink" Target="https://www.transfermarkt.com/bohemian-football-club-dublin/spielplan/verein/9211/saison_id/2023" TargetMode="External"/><Relationship Id="rId1" Type="http://schemas.openxmlformats.org/officeDocument/2006/relationships/hyperlink" Target="https://fbref.com/en/squads/2cf146dc/2024/Bohemian-FC-Stats" TargetMode="External"/><Relationship Id="rId2" Type="http://schemas.openxmlformats.org/officeDocument/2006/relationships/hyperlink" Target="https://fbref.com/en/squads/15f9a98b/2024/Derry-City-Stats" TargetMode="External"/><Relationship Id="rId3" Type="http://schemas.openxmlformats.org/officeDocument/2006/relationships/hyperlink" Target="https://fbref.com/en/squads/359432b5/2024/Drogheda-United-Stats" TargetMode="External"/><Relationship Id="rId4" Type="http://schemas.openxmlformats.org/officeDocument/2006/relationships/hyperlink" Target="https://fbref.com/en/squads/e4a9d483/Dundalk-FC-Stats" TargetMode="External"/><Relationship Id="rId9" Type="http://schemas.openxmlformats.org/officeDocument/2006/relationships/hyperlink" Target="https://fbref.com/en/squads/8a814429/2024/St-Patricks-Athletic-Stats" TargetMode="External"/><Relationship Id="rId5" Type="http://schemas.openxmlformats.org/officeDocument/2006/relationships/hyperlink" Target="https://fbref.com/en/squads/8acd233e/2024/Galway-United-Stats" TargetMode="External"/><Relationship Id="rId6" Type="http://schemas.openxmlformats.org/officeDocument/2006/relationships/hyperlink" Target="https://fbref.com/en/squads/f082c4f3/2024/Shamrock-Rovers-Stats" TargetMode="External"/><Relationship Id="rId7" Type="http://schemas.openxmlformats.org/officeDocument/2006/relationships/hyperlink" Target="https://fbref.com/en/squads/a62918f6/2024/Shelbourne-FC-Stats" TargetMode="External"/><Relationship Id="rId8" Type="http://schemas.openxmlformats.org/officeDocument/2006/relationships/hyperlink" Target="https://fbref.com/en/squads/0baacc84/2024/Sligo-Rovers-Stat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fe025f20/matchlogs/2024/summary/Darragh-Burns-Match-Logs" TargetMode="External"/><Relationship Id="rId190" Type="http://schemas.openxmlformats.org/officeDocument/2006/relationships/hyperlink" Target="https://fbref.com/en/players/4c32ed6f/matchlogs/2024/summary/Jordan-McEneff-Match-Logs" TargetMode="External"/><Relationship Id="rId42" Type="http://schemas.openxmlformats.org/officeDocument/2006/relationships/hyperlink" Target="https://fbref.com/en/players/f864ffe8/matchlogs/2024/summary/Cian-Byrne-Match-Logs" TargetMode="External"/><Relationship Id="rId41" Type="http://schemas.openxmlformats.org/officeDocument/2006/relationships/hyperlink" Target="https://fbref.com/en/players/e9165bb1/matchlogs/2024/summary/Liam-Burt-Match-Logs" TargetMode="External"/><Relationship Id="rId44" Type="http://schemas.openxmlformats.org/officeDocument/2006/relationships/hyperlink" Target="https://fbref.com/en/players/9697c246/matchlogs/2024/summary/James-Byrne-Match-Logs" TargetMode="External"/><Relationship Id="rId194" Type="http://schemas.openxmlformats.org/officeDocument/2006/relationships/hyperlink" Target="https://fbref.com/en/players/014b544e/matchlogs/2024/summary/Cameron-McJannett-Match-Logs" TargetMode="External"/><Relationship Id="rId43" Type="http://schemas.openxmlformats.org/officeDocument/2006/relationships/hyperlink" Target="https://fbref.com/en/players/55472d80/matchlogs/2024/summary/Jack-Byrne-Match-Logs" TargetMode="External"/><Relationship Id="rId193" Type="http://schemas.openxmlformats.org/officeDocument/2006/relationships/hyperlink" Target="https://fbref.com/en/players/aa583204/matchlogs/2024/summary/Ciaran-McGuckin-Match-Logs" TargetMode="External"/><Relationship Id="rId46" Type="http://schemas.openxmlformats.org/officeDocument/2006/relationships/hyperlink" Target="https://fbref.com/en/players/018d2654/matchlogs/2024/summary/Killian-Cailloce-Match-Logs" TargetMode="External"/><Relationship Id="rId192" Type="http://schemas.openxmlformats.org/officeDocument/2006/relationships/hyperlink" Target="https://fbref.com/en/players/e6a3f23c/matchlogs/2024/summary/Ed-McGinty-Match-Logs" TargetMode="External"/><Relationship Id="rId45" Type="http://schemas.openxmlformats.org/officeDocument/2006/relationships/hyperlink" Target="https://fbref.com/en/players/9d82b0a7/matchlogs/2024/summary/Evan-Caffrey-Match-Logs" TargetMode="External"/><Relationship Id="rId191" Type="http://schemas.openxmlformats.org/officeDocument/2006/relationships/hyperlink" Target="https://fbref.com/en/players/5a60f461/matchlogs/2024/summary/Scott-McGill-Match-Logs" TargetMode="External"/><Relationship Id="rId48" Type="http://schemas.openxmlformats.org/officeDocument/2006/relationships/hyperlink" Target="https://fbref.com/en/players/05d1a070/matchlogs/2024/summary/Hayden-Cann-Match-Logs" TargetMode="External"/><Relationship Id="rId187" Type="http://schemas.openxmlformats.org/officeDocument/2006/relationships/hyperlink" Target="https://fbref.com/en/players/ca17b855/matchlogs/2024/summary/Shane-McEleney-Match-Logs" TargetMode="External"/><Relationship Id="rId47" Type="http://schemas.openxmlformats.org/officeDocument/2006/relationships/hyperlink" Target="https://fbref.com/en/players/05d1a070/matchlogs/2024/summary/Hayden-Cann-Match-Logs" TargetMode="External"/><Relationship Id="rId186" Type="http://schemas.openxmlformats.org/officeDocument/2006/relationships/hyperlink" Target="https://fbref.com/en/players/f3b2463e/matchlogs/2024/summary/Patrick-McEleney-Match-Logs" TargetMode="External"/><Relationship Id="rId185" Type="http://schemas.openxmlformats.org/officeDocument/2006/relationships/hyperlink" Target="https://fbref.com/en/players/0d21020d/matchlogs/2024/summary/Adam-McDonnell-Match-Logs" TargetMode="External"/><Relationship Id="rId49" Type="http://schemas.openxmlformats.org/officeDocument/2006/relationships/hyperlink" Target="https://fbref.com/en/players/717d8910/matchlogs/2024/summary/Jake-Carroll-Match-Logs" TargetMode="External"/><Relationship Id="rId184" Type="http://schemas.openxmlformats.org/officeDocument/2006/relationships/hyperlink" Target="https://fbref.com/en/players/5e7246d1/matchlogs/2024/summary/Rowan-McDonald-Match-Logs" TargetMode="External"/><Relationship Id="rId189" Type="http://schemas.openxmlformats.org/officeDocument/2006/relationships/hyperlink" Target="https://fbref.com/en/players/dd31f092/matchlogs/2024/summary/Aaron-McEneff-Match-Logs" TargetMode="External"/><Relationship Id="rId188" Type="http://schemas.openxmlformats.org/officeDocument/2006/relationships/hyperlink" Target="https://fbref.com/en/players/3496e3ee/matchlogs/2024/summary/Gareth-McElroy-Match-Logs" TargetMode="External"/><Relationship Id="rId31" Type="http://schemas.openxmlformats.org/officeDocument/2006/relationships/hyperlink" Target="https://fbref.com/en/players/217b7bf8/matchlogs/2024/summary/Ryan-Brennan-Match-Logs" TargetMode="External"/><Relationship Id="rId30" Type="http://schemas.openxmlformats.org/officeDocument/2006/relationships/hyperlink" Target="https://fbref.com/en/players/1d85c8ea/matchlogs/2024/summary/Rhys-Brennan-Match-Logs" TargetMode="External"/><Relationship Id="rId33" Type="http://schemas.openxmlformats.org/officeDocument/2006/relationships/hyperlink" Target="https://fbref.com/en/players/78689378/matchlogs/2024/summary/Matthew-Britton-Match-Logs" TargetMode="External"/><Relationship Id="rId183" Type="http://schemas.openxmlformats.org/officeDocument/2006/relationships/hyperlink" Target="https://fbref.com/en/players/856a3633/matchlogs/2024/summary/Kyle-McDonagh-Match-Logs" TargetMode="External"/><Relationship Id="rId32" Type="http://schemas.openxmlformats.org/officeDocument/2006/relationships/hyperlink" Target="https://fbref.com/en/players/e855658f/matchlogs/2024/summary/Anto-Breslin-Match-Logs" TargetMode="External"/><Relationship Id="rId182" Type="http://schemas.openxmlformats.org/officeDocument/2006/relationships/hyperlink" Target="https://fbref.com/en/players/28fc9565/matchlogs/2024/summary/Declan-McDaid-Match-Logs" TargetMode="External"/><Relationship Id="rId35" Type="http://schemas.openxmlformats.org/officeDocument/2006/relationships/hyperlink" Target="https://fbref.com/en/players/7d993f7e/matchlogs/2024/summary/Richard-Brush-Match-Logs" TargetMode="External"/><Relationship Id="rId181" Type="http://schemas.openxmlformats.org/officeDocument/2006/relationships/hyperlink" Target="https://fbref.com/en/players/d315b486/matchlogs/2024/summary/Robbie-McCourt-Match-Logs" TargetMode="External"/><Relationship Id="rId34" Type="http://schemas.openxmlformats.org/officeDocument/2006/relationships/hyperlink" Target="https://fbref.com/en/players/a352cc43/matchlogs/2024/summary/Killian-Brouder-Match-Logs" TargetMode="External"/><Relationship Id="rId180" Type="http://schemas.openxmlformats.org/officeDocument/2006/relationships/hyperlink" Target="https://fbref.com/en/players/60dd04fc/matchlogs/2024/summary/Glenn-McCourt-Match-Logs" TargetMode="External"/><Relationship Id="rId37" Type="http://schemas.openxmlformats.org/officeDocument/2006/relationships/hyperlink" Target="https://fbref.com/en/players/bc227f51/matchlogs/2024/summary/Graham-Burke-Match-Logs" TargetMode="External"/><Relationship Id="rId176" Type="http://schemas.openxmlformats.org/officeDocument/2006/relationships/hyperlink" Target="https://fbref.com/en/players/00e5fdd6/matchlogs/2024/summary/Edward-McCarthy-Match-Logs" TargetMode="External"/><Relationship Id="rId297" Type="http://schemas.openxmlformats.org/officeDocument/2006/relationships/drawing" Target="../drawings/drawing5.xml"/><Relationship Id="rId36" Type="http://schemas.openxmlformats.org/officeDocument/2006/relationships/hyperlink" Target="https://fbref.com/en/players/4744178d/matchlogs/2024/summary/Garry-Buckley-Match-Logs" TargetMode="External"/><Relationship Id="rId175" Type="http://schemas.openxmlformats.org/officeDocument/2006/relationships/hyperlink" Target="https://fbref.com/en/players/2f9849d0/matchlogs/2024/summary/Sean-McAteer-Match-Logs" TargetMode="External"/><Relationship Id="rId296" Type="http://schemas.openxmlformats.org/officeDocument/2006/relationships/hyperlink" Target="https://fbref.com/en/players/972f40d1/matchlogs/2024/summary/Harry-Wood-Match-Logs" TargetMode="External"/><Relationship Id="rId39" Type="http://schemas.openxmlformats.org/officeDocument/2006/relationships/hyperlink" Target="https://fbref.com/en/players/3610c2d2/matchlogs/2024/summary/Bobby-Burns-Match-Logs" TargetMode="External"/><Relationship Id="rId174" Type="http://schemas.openxmlformats.org/officeDocument/2006/relationships/hyperlink" Target="https://fbref.com/en/players/2b1d5481/matchlogs/2024/summary/Luke-Matheson-Match-Logs" TargetMode="External"/><Relationship Id="rId295" Type="http://schemas.openxmlformats.org/officeDocument/2006/relationships/hyperlink" Target="https://fbref.com/en/players/4210b23e/matchlogs/2024/summary/Andrew-Wogan-Match-Logs" TargetMode="External"/><Relationship Id="rId38" Type="http://schemas.openxmlformats.org/officeDocument/2006/relationships/hyperlink" Target="https://fbref.com/en/players/b53349fa/matchlogs/2024/summary/Ryan-Burke-Match-Logs" TargetMode="External"/><Relationship Id="rId173" Type="http://schemas.openxmlformats.org/officeDocument/2006/relationships/hyperlink" Target="https://fbref.com/en/players/36adbe9b/matchlogs/2024/summary/Max-Mata-Match-Logs" TargetMode="External"/><Relationship Id="rId294" Type="http://schemas.openxmlformats.org/officeDocument/2006/relationships/hyperlink" Target="https://fbref.com/en/players/ab6a3628/matchlogs/2024/summary/Andre-Wisdom-Match-Logs" TargetMode="External"/><Relationship Id="rId179" Type="http://schemas.openxmlformats.org/officeDocument/2006/relationships/hyperlink" Target="https://fbref.com/en/players/661e79e8/matchlogs/2024/summary/Conor-McCormack-Match-Logs" TargetMode="External"/><Relationship Id="rId178" Type="http://schemas.openxmlformats.org/officeDocument/2006/relationships/hyperlink" Target="https://fbref.com/en/players/f40f5119/matchlogs/2024/summary/Ben-McCormack-Match-Logs" TargetMode="External"/><Relationship Id="rId177" Type="http://schemas.openxmlformats.org/officeDocument/2006/relationships/hyperlink" Target="https://fbref.com/en/players/7b53ecf8/matchlogs/2024/summary/Jason-McClelland-Match-Logs" TargetMode="External"/><Relationship Id="rId20" Type="http://schemas.openxmlformats.org/officeDocument/2006/relationships/hyperlink" Target="https://fbref.com/en/players/f7fc4281/matchlogs/2024/summary/Robbie-Benson-Match-Logs" TargetMode="External"/><Relationship Id="rId22" Type="http://schemas.openxmlformats.org/officeDocument/2006/relationships/hyperlink" Target="https://fbref.com/en/players/9558d2aa/matchlogs/2024/summary/James-Bolger-Match-Logs" TargetMode="External"/><Relationship Id="rId21" Type="http://schemas.openxmlformats.org/officeDocument/2006/relationships/hyperlink" Target="https://fbref.com/en/players/5353cf2b/matchlogs/2024/summary/Aaron-Bolger-Match-Logs" TargetMode="External"/><Relationship Id="rId24" Type="http://schemas.openxmlformats.org/officeDocument/2006/relationships/hyperlink" Target="https://fbref.com/en/players/61d8078d/matchlogs/2024/summary/Vincent-Borden-Match-Logs" TargetMode="External"/><Relationship Id="rId23" Type="http://schemas.openxmlformats.org/officeDocument/2006/relationships/hyperlink" Target="https://fbref.com/en/players/81d3f7a2/matchlogs/2024/summary/Sam-Bone-Match-Logs" TargetMode="External"/><Relationship Id="rId26" Type="http://schemas.openxmlformats.org/officeDocument/2006/relationships/hyperlink" Target="https://fbref.com/en/players/3bb532bb/matchlogs/2024/summary/Ronan-Boyce-Match-Logs" TargetMode="External"/><Relationship Id="rId25" Type="http://schemas.openxmlformats.org/officeDocument/2006/relationships/hyperlink" Target="https://fbref.com/en/players/73e04e1c/matchlogs/2024/summary/Bridel-Bosakani-Match-Logs" TargetMode="External"/><Relationship Id="rId28" Type="http://schemas.openxmlformats.org/officeDocument/2006/relationships/hyperlink" Target="https://fbref.com/en/players/e4ac16cf/matchlogs/2024/summary/Andy-Boyle-Match-Logs" TargetMode="External"/><Relationship Id="rId27" Type="http://schemas.openxmlformats.org/officeDocument/2006/relationships/hyperlink" Target="https://fbref.com/en/players/e726b9ed/matchlogs/2024/summary/Sean-Boyd-Match-Logs" TargetMode="External"/><Relationship Id="rId29" Type="http://schemas.openxmlformats.org/officeDocument/2006/relationships/hyperlink" Target="https://fbref.com/en/players/85a6376e/matchlogs/2024/summary/Zak-Bradshaw-Match-Logs" TargetMode="External"/><Relationship Id="rId11" Type="http://schemas.openxmlformats.org/officeDocument/2006/relationships/hyperlink" Target="https://fbref.com/en/players/be64e622/matchlogs/2024/summary/Wassim-Aouachria-Match-Logs" TargetMode="External"/><Relationship Id="rId10" Type="http://schemas.openxmlformats.org/officeDocument/2006/relationships/hyperlink" Target="https://fbref.com/en/players/d9bae961/matchlogs/2024/summary/Shane-Anthony-Griffin-Match-Logs" TargetMode="External"/><Relationship Id="rId13" Type="http://schemas.openxmlformats.org/officeDocument/2006/relationships/hyperlink" Target="https://fbref.com/en/players/b3038e9f/matchlogs/2024/summary/Maleace-Asamoah-Match-Logs" TargetMode="External"/><Relationship Id="rId12" Type="http://schemas.openxmlformats.org/officeDocument/2006/relationships/hyperlink" Target="https://fbref.com/en/players/4e8184bb/matchlogs/2024/summary/Gbemi-Arubi-Match-Logs" TargetMode="External"/><Relationship Id="rId15" Type="http://schemas.openxmlformats.org/officeDocument/2006/relationships/hyperlink" Target="https://fbref.com/en/players/b34cb606/matchlogs/2024/summary/Jethren-Barr-Match-Logs" TargetMode="External"/><Relationship Id="rId198" Type="http://schemas.openxmlformats.org/officeDocument/2006/relationships/hyperlink" Target="https://fbref.com/en/players/628f9695/matchlogs/2024/summary/Dean-McMenamy-Match-Logs" TargetMode="External"/><Relationship Id="rId14" Type="http://schemas.openxmlformats.org/officeDocument/2006/relationships/hyperlink" Target="https://fbref.com/en/players/c7cee5f4/matchlogs/2024/summary/Kailin-Barlow-Match-Logs" TargetMode="External"/><Relationship Id="rId197" Type="http://schemas.openxmlformats.org/officeDocument/2006/relationships/hyperlink" Target="https://fbref.com/en/players/4af036e1/matchlogs/2024/summary/James-McManus-Match-Logs" TargetMode="External"/><Relationship Id="rId17" Type="http://schemas.openxmlformats.org/officeDocument/2006/relationships/hyperlink" Target="https://fbref.com/en/players/9b2e7c8f/matchlogs/2024/summary/Paddy-Barrett-Match-Logs" TargetMode="External"/><Relationship Id="rId196" Type="http://schemas.openxmlformats.org/officeDocument/2006/relationships/hyperlink" Target="https://fbref.com/en/players/6b366df3/matchlogs/2024/summary/Brian-McManus-Match-Logs" TargetMode="External"/><Relationship Id="rId16" Type="http://schemas.openxmlformats.org/officeDocument/2006/relationships/hyperlink" Target="https://fbref.com/en/players/61280da6/matchlogs/2024/summary/Cian-Barrett-Match-Logs" TargetMode="External"/><Relationship Id="rId195" Type="http://schemas.openxmlformats.org/officeDocument/2006/relationships/hyperlink" Target="https://fbref.com/en/players/98f9400a/matchlogs/2024/summary/Ryan-McLaughlin-Match-Logs" TargetMode="External"/><Relationship Id="rId19" Type="http://schemas.openxmlformats.org/officeDocument/2006/relationships/hyperlink" Target="https://fbref.com/en/players/598f0ae7/matchlogs/2024/summary/Sam-Bellis-Match-Logs" TargetMode="External"/><Relationship Id="rId18" Type="http://schemas.openxmlformats.org/officeDocument/2006/relationships/hyperlink" Target="https://fbref.com/en/players/32594ec9/matchlogs/2024/summary/Zishim-Bawa-Match-Logs" TargetMode="External"/><Relationship Id="rId199" Type="http://schemas.openxmlformats.org/officeDocument/2006/relationships/hyperlink" Target="https://fbref.com/en/players/d1335808/matchlogs/2024/summary/Paul-McMullan-Match-Logs" TargetMode="External"/><Relationship Id="rId84" Type="http://schemas.openxmlformats.org/officeDocument/2006/relationships/hyperlink" Target="https://fbref.com/en/players/71ce9940/matchlogs/2024/summary/Cameron-Elliott-Match-Logs" TargetMode="External"/><Relationship Id="rId83" Type="http://schemas.openxmlformats.org/officeDocument/2006/relationships/hyperlink" Target="https://fbref.com/en/players/88be0a63/matchlogs/2024/summary/Owen-Elding-Match-Logs" TargetMode="External"/><Relationship Id="rId86" Type="http://schemas.openxmlformats.org/officeDocument/2006/relationships/hyperlink" Target="https://fbref.com/en/players/7026b43c/matchlogs/2024/summary/Connor-Evans-Match-Logs" TargetMode="External"/><Relationship Id="rId85" Type="http://schemas.openxmlformats.org/officeDocument/2006/relationships/hyperlink" Target="https://fbref.com/en/players/250cf65a/matchlogs/2024/summary/Jeannot-Esua-Match-Logs" TargetMode="External"/><Relationship Id="rId88" Type="http://schemas.openxmlformats.org/officeDocument/2006/relationships/hyperlink" Target="https://fbref.com/en/players/0b96177e/matchlogs/2024/summary/Shane-Farrell-Match-Logs" TargetMode="External"/><Relationship Id="rId150" Type="http://schemas.openxmlformats.org/officeDocument/2006/relationships/hyperlink" Target="https://fbref.com/en/players/e8ce6ee7/matchlogs/2024/summary/Johnny-Kenny-Match-Logs" TargetMode="External"/><Relationship Id="rId271" Type="http://schemas.openxmlformats.org/officeDocument/2006/relationships/hyperlink" Target="https://fbref.com/en/players/628032d2/matchlogs/2024/summary/Matty-Smith-Match-Logs" TargetMode="External"/><Relationship Id="rId87" Type="http://schemas.openxmlformats.org/officeDocument/2006/relationships/hyperlink" Target="https://fbref.com/en/players/0b96177e/matchlogs/2024/summary/Shane-Farrell-Match-Logs" TargetMode="External"/><Relationship Id="rId270" Type="http://schemas.openxmlformats.org/officeDocument/2006/relationships/hyperlink" Target="https://fbref.com/en/players/b2a208fb/matchlogs/2024/summary/Liam-Smith-Match-Logs" TargetMode="External"/><Relationship Id="rId89" Type="http://schemas.openxmlformats.org/officeDocument/2006/relationships/hyperlink" Target="https://fbref.com/en/players/48f7a573/matchlogs/2024/summary/Neil-Farrugia-Match-Logs" TargetMode="External"/><Relationship Id="rId80" Type="http://schemas.openxmlformats.org/officeDocument/2006/relationships/hyperlink" Target="https://fbref.com/en/players/e6631d18/matchlogs/2024/summary/Cameron-Dummigan-Match-Logs" TargetMode="External"/><Relationship Id="rId82" Type="http://schemas.openxmlformats.org/officeDocument/2006/relationships/hyperlink" Target="https://fbref.com/en/players/1a5ed92d/matchlogs/2024/summary/Zachary-Elbouzedi-Match-Logs" TargetMode="External"/><Relationship Id="rId81" Type="http://schemas.openxmlformats.org/officeDocument/2006/relationships/hyperlink" Target="https://fbref.com/en/players/de77fa53/matchlogs/2024/summary/Sam-Durrant-Match-Logs" TargetMode="External"/><Relationship Id="rId1" Type="http://schemas.openxmlformats.org/officeDocument/2006/relationships/hyperlink" Target="https://fbref.com/en/players/583f1a50/matchlogs/2024/summary/Elicha-Ahui-Match-Logs" TargetMode="External"/><Relationship Id="rId2" Type="http://schemas.openxmlformats.org/officeDocument/2006/relationships/hyperlink" Target="https://fbref.com/en/players/e964b8f3/matchlogs/2024/summary/Romeo-Akachukwu-Match-Logs" TargetMode="External"/><Relationship Id="rId3" Type="http://schemas.openxmlformats.org/officeDocument/2006/relationships/hyperlink" Target="https://fbref.com/en/players/2e13c8c4/matchlogs/2024/summary/James-Akintunde-Match-Logs" TargetMode="External"/><Relationship Id="rId149" Type="http://schemas.openxmlformats.org/officeDocument/2006/relationships/hyperlink" Target="https://fbref.com/en/players/0de701d3/matchlogs/2024/summary/Eoin-Kenny-Match-Logs" TargetMode="External"/><Relationship Id="rId4" Type="http://schemas.openxmlformats.org/officeDocument/2006/relationships/hyperlink" Target="https://fbref.com/en/players/2020d19a/matchlogs/2024/summary/Al-Amin-Kazeem-Match-Logs" TargetMode="External"/><Relationship Id="rId148" Type="http://schemas.openxmlformats.org/officeDocument/2006/relationships/hyperlink" Target="https://fbref.com/en/players/881fb89d/matchlogs/2024/summary/Daniel-Kelly-Match-Logs" TargetMode="External"/><Relationship Id="rId269" Type="http://schemas.openxmlformats.org/officeDocument/2006/relationships/hyperlink" Target="https://fbref.com/en/players/956d4bbf/matchlogs/2024/summary/Rein-Smit-Match-Logs" TargetMode="External"/><Relationship Id="rId9" Type="http://schemas.openxmlformats.org/officeDocument/2006/relationships/hyperlink" Target="https://fbref.com/en/players/88ddc295/matchlogs/2024/summary/Louie-Annesley-Match-Logs" TargetMode="External"/><Relationship Id="rId143" Type="http://schemas.openxmlformats.org/officeDocument/2006/relationships/hyperlink" Target="https://fbref.com/en/players/50abe7ae/matchlogs/2024/summary/Conor-Kearns-Match-Logs" TargetMode="External"/><Relationship Id="rId264" Type="http://schemas.openxmlformats.org/officeDocument/2006/relationships/hyperlink" Target="https://fbref.com/en/players/ca092999/matchlogs/2024/summary/Sam-Sargeant-Match-Logs" TargetMode="External"/><Relationship Id="rId142" Type="http://schemas.openxmlformats.org/officeDocument/2006/relationships/hyperlink" Target="https://fbref.com/en/players/64d97c1f/matchlogs/2024/summary/Jack-Keaney-Match-Logs" TargetMode="External"/><Relationship Id="rId263" Type="http://schemas.openxmlformats.org/officeDocument/2006/relationships/hyperlink" Target="https://fbref.com/en/players/4c4f8b7a/matchlogs/2024/summary/John-Ross-Wilson-Match-Logs" TargetMode="External"/><Relationship Id="rId141" Type="http://schemas.openxmlformats.org/officeDocument/2006/relationships/hyperlink" Target="https://fbref.com/en/players/ebd1d7b0/matchlogs/2024/summary/Dara-Keane-Match-Logs" TargetMode="External"/><Relationship Id="rId262" Type="http://schemas.openxmlformats.org/officeDocument/2006/relationships/hyperlink" Target="https://fbref.com/en/players/998e9c56/matchlogs/2024/summary/Dayle-Rooney-Match-Logs" TargetMode="External"/><Relationship Id="rId140" Type="http://schemas.openxmlformats.org/officeDocument/2006/relationships/hyperlink" Target="https://fbref.com/en/players/2df56d51/matchlogs/2024/summary/Sean-Kavanagh-Match-Logs" TargetMode="External"/><Relationship Id="rId261" Type="http://schemas.openxmlformats.org/officeDocument/2006/relationships/hyperlink" Target="https://fbref.com/en/players/3b39ee5e/matchlogs/2024/summary/Danny-Rogers-Match-Logs" TargetMode="External"/><Relationship Id="rId5" Type="http://schemas.openxmlformats.org/officeDocument/2006/relationships/hyperlink" Target="https://fbref.com/en/players/2020d19a/matchlogs/2024/summary/Al-Amin-Kazeem-Match-Logs" TargetMode="External"/><Relationship Id="rId147" Type="http://schemas.openxmlformats.org/officeDocument/2006/relationships/hyperlink" Target="https://fbref.com/en/players/85fbf1e4/matchlogs/2024/summary/Aboubacar-Keita-Match-Logs" TargetMode="External"/><Relationship Id="rId268" Type="http://schemas.openxmlformats.org/officeDocument/2006/relationships/hyperlink" Target="https://fbref.com/en/players/24b3e034/matchlogs/2024/summary/Rob-Slevin-Match-Logs" TargetMode="External"/><Relationship Id="rId6" Type="http://schemas.openxmlformats.org/officeDocument/2006/relationships/hyperlink" Target="https://fbref.com/en/players/75499f71/matchlogs/2024/summary/Padraig-Amond-Match-Logs" TargetMode="External"/><Relationship Id="rId146" Type="http://schemas.openxmlformats.org/officeDocument/2006/relationships/hyperlink" Target="https://fbref.com/en/players/699b2b29/matchlogs/2024/summary/Aidan-Keena-Match-Logs" TargetMode="External"/><Relationship Id="rId267" Type="http://schemas.openxmlformats.org/officeDocument/2006/relationships/hyperlink" Target="https://fbref.com/en/players/f7a3ec21/matchlogs/2024/summary/Kacper-Skwierczynski-Match-Logs" TargetMode="External"/><Relationship Id="rId7" Type="http://schemas.openxmlformats.org/officeDocument/2006/relationships/hyperlink" Target="https://fbref.com/en/players/21a866b7/matchlogs/2024/summary/Joseph-Anang-Match-Logs" TargetMode="External"/><Relationship Id="rId145" Type="http://schemas.openxmlformats.org/officeDocument/2006/relationships/hyperlink" Target="https://fbref.com/en/players/9dc5dc14/matchlogs/2024/summary/Conor-Keeley-Match-Logs" TargetMode="External"/><Relationship Id="rId266" Type="http://schemas.openxmlformats.org/officeDocument/2006/relationships/hyperlink" Target="https://fbref.com/en/players/3774bc38/matchlogs/2024/summary/Axel-Sjoberg-Match-Logs" TargetMode="External"/><Relationship Id="rId8" Type="http://schemas.openxmlformats.org/officeDocument/2006/relationships/hyperlink" Target="https://fbref.com/en/players/8f06c5f4/matchlogs/2024/summary/Mayowa-Animasahun-Match-Logs" TargetMode="External"/><Relationship Id="rId144" Type="http://schemas.openxmlformats.org/officeDocument/2006/relationships/hyperlink" Target="https://fbref.com/en/players/60a1cfcd/matchlogs/2024/summary/Ruairi-Keating-Match-Logs" TargetMode="External"/><Relationship Id="rId265" Type="http://schemas.openxmlformats.org/officeDocument/2006/relationships/hyperlink" Target="https://fbref.com/en/players/5ab61aea/matchlogs/2024/summary/George-Shelvey-Match-Logs" TargetMode="External"/><Relationship Id="rId73" Type="http://schemas.openxmlformats.org/officeDocument/2006/relationships/hyperlink" Target="https://fbref.com/en/players/f39096d1/matchlogs/2024/summary/Dawson-Devoy-Match-Logs" TargetMode="External"/><Relationship Id="rId72" Type="http://schemas.openxmlformats.org/officeDocument/2006/relationships/hyperlink" Target="https://fbref.com/en/players/db88ddbb/matchlogs/2024/summary/Aodh-Dervin-Match-Logs" TargetMode="External"/><Relationship Id="rId75" Type="http://schemas.openxmlformats.org/officeDocument/2006/relationships/hyperlink" Target="https://fbref.com/en/players/f18e360b/matchlogs/2024/summary/Cian-Dillon-Match-Logs" TargetMode="External"/><Relationship Id="rId74" Type="http://schemas.openxmlformats.org/officeDocument/2006/relationships/hyperlink" Target="https://fbref.com/en/players/09ba123a/matchlogs/2024/summary/Sadou-Diallo-Match-Logs" TargetMode="External"/><Relationship Id="rId77" Type="http://schemas.openxmlformats.org/officeDocument/2006/relationships/hyperlink" Target="https://fbref.com/en/players/60921ae4/matchlogs/2024/summary/Regan-Donnellan-Match-Logs" TargetMode="External"/><Relationship Id="rId260" Type="http://schemas.openxmlformats.org/officeDocument/2006/relationships/hyperlink" Target="https://fbref.com/en/players/5a275676/matchlogs/2024/summary/Sean-Robertson-Match-Logs" TargetMode="External"/><Relationship Id="rId76" Type="http://schemas.openxmlformats.org/officeDocument/2006/relationships/hyperlink" Target="https://fbref.com/en/players/7b77b12e/matchlogs/2024/summary/Ben-Doherty-Match-Logs" TargetMode="External"/><Relationship Id="rId79" Type="http://schemas.openxmlformats.org/officeDocument/2006/relationships/hyperlink" Target="https://fbref.com/en/players/db123b51/matchlogs/2024/summary/Michael-Duffy-Match-Logs" TargetMode="External"/><Relationship Id="rId78" Type="http://schemas.openxmlformats.org/officeDocument/2006/relationships/hyperlink" Target="https://fbref.com/en/players/4a71b080/matchlogs/2024/summary/Paul-Doyle-Match-Logs" TargetMode="External"/><Relationship Id="rId71" Type="http://schemas.openxmlformats.org/officeDocument/2006/relationships/hyperlink" Target="https://fbref.com/en/players/db88ddbb/matchlogs/2024/summary/Aodh-Dervin-Match-Logs" TargetMode="External"/><Relationship Id="rId70" Type="http://schemas.openxmlformats.org/officeDocument/2006/relationships/hyperlink" Target="https://fbref.com/en/players/c3eee23b/matchlogs/2024/summary/Luke-Dennison-Match-Logs" TargetMode="External"/><Relationship Id="rId139" Type="http://schemas.openxmlformats.org/officeDocument/2006/relationships/hyperlink" Target="https://fbref.com/en/players/e16986b1/matchlogs/2024/summary/Leigh-Kavanagh-Match-Logs" TargetMode="External"/><Relationship Id="rId138" Type="http://schemas.openxmlformats.org/officeDocument/2006/relationships/hyperlink" Target="https://fbref.com/en/players/6746ede5/matchlogs/2024/summary/Cian-Kavanagh-Match-Logs" TargetMode="External"/><Relationship Id="rId259" Type="http://schemas.openxmlformats.org/officeDocument/2006/relationships/hyperlink" Target="https://fbref.com/en/players/1a6dd27a/matchlogs/2024/summary/Daniel-Ring-Match-Logs" TargetMode="External"/><Relationship Id="rId137" Type="http://schemas.openxmlformats.org/officeDocument/2006/relationships/hyperlink" Target="https://fbref.com/en/players/89309bb3/matchlogs/2024/summary/Brandon-Kavanagh-Match-Logs" TargetMode="External"/><Relationship Id="rId258" Type="http://schemas.openxmlformats.org/officeDocument/2006/relationships/hyperlink" Target="https://fbref.com/en/players/8844807d/matchlogs/2024/summary/Conor-Reynolds-Match-Logs" TargetMode="External"/><Relationship Id="rId132" Type="http://schemas.openxmlformats.org/officeDocument/2006/relationships/hyperlink" Target="https://fbref.com/en/players/2ed67d47/matchlogs/2024/summary/Douglas-James-Taylor-Match-Logs" TargetMode="External"/><Relationship Id="rId253" Type="http://schemas.openxmlformats.org/officeDocument/2006/relationships/hyperlink" Target="https://fbref.com/en/players/6a205426/matchlogs/2024/summary/Andrew-Quinn-Match-Logs" TargetMode="External"/><Relationship Id="rId131" Type="http://schemas.openxmlformats.org/officeDocument/2006/relationships/hyperlink" Target="https://fbref.com/en/players/bc836d6d/matchlogs/2024/summary/Mark-Isong-Match-Logs" TargetMode="External"/><Relationship Id="rId252" Type="http://schemas.openxmlformats.org/officeDocument/2006/relationships/hyperlink" Target="https://fbref.com/en/players/4ede09b3/matchlogs/2024/summary/Simon-Power-Match-Logs" TargetMode="External"/><Relationship Id="rId130" Type="http://schemas.openxmlformats.org/officeDocument/2006/relationships/hyperlink" Target="https://fbref.com/en/players/77782466/matchlogs/2024/summary/Duncan-Idehen-Match-Logs" TargetMode="External"/><Relationship Id="rId251" Type="http://schemas.openxmlformats.org/officeDocument/2006/relationships/hyperlink" Target="https://fbref.com/en/players/3b48c6e3/matchlogs/2024/summary/Darragh-Power-Match-Logs" TargetMode="External"/><Relationship Id="rId250" Type="http://schemas.openxmlformats.org/officeDocument/2006/relationships/hyperlink" Target="https://fbref.com/en/players/88ba4b24/matchlogs/2024/summary/Markus-Poom-Match-Logs" TargetMode="External"/><Relationship Id="rId136" Type="http://schemas.openxmlformats.org/officeDocument/2006/relationships/hyperlink" Target="https://fbref.com/en/players/b1b38720/matchlogs/2024/summary/Conor-Kane-Match-Logs" TargetMode="External"/><Relationship Id="rId257" Type="http://schemas.openxmlformats.org/officeDocument/2006/relationships/hyperlink" Target="https://fbref.com/en/players/db9c6583/matchlogs/2024/summary/Sten-Reinkort-Match-Logs" TargetMode="External"/><Relationship Id="rId135" Type="http://schemas.openxmlformats.org/officeDocument/2006/relationships/hyperlink" Target="https://fbref.com/en/players/c58bcf0d/matchlogs/2024/summary/Louis-Jones-Match-Logs" TargetMode="External"/><Relationship Id="rId256" Type="http://schemas.openxmlformats.org/officeDocument/2006/relationships/hyperlink" Target="https://fbref.com/en/players/ab44244d/matchlogs/2024/summary/Joe-Redmond-Match-Logs" TargetMode="External"/><Relationship Id="rId134" Type="http://schemas.openxmlformats.org/officeDocument/2006/relationships/hyperlink" Target="https://fbref.com/en/players/67cd6d8d/matchlogs/2024/summary/Zac-Johnson-Match-Logs" TargetMode="External"/><Relationship Id="rId255" Type="http://schemas.openxmlformats.org/officeDocument/2006/relationships/hyperlink" Target="https://fbref.com/en/players/29dc2f1b/matchlogs/2024/summary/Stefan-Radosavlevic-Match-Logs" TargetMode="External"/><Relationship Id="rId133" Type="http://schemas.openxmlformats.org/officeDocument/2006/relationships/hyperlink" Target="https://fbref.com/en/players/f471718a/matchlogs/2024/summary/William-Jarvis-Match-Logs" TargetMode="External"/><Relationship Id="rId254" Type="http://schemas.openxmlformats.org/officeDocument/2006/relationships/hyperlink" Target="https://fbref.com/en/players/20eeccfc/matchlogs/2024/summary/Kacper-Radkowski-Match-Logs" TargetMode="External"/><Relationship Id="rId62" Type="http://schemas.openxmlformats.org/officeDocument/2006/relationships/hyperlink" Target="https://fbref.com/en/players/adc49832/matchlogs/2024/summary/Mark-Coyle-Match-Logs" TargetMode="External"/><Relationship Id="rId61" Type="http://schemas.openxmlformats.org/officeDocument/2006/relationships/hyperlink" Target="https://fbref.com/en/players/b323f30f/matchlogs/2024/summary/Tom-Costello-Match-Logs" TargetMode="External"/><Relationship Id="rId64" Type="http://schemas.openxmlformats.org/officeDocument/2006/relationships/hyperlink" Target="https://fbref.com/en/players/dc10b26c/matchlogs/2024/summary/Greg-Cunningham-Match-Logs" TargetMode="External"/><Relationship Id="rId63" Type="http://schemas.openxmlformats.org/officeDocument/2006/relationships/hyperlink" Target="https://fbref.com/en/players/fd01ec74/matchlogs/2024/summary/Barry-Crowe-Baggley-Match-Logs" TargetMode="External"/><Relationship Id="rId66" Type="http://schemas.openxmlformats.org/officeDocument/2006/relationships/hyperlink" Target="https://fbref.com/en/players/f14536b9/matchlogs/2024/summary/Archie-Davies-Match-Logs" TargetMode="External"/><Relationship Id="rId172" Type="http://schemas.openxmlformats.org/officeDocument/2006/relationships/hyperlink" Target="https://fbref.com/en/players/0043fed0/matchlogs/2024/summary/John-Martin-Match-Logs" TargetMode="External"/><Relationship Id="rId293" Type="http://schemas.openxmlformats.org/officeDocument/2006/relationships/hyperlink" Target="https://fbref.com/en/players/4c16ead6/matchlogs/2024/summary/Tyreke-Wilson-Match-Logs" TargetMode="External"/><Relationship Id="rId65" Type="http://schemas.openxmlformats.org/officeDocument/2006/relationships/hyperlink" Target="https://fbref.com/en/players/9ca82cdb/matchlogs/2024/summary/Jacob-Davenport-Match-Logs" TargetMode="External"/><Relationship Id="rId171" Type="http://schemas.openxmlformats.org/officeDocument/2006/relationships/hyperlink" Target="https://fbref.com/en/players/c389c1ff/matchlogs/2024/summary/Darragh-Markey-Match-Logs" TargetMode="External"/><Relationship Id="rId292" Type="http://schemas.openxmlformats.org/officeDocument/2006/relationships/hyperlink" Target="https://fbref.com/en/players/deb1d9d6/matchlogs/2024/summary/Dean-Williams-Match-Logs" TargetMode="External"/><Relationship Id="rId68" Type="http://schemas.openxmlformats.org/officeDocument/2006/relationships/hyperlink" Target="https://fbref.com/en/players/e4545ca7/matchlogs/2024/summary/Gary-Deegan-Match-Logs" TargetMode="External"/><Relationship Id="rId170" Type="http://schemas.openxmlformats.org/officeDocument/2006/relationships/hyperlink" Target="https://fbref.com/en/players/fa6f3dad/matchlogs/2024/summary/Daniel-Mandroiu-Match-Logs" TargetMode="External"/><Relationship Id="rId291" Type="http://schemas.openxmlformats.org/officeDocument/2006/relationships/hyperlink" Target="https://fbref.com/en/players/e250436f/matchlogs/2024/summary/Charlie-Wiggett-Match-Logs" TargetMode="External"/><Relationship Id="rId67" Type="http://schemas.openxmlformats.org/officeDocument/2006/relationships/hyperlink" Target="https://fbref.com/en/players/2a11ec72/matchlogs/2024/summary/Warren-Davis-Match-Logs" TargetMode="External"/><Relationship Id="rId290" Type="http://schemas.openxmlformats.org/officeDocument/2006/relationships/hyperlink" Target="https://fbref.com/en/players/a3cc1051/matchlogs/2024/summary/Colm-Whelan-Match-Logs" TargetMode="External"/><Relationship Id="rId60" Type="http://schemas.openxmlformats.org/officeDocument/2006/relationships/hyperlink" Target="https://fbref.com/en/players/e2874e3c/matchlogs/2024/summary/Rob-Cornwall-Match-Logs" TargetMode="External"/><Relationship Id="rId165" Type="http://schemas.openxmlformats.org/officeDocument/2006/relationships/hyperlink" Target="https://fbref.com/en/players/183106bd/matchlogs/2024/summary/Brian-Maher-Match-Logs" TargetMode="External"/><Relationship Id="rId286" Type="http://schemas.openxmlformats.org/officeDocument/2006/relationships/hyperlink" Target="https://fbref.com/en/players/5a180a4c/matchlogs/2024/summary/Dylan-Watts-Match-Logs" TargetMode="External"/><Relationship Id="rId69" Type="http://schemas.openxmlformats.org/officeDocument/2006/relationships/hyperlink" Target="https://fbref.com/en/players/b056ce1c/matchlogs/2024/summary/Oliver-Denham-Match-Logs" TargetMode="External"/><Relationship Id="rId164" Type="http://schemas.openxmlformats.org/officeDocument/2006/relationships/hyperlink" Target="https://fbref.com/en/players/e35c0427/matchlogs/2024/summary/Harvey-Macadam-Match-Logs" TargetMode="External"/><Relationship Id="rId285" Type="http://schemas.openxmlformats.org/officeDocument/2006/relationships/hyperlink" Target="https://fbref.com/en/players/a8f489d7/matchlogs/2024/summary/Keith-Ward-Match-Logs" TargetMode="External"/><Relationship Id="rId163" Type="http://schemas.openxmlformats.org/officeDocument/2006/relationships/hyperlink" Target="https://fbref.com/en/players/e6c50827/matchlogs/2024/summary/Jonathan-Lunney-Match-Logs" TargetMode="External"/><Relationship Id="rId284" Type="http://schemas.openxmlformats.org/officeDocument/2006/relationships/hyperlink" Target="https://fbref.com/en/players/7b46dc3d/matchlogs/2024/summary/Stephen-Walsh-Match-Logs" TargetMode="External"/><Relationship Id="rId162" Type="http://schemas.openxmlformats.org/officeDocument/2006/relationships/hyperlink" Target="https://fbref.com/en/players/3d0a1c44/matchlogs/2024/summary/Francely-Lomboto-Match-Logs" TargetMode="External"/><Relationship Id="rId283" Type="http://schemas.openxmlformats.org/officeDocument/2006/relationships/hyperlink" Target="https://fbref.com/en/players/099ac404/matchlogs/2024/summary/Jamie-Walker-Match-Logs" TargetMode="External"/><Relationship Id="rId169" Type="http://schemas.openxmlformats.org/officeDocument/2006/relationships/hyperlink" Target="https://fbref.com/en/players/4765d9ea/matchlogs/2024/summary/Stephen-Mallon-Match-Logs" TargetMode="External"/><Relationship Id="rId168" Type="http://schemas.openxmlformats.org/officeDocument/2006/relationships/hyperlink" Target="https://fbref.com/en/players/bddb690e/matchlogs/2024/summary/Connor-Malley-Match-Logs" TargetMode="External"/><Relationship Id="rId289" Type="http://schemas.openxmlformats.org/officeDocument/2006/relationships/hyperlink" Target="https://fbref.com/en/players/f275afa0/matchlogs/2024/summary/Evan-Weir-Match-Logs" TargetMode="External"/><Relationship Id="rId167" Type="http://schemas.openxmlformats.org/officeDocument/2006/relationships/hyperlink" Target="https://fbref.com/en/players/927b9dcc/matchlogs/2024/summary/Robert-Mahon-Match-Logs" TargetMode="External"/><Relationship Id="rId288" Type="http://schemas.openxmlformats.org/officeDocument/2006/relationships/hyperlink" Target="https://fbref.com/en/players/43181fdb/matchlogs/2024/summary/David-Webster-Match-Logs" TargetMode="External"/><Relationship Id="rId166" Type="http://schemas.openxmlformats.org/officeDocument/2006/relationships/hyperlink" Target="https://fbref.com/en/players/e9155d02/matchlogs/2024/summary/John-Mahon-Match-Logs" TargetMode="External"/><Relationship Id="rId287" Type="http://schemas.openxmlformats.org/officeDocument/2006/relationships/hyperlink" Target="https://fbref.com/en/players/38a300da/matchlogs/2024/summary/Wilson-Waweru-Match-Logs" TargetMode="External"/><Relationship Id="rId51" Type="http://schemas.openxmlformats.org/officeDocument/2006/relationships/hyperlink" Target="https://fbref.com/en/players/f0d58452/matchlogs/2024/summary/Kacper-Chorazka-Match-Logs" TargetMode="External"/><Relationship Id="rId50" Type="http://schemas.openxmlformats.org/officeDocument/2006/relationships/hyperlink" Target="https://fbref.com/en/players/40382c9b/matchlogs/2024/summary/Ellis-Chapman-Match-Logs" TargetMode="External"/><Relationship Id="rId53" Type="http://schemas.openxmlformats.org/officeDocument/2006/relationships/hyperlink" Target="https://fbref.com/en/players/49760d59/matchlogs/2024/summary/James-Clarke-Match-Logs" TargetMode="External"/><Relationship Id="rId52" Type="http://schemas.openxmlformats.org/officeDocument/2006/relationships/hyperlink" Target="https://fbref.com/en/players/3f8306e2/matchlogs/2024/summary/Brendan-Clarke-Match-Logs" TargetMode="External"/><Relationship Id="rId55" Type="http://schemas.openxmlformats.org/officeDocument/2006/relationships/hyperlink" Target="https://fbref.com/en/players/bcdc8055/matchlogs/2024/summary/Daniel-Cleary-Match-Logs" TargetMode="External"/><Relationship Id="rId161" Type="http://schemas.openxmlformats.org/officeDocument/2006/relationships/hyperlink" Target="https://fbref.com/en/players/98af2c0d/matchlogs/2024/summary/Michael-Lilander-Match-Logs" TargetMode="External"/><Relationship Id="rId282" Type="http://schemas.openxmlformats.org/officeDocument/2006/relationships/hyperlink" Target="https://fbref.com/en/players/edf462fa/matchlogs/2024/summary/Luke-Turner-Match-Logs" TargetMode="External"/><Relationship Id="rId54" Type="http://schemas.openxmlformats.org/officeDocument/2006/relationships/hyperlink" Target="https://fbref.com/en/players/088059d8/matchlogs/2024/summary/Trevor-Clarke-Match-Logs" TargetMode="External"/><Relationship Id="rId160" Type="http://schemas.openxmlformats.org/officeDocument/2006/relationships/hyperlink" Target="https://fbref.com/en/players/e65186a3/matchlogs/2024/summary/Vincent-Leonard-Match-Logs" TargetMode="External"/><Relationship Id="rId281" Type="http://schemas.openxmlformats.org/officeDocument/2006/relationships/hyperlink" Target="https://fbref.com/en/players/bddd8ba3/matchlogs/2024/summary/Rayhaan-Tulloch-Match-Logs" TargetMode="External"/><Relationship Id="rId57" Type="http://schemas.openxmlformats.org/officeDocument/2006/relationships/hyperlink" Target="https://fbref.com/en/players/4eae5f86/matchlogs/2024/summary/Dylan-Connolly-Match-Logs" TargetMode="External"/><Relationship Id="rId280" Type="http://schemas.openxmlformats.org/officeDocument/2006/relationships/hyperlink" Target="https://fbref.com/en/players/7a73917e/matchlogs/2024/summary/Richie-Towell-Match-Logs" TargetMode="External"/><Relationship Id="rId56" Type="http://schemas.openxmlformats.org/officeDocument/2006/relationships/hyperlink" Target="https://fbref.com/en/players/82c3f3f7/matchlogs/2024/summary/Ciaran-Coll-Match-Logs" TargetMode="External"/><Relationship Id="rId159" Type="http://schemas.openxmlformats.org/officeDocument/2006/relationships/hyperlink" Target="https://fbref.com/en/players/f3e0cb23/matchlogs/2024/summary/Jamie-Lennon-Match-Logs" TargetMode="External"/><Relationship Id="rId59" Type="http://schemas.openxmlformats.org/officeDocument/2006/relationships/hyperlink" Target="https://fbref.com/en/players/e42c53b6/matchlogs/2024/summary/Ali-Coote-Match-Logs" TargetMode="External"/><Relationship Id="rId154" Type="http://schemas.openxmlformats.org/officeDocument/2006/relationships/hyperlink" Target="https://fbref.com/en/players/86166c8d/matchlogs/2024/summary/Max-Kovaleskis-Match-Logs" TargetMode="External"/><Relationship Id="rId275" Type="http://schemas.openxmlformats.org/officeDocument/2006/relationships/hyperlink" Target="https://fbref.com/en/players/ff34cdcb/matchlogs/2024/summary/Lewis-Temple-Match-Logs" TargetMode="External"/><Relationship Id="rId58" Type="http://schemas.openxmlformats.org/officeDocument/2006/relationships/hyperlink" Target="https://fbref.com/en/players/d89eb771/matchlogs/2024/summary/Mark-Connolly-Match-Logs" TargetMode="External"/><Relationship Id="rId153" Type="http://schemas.openxmlformats.org/officeDocument/2006/relationships/hyperlink" Target="https://fbref.com/en/players/f4135487/matchlogs/2024/summary/Paddy-Kirk-Match-Logs" TargetMode="External"/><Relationship Id="rId274" Type="http://schemas.openxmlformats.org/officeDocument/2006/relationships/hyperlink" Target="https://fbref.com/en/players/c56e2c56/matchlogs/2024/summary/James-Talbot-Match-Logs" TargetMode="External"/><Relationship Id="rId152" Type="http://schemas.openxmlformats.org/officeDocument/2006/relationships/hyperlink" Target="https://fbref.com/en/players/76b2019e/matchlogs/2024/summary/Jimmy-Keohane-Match-Logs" TargetMode="External"/><Relationship Id="rId273" Type="http://schemas.openxmlformats.org/officeDocument/2006/relationships/hyperlink" Target="https://fbref.com/en/players/b3f56a05/matchlogs/2024/summary/Markus-Strods-Match-Logs" TargetMode="External"/><Relationship Id="rId151" Type="http://schemas.openxmlformats.org/officeDocument/2006/relationships/hyperlink" Target="https://fbref.com/en/players/6c51a40a/matchlogs/2024/summary/Sean-Keogh-Match-Logs" TargetMode="External"/><Relationship Id="rId272" Type="http://schemas.openxmlformats.org/officeDocument/2006/relationships/hyperlink" Target="https://fbref.com/en/players/2e45bc2e/matchlogs/2024/summary/Lee-Steacy-Match-Logs" TargetMode="External"/><Relationship Id="rId158" Type="http://schemas.openxmlformats.org/officeDocument/2006/relationships/hyperlink" Target="https://fbref.com/en/players/004a6ac3/matchlogs/2024/summary/Kameron-Ledwidge-Match-Logs" TargetMode="External"/><Relationship Id="rId279" Type="http://schemas.openxmlformats.org/officeDocument/2006/relationships/hyperlink" Target="https://fbref.com/en/players/9d8cce71/matchlogs/2024/summary/Emre-Topcu-Match-Logs" TargetMode="External"/><Relationship Id="rId157" Type="http://schemas.openxmlformats.org/officeDocument/2006/relationships/hyperlink" Target="https://fbref.com/en/players/cf21dc55/matchlogs/2024/summary/Kian-Leavy-Match-Logs" TargetMode="External"/><Relationship Id="rId278" Type="http://schemas.openxmlformats.org/officeDocument/2006/relationships/hyperlink" Target="https://fbref.com/en/players/1fc74318/matchlogs/2024/summary/Cillian-Tollett-Match-Logs" TargetMode="External"/><Relationship Id="rId156" Type="http://schemas.openxmlformats.org/officeDocument/2006/relationships/hyperlink" Target="https://fbref.com/en/players/7ec1955f/matchlogs/2024/summary/Darragh-Leahy-Match-Logs" TargetMode="External"/><Relationship Id="rId277" Type="http://schemas.openxmlformats.org/officeDocument/2006/relationships/hyperlink" Target="https://fbref.com/en/players/eeb52c13/matchlogs/2024/summary/Sam-Todd-Match-Logs" TargetMode="External"/><Relationship Id="rId155" Type="http://schemas.openxmlformats.org/officeDocument/2006/relationships/hyperlink" Target="https://fbref.com/en/players/60a7467c/matchlogs/2024/summary/Bartlomiej-Kukulowicz-Match-Logs" TargetMode="External"/><Relationship Id="rId276" Type="http://schemas.openxmlformats.org/officeDocument/2006/relationships/hyperlink" Target="https://fbref.com/en/players/ae4e1395/matchlogs/2024/summary/Ross-Tierney-Match-Logs" TargetMode="External"/><Relationship Id="rId107" Type="http://schemas.openxmlformats.org/officeDocument/2006/relationships/hyperlink" Target="https://fbref.com/en/players/d97b8ab2/matchlogs/2024/summary/Danny-Grant-Match-Logs" TargetMode="External"/><Relationship Id="rId228" Type="http://schemas.openxmlformats.org/officeDocument/2006/relationships/hyperlink" Target="https://fbref.com/en/players/bf6508d3/matchlogs/2024/summary/Adam-OReilly-Match-Logs" TargetMode="External"/><Relationship Id="rId106" Type="http://schemas.openxmlformats.org/officeDocument/2006/relationships/hyperlink" Target="https://fbref.com/en/players/fb903561/matchlogs/2024/summary/Lee-Grace-Match-Logs" TargetMode="External"/><Relationship Id="rId227" Type="http://schemas.openxmlformats.org/officeDocument/2006/relationships/hyperlink" Target="https://fbref.com/en/players/7f176025/matchlogs/2024/summary/Gary-ONeill-Match-Logs" TargetMode="External"/><Relationship Id="rId105" Type="http://schemas.openxmlformats.org/officeDocument/2006/relationships/hyperlink" Target="https://fbref.com/en/players/975dc6ea/matchlogs/2024/summary/Felix-Goddard-Match-Logs" TargetMode="External"/><Relationship Id="rId226" Type="http://schemas.openxmlformats.org/officeDocument/2006/relationships/hyperlink" Target="https://fbref.com/en/players/f734396f/matchlogs/2024/summary/Niall-OKeeffe-Match-Logs" TargetMode="External"/><Relationship Id="rId104" Type="http://schemas.openxmlformats.org/officeDocument/2006/relationships/hyperlink" Target="https://fbref.com/en/players/d10fdb58/matchlogs/2024/summary/Samuel-Glenfield-Match-Logs" TargetMode="External"/><Relationship Id="rId225" Type="http://schemas.openxmlformats.org/officeDocument/2006/relationships/hyperlink" Target="https://fbref.com/en/players/42d9e953/matchlogs/2024/summary/Conor-OKeeffe-Match-Logs" TargetMode="External"/><Relationship Id="rId109" Type="http://schemas.openxmlformats.org/officeDocument/2006/relationships/hyperlink" Target="https://fbref.com/en/players/f40a57b2/matchlogs/2024/summary/Alex-Greive-Match-Logs" TargetMode="External"/><Relationship Id="rId108" Type="http://schemas.openxmlformats.org/officeDocument/2006/relationships/hyperlink" Target="https://fbref.com/en/players/ba1c139e/matchlogs/2024/summary/Aaron-Greene-Match-Logs" TargetMode="External"/><Relationship Id="rId229" Type="http://schemas.openxmlformats.org/officeDocument/2006/relationships/hyperlink" Target="https://fbref.com/en/players/6b23e5f6/matchlogs/2024/summary/Cory-OSullivan-Match-Logs" TargetMode="External"/><Relationship Id="rId220" Type="http://schemas.openxmlformats.org/officeDocument/2006/relationships/hyperlink" Target="https://fbref.com/en/players/20a3cf2b/matchlogs/2024/summary/Maurice-Nugent-Match-Logs" TargetMode="External"/><Relationship Id="rId103" Type="http://schemas.openxmlformats.org/officeDocument/2006/relationships/hyperlink" Target="https://fbref.com/en/players/280af64b/matchlogs/2024/summary/Leo-Gaxha-Match-Logs" TargetMode="External"/><Relationship Id="rId224" Type="http://schemas.openxmlformats.org/officeDocument/2006/relationships/hyperlink" Target="https://fbref.com/en/players/639be3ec/matchlogs/2024/summary/Ryan-OKane-Match-Logs" TargetMode="External"/><Relationship Id="rId102" Type="http://schemas.openxmlformats.org/officeDocument/2006/relationships/hyperlink" Target="https://fbref.com/en/players/f039d3e5/matchlogs/2024/summary/Norman-Garbett-Match-Logs" TargetMode="External"/><Relationship Id="rId223" Type="http://schemas.openxmlformats.org/officeDocument/2006/relationships/hyperlink" Target="https://fbref.com/en/players/f2c540bf/matchlogs/2024/summary/Josh-OConnor-Match-Logs" TargetMode="External"/><Relationship Id="rId101" Type="http://schemas.openxmlformats.org/officeDocument/2006/relationships/hyperlink" Target="https://fbref.com/en/players/4cb950ea/matchlogs/2024/summary/Sean-Gannon-Match-Logs" TargetMode="External"/><Relationship Id="rId222" Type="http://schemas.openxmlformats.org/officeDocument/2006/relationships/hyperlink" Target="https://fbref.com/en/players/3497babe/matchlogs/2024/summary/Matthew-OBrien-Match-Logs" TargetMode="External"/><Relationship Id="rId100" Type="http://schemas.openxmlformats.org/officeDocument/2006/relationships/hyperlink" Target="https://fbref.com/en/players/5b4880c8/matchlogs/2024/summary/Oisin-Gallagher-Match-Logs" TargetMode="External"/><Relationship Id="rId221" Type="http://schemas.openxmlformats.org/officeDocument/2006/relationships/hyperlink" Target="https://fbref.com/en/players/c5cc1b13/matchlogs/2024/summary/Aiden-OBrien-Match-Logs" TargetMode="External"/><Relationship Id="rId217" Type="http://schemas.openxmlformats.org/officeDocument/2006/relationships/hyperlink" Target="https://fbref.com/en/players/e726d7e0/matchlogs/2024/summary/Conan-Noonan-Match-Logs" TargetMode="External"/><Relationship Id="rId216" Type="http://schemas.openxmlformats.org/officeDocument/2006/relationships/hyperlink" Target="https://fbref.com/en/players/ecb29702/matchlogs/2024/summary/Alex-Nolan-Match-Logs" TargetMode="External"/><Relationship Id="rId215" Type="http://schemas.openxmlformats.org/officeDocument/2006/relationships/hyperlink" Target="https://fbref.com/en/players/adb966e4/matchlogs/2024/summary/Ross-Munro-Match-Logs" TargetMode="External"/><Relationship Id="rId214" Type="http://schemas.openxmlformats.org/officeDocument/2006/relationships/hyperlink" Target="https://fbref.com/en/players/0f04858e/matchlogs/2024/summary/Jake-Mulraney-Match-Logs" TargetMode="External"/><Relationship Id="rId219" Type="http://schemas.openxmlformats.org/officeDocument/2006/relationships/hyperlink" Target="https://fbref.com/en/players/5f692ac1/matchlogs/2024/summary/Darragh-Nugent-Match-Logs" TargetMode="External"/><Relationship Id="rId218" Type="http://schemas.openxmlformats.org/officeDocument/2006/relationships/hyperlink" Target="https://fbref.com/en/players/ef81d0b0/matchlogs/2024/summary/Michael-Noonan-Match-Logs" TargetMode="External"/><Relationship Id="rId213" Type="http://schemas.openxmlformats.org/officeDocument/2006/relationships/hyperlink" Target="https://fbref.com/en/players/62e9508e/matchlogs/2024/summary/Luke-Mulligan-Match-Logs" TargetMode="External"/><Relationship Id="rId212" Type="http://schemas.openxmlformats.org/officeDocument/2006/relationships/hyperlink" Target="https://fbref.com/en/players/78549571/matchlogs/2024/summary/Hayden-Muller-Match-Logs" TargetMode="External"/><Relationship Id="rId211" Type="http://schemas.openxmlformats.org/officeDocument/2006/relationships/hyperlink" Target="https://fbref.com/en/players/ffce7861/matchlogs/2024/summary/Danny-Mullen-Match-Logs" TargetMode="External"/><Relationship Id="rId210" Type="http://schemas.openxmlformats.org/officeDocument/2006/relationships/hyperlink" Target="https://fbref.com/en/players/49aa1724/matchlogs/2024/summary/John-Mountney-Match-Logs" TargetMode="External"/><Relationship Id="rId129" Type="http://schemas.openxmlformats.org/officeDocument/2006/relationships/hyperlink" Target="https://fbref.com/en/players/3c6782fc/matchlogs/2024/summary/Reece-Hutchinson-Match-Logs" TargetMode="External"/><Relationship Id="rId128" Type="http://schemas.openxmlformats.org/officeDocument/2006/relationships/hyperlink" Target="https://fbref.com/en/players/b3c51950/matchlogs/2024/summary/David-Hurley-Match-Logs" TargetMode="External"/><Relationship Id="rId249" Type="http://schemas.openxmlformats.org/officeDocument/2006/relationships/hyperlink" Target="https://fbref.com/en/players/056fdf3a/matchlogs/2024/summary/Leon-Maurice-Pohls-Match-Logs" TargetMode="External"/><Relationship Id="rId127" Type="http://schemas.openxmlformats.org/officeDocument/2006/relationships/hyperlink" Target="https://fbref.com/en/players/7c73e318/matchlogs/2024/summary/Grant-Horton-Match-Logs" TargetMode="External"/><Relationship Id="rId248" Type="http://schemas.openxmlformats.org/officeDocument/2006/relationships/hyperlink" Target="https://fbref.com/en/players/b3cafda8/matchlogs/2024/summary/Marcelo-Pitaluga-Match-Logs" TargetMode="External"/><Relationship Id="rId126" Type="http://schemas.openxmlformats.org/officeDocument/2006/relationships/hyperlink" Target="https://fbref.com/en/players/2305b2c0/matchlogs/2024/summary/Daryl-Horgan-Match-Logs" TargetMode="External"/><Relationship Id="rId247" Type="http://schemas.openxmlformats.org/officeDocument/2006/relationships/hyperlink" Target="https://fbref.com/en/players/48a69bf9/matchlogs/2024/summary/Filip-Piszczek-Match-Logs" TargetMode="External"/><Relationship Id="rId121" Type="http://schemas.openxmlformats.org/officeDocument/2006/relationships/hyperlink" Target="https://fbref.com/en/players/b8ec3525/matchlogs/2024/summary/Scott-High-Match-Logs" TargetMode="External"/><Relationship Id="rId242" Type="http://schemas.openxmlformats.org/officeDocument/2006/relationships/hyperlink" Target="https://fbref.com/en/players/df1e34a1/matchlogs/2024/summary/Luke-Pearce-Match-Logs" TargetMode="External"/><Relationship Id="rId120" Type="http://schemas.openxmlformats.org/officeDocument/2006/relationships/hyperlink" Target="https://fbref.com/en/players/9652f480/matchlogs/2024/summary/Patrick-Hickey-Match-Logs" TargetMode="External"/><Relationship Id="rId241" Type="http://schemas.openxmlformats.org/officeDocument/2006/relationships/hyperlink" Target="https://fbref.com/en/players/aa352006/matchlogs/2024/summary/Sean-Patton-Match-Logs" TargetMode="External"/><Relationship Id="rId240" Type="http://schemas.openxmlformats.org/officeDocument/2006/relationships/hyperlink" Target="https://fbref.com/en/players/7f71b7a2/matchlogs/2024/summary/Daire-Patton-Match-Logs" TargetMode="External"/><Relationship Id="rId125" Type="http://schemas.openxmlformats.org/officeDocument/2006/relationships/hyperlink" Target="https://fbref.com/en/players/69ae323e/matchlogs/2024/summary/Colm-Horgan-Match-Logs" TargetMode="External"/><Relationship Id="rId246" Type="http://schemas.openxmlformats.org/officeDocument/2006/relationships/hyperlink" Target="https://fbref.com/en/players/308169f0/matchlogs/2024/summary/Dan-Pike-Match-Logs" TargetMode="External"/><Relationship Id="rId124" Type="http://schemas.openxmlformats.org/officeDocument/2006/relationships/hyperlink" Target="https://fbref.com/en/players/301683da/matchlogs/2024/summary/Joshua-Honohan-Match-Logs" TargetMode="External"/><Relationship Id="rId245" Type="http://schemas.openxmlformats.org/officeDocument/2006/relationships/hyperlink" Target="https://fbref.com/en/players/92afdf2a/matchlogs/2024/summary/Nando-Pijnaker-Match-Logs" TargetMode="External"/><Relationship Id="rId123" Type="http://schemas.openxmlformats.org/officeDocument/2006/relationships/hyperlink" Target="https://fbref.com/en/players/f934cffd/matchlogs/2024/summary/Patrick-Hoban-Match-Logs" TargetMode="External"/><Relationship Id="rId244" Type="http://schemas.openxmlformats.org/officeDocument/2006/relationships/hyperlink" Target="https://fbref.com/en/players/fba31b1e/matchlogs/2024/summary/Frantz-Pierrot-Match-Logs" TargetMode="External"/><Relationship Id="rId122" Type="http://schemas.openxmlformats.org/officeDocument/2006/relationships/hyperlink" Target="https://fbref.com/en/players/c8a4aafd/matchlogs/2024/summary/Sean-Hoare-Match-Logs" TargetMode="External"/><Relationship Id="rId243" Type="http://schemas.openxmlformats.org/officeDocument/2006/relationships/hyperlink" Target="https://fbref.com/en/players/faef0f92/matchlogs/2024/summary/Pico-Match-Logs" TargetMode="External"/><Relationship Id="rId95" Type="http://schemas.openxmlformats.org/officeDocument/2006/relationships/hyperlink" Target="https://fbref.com/en/players/993b68af/matchlogs/2024/summary/Adam-Foley-Match-Logs" TargetMode="External"/><Relationship Id="rId94" Type="http://schemas.openxmlformats.org/officeDocument/2006/relationships/hyperlink" Target="https://fbref.com/en/players/862cc23f/matchlogs/2024/summary/Shane-Flynn-Match-Logs" TargetMode="External"/><Relationship Id="rId97" Type="http://schemas.openxmlformats.org/officeDocument/2006/relationships/hyperlink" Target="https://fbref.com/en/players/dcacbe30/matchlogs/2024/summary/Christopher-Forrester-Match-Logs" TargetMode="External"/><Relationship Id="rId96" Type="http://schemas.openxmlformats.org/officeDocument/2006/relationships/hyperlink" Target="https://fbref.com/en/players/eabd38d5/matchlogs/2024/summary/Joseph-Forde-Match-Logs" TargetMode="External"/><Relationship Id="rId99" Type="http://schemas.openxmlformats.org/officeDocument/2006/relationships/hyperlink" Target="https://fbref.com/en/players/63e50c5a/matchlogs/2024/summary/Rory-Gaffney-Match-Logs" TargetMode="External"/><Relationship Id="rId98" Type="http://schemas.openxmlformats.org/officeDocument/2006/relationships/hyperlink" Target="https://fbref.com/en/players/b1a7bf79/matchlogs/2024/summary/Kieran-Freeman-Match-Logs" TargetMode="External"/><Relationship Id="rId91" Type="http://schemas.openxmlformats.org/officeDocument/2006/relationships/hyperlink" Target="https://fbref.com/en/players/87242596/matchlogs/2024/summary/Kyle-Fitzgerald-Match-Logs" TargetMode="External"/><Relationship Id="rId90" Type="http://schemas.openxmlformats.org/officeDocument/2006/relationships/hyperlink" Target="https://fbref.com/en/players/c94699d0/matchlogs/2024/summary/Bobby-Faulkner-Match-Logs" TargetMode="External"/><Relationship Id="rId93" Type="http://schemas.openxmlformats.org/officeDocument/2006/relationships/hyperlink" Target="https://fbref.com/en/players/469be117/matchlogs/2024/summary/Jordan-Flores-Match-Logs" TargetMode="External"/><Relationship Id="rId92" Type="http://schemas.openxmlformats.org/officeDocument/2006/relationships/hyperlink" Target="https://fbref.com/en/players/2043b48f/matchlogs/2024/summary/William-Fitzgerald-Match-Logs" TargetMode="External"/><Relationship Id="rId118" Type="http://schemas.openxmlformats.org/officeDocument/2006/relationships/hyperlink" Target="https://fbref.com/en/players/9a115caf/matchlogs/2024/summary/Luke-Heeney-Match-Logs" TargetMode="External"/><Relationship Id="rId239" Type="http://schemas.openxmlformats.org/officeDocument/2006/relationships/hyperlink" Target="https://fbref.com/en/players/678fc112/matchlogs/2024/summary/Christie-Pattison-Match-Logs" TargetMode="External"/><Relationship Id="rId117" Type="http://schemas.openxmlformats.org/officeDocument/2006/relationships/hyperlink" Target="https://fbref.com/en/players/922935f5/matchlogs/2024/summary/Fabrice-Hartmann-Match-Logs" TargetMode="External"/><Relationship Id="rId238" Type="http://schemas.openxmlformats.org/officeDocument/2006/relationships/hyperlink" Target="https://fbref.com/en/players/8de9b2a2/matchlogs/2024/summary/Will-Patching-Match-Logs" TargetMode="External"/><Relationship Id="rId116" Type="http://schemas.openxmlformats.org/officeDocument/2006/relationships/hyperlink" Target="https://fbref.com/en/players/889460eb/matchlogs/2024/summary/Ciaron-Harkin-Match-Logs" TargetMode="External"/><Relationship Id="rId237" Type="http://schemas.openxmlformats.org/officeDocument/2006/relationships/hyperlink" Target="https://fbref.com/en/players/46dcd732/matchlogs/2024/summary/Connor-Parsons-Match-Logs" TargetMode="External"/><Relationship Id="rId115" Type="http://schemas.openxmlformats.org/officeDocument/2006/relationships/hyperlink" Target="https://fbref.com/en/players/9cf94b1c/matchlogs/2024/summary/Aaron-Haper-Bailey-Match-Logs" TargetMode="External"/><Relationship Id="rId236" Type="http://schemas.openxmlformats.org/officeDocument/2006/relationships/hyperlink" Target="https://fbref.com/en/players/ff1becbe/matchlogs/2024/summary/Romal-Palmer-Match-Logs" TargetMode="External"/><Relationship Id="rId119" Type="http://schemas.openxmlformats.org/officeDocument/2006/relationships/hyperlink" Target="https://fbref.com/en/players/e93d8ed1/matchlogs/2024/summary/Jack-Henry-Francis-Match-Logs" TargetMode="External"/><Relationship Id="rId110" Type="http://schemas.openxmlformats.org/officeDocument/2006/relationships/hyperlink" Target="https://fbref.com/en/players/bb173ec3/matchlogs/2024/summary/Tom-Grivosti-Match-Logs" TargetMode="External"/><Relationship Id="rId231" Type="http://schemas.openxmlformats.org/officeDocument/2006/relationships/hyperlink" Target="https://fbref.com/en/players/2bd20aad/matchlogs/2024/summary/John-OSullivan-Match-Logs" TargetMode="External"/><Relationship Id="rId230" Type="http://schemas.openxmlformats.org/officeDocument/2006/relationships/hyperlink" Target="https://fbref.com/en/players/6a6165d9/matchlogs/2024/summary/John-OSullivan-Match-Logs" TargetMode="External"/><Relationship Id="rId114" Type="http://schemas.openxmlformats.org/officeDocument/2006/relationships/hyperlink" Target="https://fbref.com/en/players/425bb610/matchlogs/2024/summary/Jad-Hakiki-Match-Logs" TargetMode="External"/><Relationship Id="rId235" Type="http://schemas.openxmlformats.org/officeDocument/2006/relationships/hyperlink" Target="https://fbref.com/en/players/230877a0/matchlogs/2024/summary/Koen-Oostenbrink-Match-Logs" TargetMode="External"/><Relationship Id="rId113" Type="http://schemas.openxmlformats.org/officeDocument/2006/relationships/hyperlink" Target="https://fbref.com/en/players/425bb610/matchlogs/2024/summary/Jad-Hakiki-Match-Logs" TargetMode="External"/><Relationship Id="rId234" Type="http://schemas.openxmlformats.org/officeDocument/2006/relationships/hyperlink" Target="https://fbref.com/en/players/df8ce513/matchlogs/2024/summary/Nickson-Okosun-Match-Logs" TargetMode="External"/><Relationship Id="rId112" Type="http://schemas.openxmlformats.org/officeDocument/2006/relationships/hyperlink" Target="https://fbref.com/en/players/8c79c107/matchlogs/2024/summary/Evan-Haddock-Match-Logs" TargetMode="External"/><Relationship Id="rId233" Type="http://schemas.openxmlformats.org/officeDocument/2006/relationships/hyperlink" Target="https://fbref.com/en/players/aca99b0f/matchlogs/2024/summary/Junior-Ogedi-Uzokwe-Match-Logs" TargetMode="External"/><Relationship Id="rId111" Type="http://schemas.openxmlformats.org/officeDocument/2006/relationships/hyperlink" Target="https://fbref.com/en/players/8ba2e28d/matchlogs/2024/summary/James-Gullan-Match-Logs" TargetMode="External"/><Relationship Id="rId232" Type="http://schemas.openxmlformats.org/officeDocument/2006/relationships/hyperlink" Target="https://fbref.com/en/players/a14a0a74/matchlogs/2024/summary/Karl-OSullivan-Match-Logs" TargetMode="External"/><Relationship Id="rId206" Type="http://schemas.openxmlformats.org/officeDocument/2006/relationships/hyperlink" Target="https://fbref.com/en/players/202d0884/matchlogs/2024/summary/Gavin-Molloy-Match-Logs" TargetMode="External"/><Relationship Id="rId205" Type="http://schemas.openxmlformats.org/officeDocument/2006/relationships/hyperlink" Target="https://fbref.com/en/players/3bd47c13/matchlogs/2024/summary/Jevon-Mills-Match-Logs" TargetMode="External"/><Relationship Id="rId204" Type="http://schemas.openxmlformats.org/officeDocument/2006/relationships/hyperlink" Target="https://fbref.com/en/players/d43042ea/matchlogs/2024/summary/Martin-Miller-Match-Logs" TargetMode="External"/><Relationship Id="rId203" Type="http://schemas.openxmlformats.org/officeDocument/2006/relationships/hyperlink" Target="https://fbref.com/en/players/aed3e19e/matchlogs/2024/summary/Mason-Melia-Match-Logs" TargetMode="External"/><Relationship Id="rId209" Type="http://schemas.openxmlformats.org/officeDocument/2006/relationships/hyperlink" Target="https://fbref.com/en/players/4be8671e/matchlogs/2024/summary/Niall-Morahan-Match-Logs" TargetMode="External"/><Relationship Id="rId208" Type="http://schemas.openxmlformats.org/officeDocument/2006/relationships/hyperlink" Target="https://fbref.com/en/players/308b8e0d/matchlogs/2024/summary/TJ-Molloy-Match-Logs" TargetMode="External"/><Relationship Id="rId207" Type="http://schemas.openxmlformats.org/officeDocument/2006/relationships/hyperlink" Target="https://fbref.com/en/players/ade4ad90/matchlogs/2024/summary/Sean-Molloy-Match-Logs" TargetMode="External"/><Relationship Id="rId202" Type="http://schemas.openxmlformats.org/officeDocument/2006/relationships/hyperlink" Target="https://fbref.com/en/players/d1df7a85/matchlogs/2024/summary/Archie-Meekison-Match-Logs" TargetMode="External"/><Relationship Id="rId201" Type="http://schemas.openxmlformats.org/officeDocument/2006/relationships/hyperlink" Target="https://fbref.com/en/players/ed6bb087/matchlogs/2024/summary/Marc-McNulty-Match-Logs" TargetMode="External"/><Relationship Id="rId200" Type="http://schemas.openxmlformats.org/officeDocument/2006/relationships/hyperlink" Target="https://fbref.com/en/players/bd479552/matchlogs/2024/summary/Aaron-McNally-Match-Log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nsfermarkt.co.uk/nathan-shepperd/marktwertverlauf/spieler/505040" TargetMode="External"/><Relationship Id="rId42" Type="http://schemas.openxmlformats.org/officeDocument/2006/relationships/hyperlink" Target="https://www.transfermarkt.co.uk/ross-munro/marktwertverlauf/spieler/425496" TargetMode="External"/><Relationship Id="rId41" Type="http://schemas.openxmlformats.org/officeDocument/2006/relationships/hyperlink" Target="https://www.transfermarkt.co.uk/brendan-clarke/marktwertverlauf/spieler/29874" TargetMode="External"/><Relationship Id="rId44" Type="http://schemas.openxmlformats.org/officeDocument/2006/relationships/hyperlink" Target="https://www.transfermarkt.co.uk/greg-cunningham/marktwertverlauf/spieler/114093" TargetMode="External"/><Relationship Id="rId43" Type="http://schemas.openxmlformats.org/officeDocument/2006/relationships/hyperlink" Target="https://www.transfermarkt.co.uk/peter-cherrie/marktwertverlauf/spieler/18197" TargetMode="External"/><Relationship Id="rId46" Type="http://schemas.openxmlformats.org/officeDocument/2006/relationships/hyperlink" Target="https://www.transfermarkt.co.uk/rob-slevin/marktwertverlauf/spieler/683665" TargetMode="External"/><Relationship Id="rId45" Type="http://schemas.openxmlformats.org/officeDocument/2006/relationships/hyperlink" Target="https://www.transfermarkt.co.uk/garry-buckley/marktwertverlauf/spieler/225100" TargetMode="External"/><Relationship Id="rId48" Type="http://schemas.openxmlformats.org/officeDocument/2006/relationships/hyperlink" Target="https://www.transfermarkt.co.uk/hayden-muller/marktwertverlauf/spieler/746095" TargetMode="External"/><Relationship Id="rId47" Type="http://schemas.openxmlformats.org/officeDocument/2006/relationships/hyperlink" Target="https://www.transfermarkt.co.uk/darren-brownlie/marktwertverlauf/spieler/193075" TargetMode="External"/><Relationship Id="rId49" Type="http://schemas.openxmlformats.org/officeDocument/2006/relationships/hyperlink" Target="https://www.transfermarkt.co.uk/bobby-burns/marktwertverlauf/spieler/386942" TargetMode="External"/><Relationship Id="rId31" Type="http://schemas.openxmlformats.org/officeDocument/2006/relationships/hyperlink" Target="https://www.transfermarkt.co.uk/dean-mcmenamy/marktwertverlauf/spieler/745727" TargetMode="External"/><Relationship Id="rId30" Type="http://schemas.openxmlformats.org/officeDocument/2006/relationships/hyperlink" Target="https://www.transfermarkt.co.uk/daniel-kelly/marktwertverlauf/spieler/567749" TargetMode="External"/><Relationship Id="rId33" Type="http://schemas.openxmlformats.org/officeDocument/2006/relationships/hyperlink" Target="https://www.transfermarkt.co.uk/jamie-mcgonigle/marktwertverlauf/spieler/355376" TargetMode="External"/><Relationship Id="rId32" Type="http://schemas.openxmlformats.org/officeDocument/2006/relationships/hyperlink" Target="https://www.transfermarkt.co.uk/danny-mullen/marktwertverlauf/spieler/238288" TargetMode="External"/><Relationship Id="rId35" Type="http://schemas.openxmlformats.org/officeDocument/2006/relationships/hyperlink" Target="https://www.transfermarkt.co.uk/pat-hoban/marktwertverlauf/spieler/158951" TargetMode="External"/><Relationship Id="rId34" Type="http://schemas.openxmlformats.org/officeDocument/2006/relationships/hyperlink" Target="https://www.transfermarkt.co.uk/connor-parsons/marktwertverlauf/spieler/504198" TargetMode="External"/><Relationship Id="rId37" Type="http://schemas.openxmlformats.org/officeDocument/2006/relationships/hyperlink" Target="https://www.transfermarkt.co.uk/colm-whelan/marktwertverlauf/spieler/535670" TargetMode="External"/><Relationship Id="rId36" Type="http://schemas.openxmlformats.org/officeDocument/2006/relationships/hyperlink" Target="https://www.transfermarkt.co.uk/cameron-cresswell/marktwertverlauf/spieler/453972" TargetMode="External"/><Relationship Id="rId39" Type="http://schemas.openxmlformats.org/officeDocument/2006/relationships/hyperlink" Target="https://www.transfermarkt.co.uk/cian-kavanagh/marktwertverlauf/spieler/701072" TargetMode="External"/><Relationship Id="rId38" Type="http://schemas.openxmlformats.org/officeDocument/2006/relationships/hyperlink" Target="https://www.transfermarkt.co.uk/maleace-asamoah/marktwertverlauf/spieler/939272" TargetMode="External"/><Relationship Id="rId20" Type="http://schemas.openxmlformats.org/officeDocument/2006/relationships/hyperlink" Target="https://www.transfermarkt.co.uk/will-patching/marktwertverlauf/spieler/314297" TargetMode="External"/><Relationship Id="rId22" Type="http://schemas.openxmlformats.org/officeDocument/2006/relationships/hyperlink" Target="https://www.transfermarkt.co.uk/ciaron-harkin/marktwertverlauf/spieler/367153" TargetMode="External"/><Relationship Id="rId21" Type="http://schemas.openxmlformats.org/officeDocument/2006/relationships/hyperlink" Target="https://www.transfermarkt.co.uk/jordan-mceneff/marktwertverlauf/spieler/549569" TargetMode="External"/><Relationship Id="rId24" Type="http://schemas.openxmlformats.org/officeDocument/2006/relationships/hyperlink" Target="https://www.transfermarkt.co.uk/paul-mcmullan/marktwertverlauf/spieler/193883" TargetMode="External"/><Relationship Id="rId23" Type="http://schemas.openxmlformats.org/officeDocument/2006/relationships/hyperlink" Target="https://www.transfermarkt.co.uk/harvey-macadam/marktwertverlauf/spieler/970393" TargetMode="External"/><Relationship Id="rId26" Type="http://schemas.openxmlformats.org/officeDocument/2006/relationships/hyperlink" Target="https://www.transfermarkt.co.uk/sam-glenfield/marktwertverlauf/spieler/825071" TargetMode="External"/><Relationship Id="rId25" Type="http://schemas.openxmlformats.org/officeDocument/2006/relationships/hyperlink" Target="https://www.transfermarkt.co.uk/ben-mccormack/marktwertverlauf/spieler/724534" TargetMode="External"/><Relationship Id="rId28" Type="http://schemas.openxmlformats.org/officeDocument/2006/relationships/hyperlink" Target="https://www.transfermarkt.co.uk/brandon-kavanagh/marktwertverlauf/spieler/469065" TargetMode="External"/><Relationship Id="rId27" Type="http://schemas.openxmlformats.org/officeDocument/2006/relationships/hyperlink" Target="https://www.transfermarkt.co.uk/patrick-mceleney/marktwertverlauf/spieler/121337" TargetMode="External"/><Relationship Id="rId29" Type="http://schemas.openxmlformats.org/officeDocument/2006/relationships/hyperlink" Target="https://www.transfermarkt.co.uk/michael-duffy/marktwertverlauf/spieler/232068" TargetMode="External"/><Relationship Id="rId11" Type="http://schemas.openxmlformats.org/officeDocument/2006/relationships/hyperlink" Target="https://www.transfermarkt.co.uk/ciaran-coll/marktwertverlauf/spieler/185571" TargetMode="External"/><Relationship Id="rId10" Type="http://schemas.openxmlformats.org/officeDocument/2006/relationships/hyperlink" Target="https://www.transfermarkt.co.uk/ben-doherty/marktwertverlauf/spieler/453993" TargetMode="External"/><Relationship Id="rId13" Type="http://schemas.openxmlformats.org/officeDocument/2006/relationships/hyperlink" Target="https://www.transfermarkt.co.uk/cameron-dummigan/marktwertverlauf/spieler/248576" TargetMode="External"/><Relationship Id="rId12" Type="http://schemas.openxmlformats.org/officeDocument/2006/relationships/hyperlink" Target="https://www.transfermarkt.co.uk/andre-wisdom/marktwertverlauf/spieler/128912" TargetMode="External"/><Relationship Id="rId15" Type="http://schemas.openxmlformats.org/officeDocument/2006/relationships/hyperlink" Target="https://www.transfermarkt.co.uk/robbie-mccourt/marktwertverlauf/spieler/293786" TargetMode="External"/><Relationship Id="rId14" Type="http://schemas.openxmlformats.org/officeDocument/2006/relationships/hyperlink" Target="https://www.transfermarkt.co.uk/ronan-boyce/marktwertverlauf/spieler/718846" TargetMode="External"/><Relationship Id="rId17" Type="http://schemas.openxmlformats.org/officeDocument/2006/relationships/hyperlink" Target="https://www.transfermarkt.co.uk/jacob-davenport/marktwertverlauf/spieler/380914" TargetMode="External"/><Relationship Id="rId16" Type="http://schemas.openxmlformats.org/officeDocument/2006/relationships/hyperlink" Target="https://www.transfermarkt.co.uk/ryan-burke/marktwertverlauf/spieler/434217" TargetMode="External"/><Relationship Id="rId19" Type="http://schemas.openxmlformats.org/officeDocument/2006/relationships/hyperlink" Target="https://www.transfermarkt.co.uk/adam-oreilly/marktwertverlauf/spieler/552652" TargetMode="External"/><Relationship Id="rId18" Type="http://schemas.openxmlformats.org/officeDocument/2006/relationships/hyperlink" Target="https://www.transfermarkt.co.uk/sadou-diallo/marktwertverlauf/spieler/314365" TargetMode="External"/><Relationship Id="rId84" Type="http://schemas.openxmlformats.org/officeDocument/2006/relationships/hyperlink" Target="https://www.transfermarkt.co.uk/john-martin/marktwertverlauf/spieler/504115" TargetMode="External"/><Relationship Id="rId83" Type="http://schemas.openxmlformats.org/officeDocument/2006/relationships/hyperlink" Target="https://www.transfermarkt.co.uk/pat-hoban/marktwertverlauf/spieler/158951" TargetMode="External"/><Relationship Id="rId86" Type="http://schemas.openxmlformats.org/officeDocument/2006/relationships/hyperlink" Target="https://www.transfermarkt.co.uk/ed-mcginty/marktwertverlauf/spieler/478712" TargetMode="External"/><Relationship Id="rId85" Type="http://schemas.openxmlformats.org/officeDocument/2006/relationships/hyperlink" Target="https://www.transfermarkt.co.uk/lorcan-healy/marktwertverlauf/spieler/562865" TargetMode="External"/><Relationship Id="rId88" Type="http://schemas.openxmlformats.org/officeDocument/2006/relationships/hyperlink" Target="https://www.transfermarkt.co.uk/ollie-denham/marktwertverlauf/spieler/596215" TargetMode="External"/><Relationship Id="rId87" Type="http://schemas.openxmlformats.org/officeDocument/2006/relationships/hyperlink" Target="https://www.transfermarkt.co.uk/richard-brush/marktwertverlauf/spieler/10015" TargetMode="External"/><Relationship Id="rId89" Type="http://schemas.openxmlformats.org/officeDocument/2006/relationships/hyperlink" Target="https://www.transfermarkt.co.uk/nando-pijnaker/marktwertverlauf/spieler/455425" TargetMode="External"/><Relationship Id="rId80" Type="http://schemas.openxmlformats.org/officeDocument/2006/relationships/hyperlink" Target="https://www.transfermarkt.co.uk/robbie-mahon/marktwertverlauf/spieler/724535" TargetMode="External"/><Relationship Id="rId82" Type="http://schemas.openxmlformats.org/officeDocument/2006/relationships/hyperlink" Target="https://www.transfermarkt.co.uk/jamie-gullan/marktwertverlauf/spieler/346643" TargetMode="External"/><Relationship Id="rId81" Type="http://schemas.openxmlformats.org/officeDocument/2006/relationships/hyperlink" Target="https://www.transfermarkt.co.uk/norman-garbett/marktwertverlauf/spieler/878241" TargetMode="External"/><Relationship Id="rId1" Type="http://schemas.openxmlformats.org/officeDocument/2006/relationships/hyperlink" Target="https://www.transfermarkt.co.uk/brian-maher/marktwertverlauf/spieler/434205" TargetMode="External"/><Relationship Id="rId2" Type="http://schemas.openxmlformats.org/officeDocument/2006/relationships/hyperlink" Target="https://www.transfermarkt.co.uk/tadhg-ryan/marktwertverlauf/spieler/566820" TargetMode="External"/><Relationship Id="rId3" Type="http://schemas.openxmlformats.org/officeDocument/2006/relationships/hyperlink" Target="https://www.transfermarkt.co.uk/mark-connolly/marktwertverlauf/spieler/128285" TargetMode="External"/><Relationship Id="rId4" Type="http://schemas.openxmlformats.org/officeDocument/2006/relationships/hyperlink" Target="https://www.transfermarkt.co.uk/cameron-mcjannett/marktwertverlauf/spieler/425715" TargetMode="External"/><Relationship Id="rId9" Type="http://schemas.openxmlformats.org/officeDocument/2006/relationships/hyperlink" Target="https://www.transfermarkt.co.uk/kacper-radkowski/marktwertverlauf/spieler/621567" TargetMode="External"/><Relationship Id="rId5" Type="http://schemas.openxmlformats.org/officeDocument/2006/relationships/hyperlink" Target="https://www.transfermarkt.co.uk/darragh-leahy/marktwertverlauf/spieler/325206" TargetMode="External"/><Relationship Id="rId6" Type="http://schemas.openxmlformats.org/officeDocument/2006/relationships/hyperlink" Target="https://www.transfermarkt.co.uk/shane-mceleney/marktwertverlauf/spieler/118071" TargetMode="External"/><Relationship Id="rId7" Type="http://schemas.openxmlformats.org/officeDocument/2006/relationships/hyperlink" Target="https://www.transfermarkt.co.uk/grant-horton/marktwertverlauf/spieler/698896" TargetMode="External"/><Relationship Id="rId8" Type="http://schemas.openxmlformats.org/officeDocument/2006/relationships/hyperlink" Target="https://www.transfermarkt.co.uk/sam-todd/marktwertverlauf/spieler/451942" TargetMode="External"/><Relationship Id="rId73" Type="http://schemas.openxmlformats.org/officeDocument/2006/relationships/hyperlink" Target="https://www.transfermarkt.co.uk/connor-malley/marktwertverlauf/spieler/485998" TargetMode="External"/><Relationship Id="rId72" Type="http://schemas.openxmlformats.org/officeDocument/2006/relationships/hyperlink" Target="https://www.transfermarkt.co.uk/aodh-dervin/marktwertverlauf/spieler/498175" TargetMode="External"/><Relationship Id="rId75" Type="http://schemas.openxmlformats.org/officeDocument/2006/relationships/hyperlink" Target="https://www.transfermarkt.co.uk/johannes-yli-kokko/marktwertverlauf/spieler/622439" TargetMode="External"/><Relationship Id="rId74" Type="http://schemas.openxmlformats.org/officeDocument/2006/relationships/hyperlink" Target="https://www.transfermarkt.co.uk/daryl-horgan/marktwertverlauf/spieler/178139" TargetMode="External"/><Relationship Id="rId77" Type="http://schemas.openxmlformats.org/officeDocument/2006/relationships/hyperlink" Target="https://www.transfermarkt.co.uk/jad-hakiki/marktwertverlauf/spieler/967162" TargetMode="External"/><Relationship Id="rId76" Type="http://schemas.openxmlformats.org/officeDocument/2006/relationships/hyperlink" Target="https://www.transfermarkt.co.uk/robbie-benson/marktwertverlauf/spieler/181348" TargetMode="External"/><Relationship Id="rId79" Type="http://schemas.openxmlformats.org/officeDocument/2006/relationships/hyperlink" Target="https://www.transfermarkt.co.uk/daniel-kelly/marktwertverlauf/spieler/567749" TargetMode="External"/><Relationship Id="rId78" Type="http://schemas.openxmlformats.org/officeDocument/2006/relationships/hyperlink" Target="https://www.transfermarkt.co.uk/ryan-okane/marktwertverlauf/spieler/693750" TargetMode="External"/><Relationship Id="rId71" Type="http://schemas.openxmlformats.org/officeDocument/2006/relationships/hyperlink" Target="https://www.transfermarkt.co.uk/dara-keane/marktwertverlauf/spieler/458632" TargetMode="External"/><Relationship Id="rId70" Type="http://schemas.openxmlformats.org/officeDocument/2006/relationships/hyperlink" Target="https://www.transfermarkt.co.uk/alfie-lewis/marktwertverlauf/spieler/423571" TargetMode="External"/><Relationship Id="rId62" Type="http://schemas.openxmlformats.org/officeDocument/2006/relationships/hyperlink" Target="https://www.transfermarkt.co.uk/john-mountney/marktwertverlauf/spieler/188539" TargetMode="External"/><Relationship Id="rId61" Type="http://schemas.openxmlformats.org/officeDocument/2006/relationships/hyperlink" Target="https://www.transfermarkt.co.uk/karl-osullivan/marktwertverlauf/spieler/548940" TargetMode="External"/><Relationship Id="rId64" Type="http://schemas.openxmlformats.org/officeDocument/2006/relationships/hyperlink" Target="https://www.transfermarkt.co.uk/junior-ogedi-uzokwe/marktwertverlauf/spieler/411123" TargetMode="External"/><Relationship Id="rId63" Type="http://schemas.openxmlformats.org/officeDocument/2006/relationships/hyperlink" Target="https://www.transfermarkt.co.uk/dan-pike/marktwertverlauf/spieler/503787" TargetMode="External"/><Relationship Id="rId66" Type="http://schemas.openxmlformats.org/officeDocument/2006/relationships/hyperlink" Target="https://www.transfermarkt.co.uk/scott-high/marktwertverlauf/spieler/728982" TargetMode="External"/><Relationship Id="rId65" Type="http://schemas.openxmlformats.org/officeDocument/2006/relationships/hyperlink" Target="https://www.transfermarkt.co.uk/koen-oostenbrink/marktwertverlauf/spieler/461251" TargetMode="External"/><Relationship Id="rId68" Type="http://schemas.openxmlformats.org/officeDocument/2006/relationships/hyperlink" Target="https://www.transfermarkt.co.uk/paul-doyle/marktwertverlauf/spieler/438985" TargetMode="External"/><Relationship Id="rId67" Type="http://schemas.openxmlformats.org/officeDocument/2006/relationships/hyperlink" Target="https://www.transfermarkt.co.uk/greg-sloggett/marktwertverlauf/spieler/326500" TargetMode="External"/><Relationship Id="rId60" Type="http://schemas.openxmlformats.org/officeDocument/2006/relationships/hyperlink" Target="https://www.transfermarkt.co.uk/robbie-mccourt/marktwertverlauf/spieler/293786" TargetMode="External"/><Relationship Id="rId69" Type="http://schemas.openxmlformats.org/officeDocument/2006/relationships/hyperlink" Target="https://www.transfermarkt.co.uk/scott-mcgill/marktwertverlauf/spieler/567128" TargetMode="External"/><Relationship Id="rId51" Type="http://schemas.openxmlformats.org/officeDocument/2006/relationships/hyperlink" Target="https://www.transfermarkt.co.uk/regan-donelon/marktwertverlauf/spieler/326010" TargetMode="External"/><Relationship Id="rId50" Type="http://schemas.openxmlformats.org/officeDocument/2006/relationships/hyperlink" Target="https://www.transfermarkt.co.uk/andy-boyle/marktwertverlauf/spieler/136169" TargetMode="External"/><Relationship Id="rId53" Type="http://schemas.openxmlformats.org/officeDocument/2006/relationships/hyperlink" Target="https://www.transfermarkt.co.uk/louie-annesley/marktwertverlauf/spieler/405563" TargetMode="External"/><Relationship Id="rId52" Type="http://schemas.openxmlformats.org/officeDocument/2006/relationships/hyperlink" Target="https://www.transfermarkt.co.uk/darragh-leahy/marktwertverlauf/spieler/325206" TargetMode="External"/><Relationship Id="rId55" Type="http://schemas.openxmlformats.org/officeDocument/2006/relationships/hyperlink" Target="https://www.transfermarkt.co.uk/mayowa-animasahun/marktwertverlauf/spieler/888899" TargetMode="External"/><Relationship Id="rId54" Type="http://schemas.openxmlformats.org/officeDocument/2006/relationships/hyperlink" Target="https://www.transfermarkt.co.uk/jeannot-esua/marktwertverlauf/spieler/512691" TargetMode="External"/><Relationship Id="rId57" Type="http://schemas.openxmlformats.org/officeDocument/2006/relationships/hyperlink" Target="https://www.transfermarkt.co.uk/jimmy-keohane/marktwertverlauf/spieler/136179" TargetMode="External"/><Relationship Id="rId56" Type="http://schemas.openxmlformats.org/officeDocument/2006/relationships/hyperlink" Target="https://www.transfermarkt.co.uk/colm-horgan/marktwertverlauf/spieler/183162" TargetMode="External"/><Relationship Id="rId59" Type="http://schemas.openxmlformats.org/officeDocument/2006/relationships/hyperlink" Target="https://www.transfermarkt.co.uk/vincent-borden/marktwertverlauf/spieler/887905" TargetMode="External"/><Relationship Id="rId58" Type="http://schemas.openxmlformats.org/officeDocument/2006/relationships/hyperlink" Target="https://www.transfermarkt.co.uk/aodh-dervin/marktwertverlauf/spieler/498175" TargetMode="External"/><Relationship Id="rId107" Type="http://schemas.openxmlformats.org/officeDocument/2006/relationships/hyperlink" Target="https://www.transfermarkt.co.uk/shane-farrell/marktwertverlauf/spieler/567574" TargetMode="External"/><Relationship Id="rId106" Type="http://schemas.openxmlformats.org/officeDocument/2006/relationships/hyperlink" Target="https://www.transfermarkt.co.uk/kailin-barlow/marktwertverlauf/spieler/724542" TargetMode="External"/><Relationship Id="rId105" Type="http://schemas.openxmlformats.org/officeDocument/2006/relationships/hyperlink" Target="https://www.transfermarkt.co.uk/stefan-radosavljevic/marktwertverlauf/spieler/470505" TargetMode="External"/><Relationship Id="rId104" Type="http://schemas.openxmlformats.org/officeDocument/2006/relationships/hyperlink" Target="https://www.transfermarkt.co.uk/jj-lunney/marktwertverlauf/spieler/293782" TargetMode="External"/><Relationship Id="rId109" Type="http://schemas.openxmlformats.org/officeDocument/2006/relationships/hyperlink" Target="https://www.transfermarkt.co.uk/will-fitzgerald/marktwertverlauf/spieler/546159" TargetMode="External"/><Relationship Id="rId108" Type="http://schemas.openxmlformats.org/officeDocument/2006/relationships/hyperlink" Target="https://www.transfermarkt.co.uk/mark-coyle/marktwertverlauf/spieler/343599" TargetMode="External"/><Relationship Id="rId103" Type="http://schemas.openxmlformats.org/officeDocument/2006/relationships/hyperlink" Target="https://www.transfermarkt.co.uk/ellis-chapman/marktwertverlauf/spieler/508343" TargetMode="External"/><Relationship Id="rId102" Type="http://schemas.openxmlformats.org/officeDocument/2006/relationships/hyperlink" Target="https://www.transfermarkt.co.uk/sean-gannon/marktwertverlauf/spieler/184670" TargetMode="External"/><Relationship Id="rId101" Type="http://schemas.openxmlformats.org/officeDocument/2006/relationships/hyperlink" Target="https://www.transfermarkt.co.uk/simon-power/marktwertverlauf/spieler/392860" TargetMode="External"/><Relationship Id="rId100" Type="http://schemas.openxmlformats.org/officeDocument/2006/relationships/hyperlink" Target="https://www.transfermarkt.co.uk/shane-griffin/marktwertverlauf/spieler/241905" TargetMode="External"/><Relationship Id="rId127" Type="http://schemas.openxmlformats.org/officeDocument/2006/relationships/drawing" Target="../drawings/drawing6.xml"/><Relationship Id="rId126" Type="http://schemas.openxmlformats.org/officeDocument/2006/relationships/hyperlink" Target="https://www.transfermarkt.co.uk/gavin-hodgins/marktwertverlauf/spieler/944139" TargetMode="External"/><Relationship Id="rId121" Type="http://schemas.openxmlformats.org/officeDocument/2006/relationships/hyperlink" Target="https://www.transfermarkt.co.uk/rayhaan-tulloch/marktwertverlauf/spieler/433184" TargetMode="External"/><Relationship Id="rId120" Type="http://schemas.openxmlformats.org/officeDocument/2006/relationships/hyperlink" Target="https://www.transfermarkt.co.uk/aiden-obrien/marktwertverlauf/spieler/148908" TargetMode="External"/><Relationship Id="rId125" Type="http://schemas.openxmlformats.org/officeDocument/2006/relationships/hyperlink" Target="https://www.transfermarkt.co.uk/dean-williams/marktwertverlauf/spieler/620402" TargetMode="External"/><Relationship Id="rId124" Type="http://schemas.openxmlformats.org/officeDocument/2006/relationships/hyperlink" Target="https://www.transfermarkt.co.uk/john-martin/marktwertverlauf/spieler/504115" TargetMode="External"/><Relationship Id="rId123" Type="http://schemas.openxmlformats.org/officeDocument/2006/relationships/hyperlink" Target="https://www.transfermarkt.co.uk/sean-boyd/marktwertverlauf/spieler/379347" TargetMode="External"/><Relationship Id="rId122" Type="http://schemas.openxmlformats.org/officeDocument/2006/relationships/hyperlink" Target="https://www.transfermarkt.co.uk/matty-smith/marktwertverlauf/spieler/326587" TargetMode="External"/><Relationship Id="rId95" Type="http://schemas.openxmlformats.org/officeDocument/2006/relationships/hyperlink" Target="https://www.transfermarkt.co.uk/gavin-molloy/marktwertverlauf/spieler/728478" TargetMode="External"/><Relationship Id="rId94" Type="http://schemas.openxmlformats.org/officeDocument/2006/relationships/hyperlink" Target="https://www.transfermarkt.co.uk/reece-hutchinson/marktwertverlauf/spieler/578937" TargetMode="External"/><Relationship Id="rId97" Type="http://schemas.openxmlformats.org/officeDocument/2006/relationships/hyperlink" Target="https://www.transfermarkt.co.uk/niall-morahan/marktwertverlauf/spieler/585658" TargetMode="External"/><Relationship Id="rId96" Type="http://schemas.openxmlformats.org/officeDocument/2006/relationships/hyperlink" Target="https://www.transfermarkt.co.uk/john-ross-wilson/marktwertverlauf/spieler/539577" TargetMode="External"/><Relationship Id="rId99" Type="http://schemas.openxmlformats.org/officeDocument/2006/relationships/hyperlink" Target="https://www.transfermarkt.co.uk/connor-malley/marktwertverlauf/spieler/485998" TargetMode="External"/><Relationship Id="rId98" Type="http://schemas.openxmlformats.org/officeDocument/2006/relationships/hyperlink" Target="https://www.transfermarkt.co.uk/tyreke-wilson/marktwertverlauf/spieler/357671" TargetMode="External"/><Relationship Id="rId91" Type="http://schemas.openxmlformats.org/officeDocument/2006/relationships/hyperlink" Target="https://www.transfermarkt.co.uk/sam-bone/marktwertverlauf/spieler/495178" TargetMode="External"/><Relationship Id="rId90" Type="http://schemas.openxmlformats.org/officeDocument/2006/relationships/hyperlink" Target="https://www.transfermarkt.co.uk/john-mahon/marktwertverlauf/spieler/491216" TargetMode="External"/><Relationship Id="rId93" Type="http://schemas.openxmlformats.org/officeDocument/2006/relationships/hyperlink" Target="https://www.transfermarkt.co.uk/paddy-barrett/marktwertverlauf/spieler/122736" TargetMode="External"/><Relationship Id="rId92" Type="http://schemas.openxmlformats.org/officeDocument/2006/relationships/hyperlink" Target="https://www.transfermarkt.co.uk/kameron-ledwidge/marktwertverlauf/spieler/434221" TargetMode="External"/><Relationship Id="rId118" Type="http://schemas.openxmlformats.org/officeDocument/2006/relationships/hyperlink" Target="https://www.transfermarkt.co.uk/jad-hakiki/marktwertverlauf/spieler/967162" TargetMode="External"/><Relationship Id="rId117" Type="http://schemas.openxmlformats.org/officeDocument/2006/relationships/hyperlink" Target="https://www.transfermarkt.co.uk/ali-coote/marktwertverlauf/spieler/285282" TargetMode="External"/><Relationship Id="rId116" Type="http://schemas.openxmlformats.org/officeDocument/2006/relationships/hyperlink" Target="https://www.transfermarkt.co.uk/evan-caffrey/marktwertverlauf/spieler/745722" TargetMode="External"/><Relationship Id="rId115" Type="http://schemas.openxmlformats.org/officeDocument/2006/relationships/hyperlink" Target="https://www.transfermarkt.co.uk/rein-smit/marktwertverlauf/spieler/477979" TargetMode="External"/><Relationship Id="rId119" Type="http://schemas.openxmlformats.org/officeDocument/2006/relationships/hyperlink" Target="https://www.transfermarkt.co.uk/keith-ward/marktwertverlauf/spieler/96521" TargetMode="External"/><Relationship Id="rId110" Type="http://schemas.openxmlformats.org/officeDocument/2006/relationships/hyperlink" Target="https://www.transfermarkt.co.uk/stephen-mallon/marktwertverlauf/spieler/324493" TargetMode="External"/><Relationship Id="rId114" Type="http://schemas.openxmlformats.org/officeDocument/2006/relationships/hyperlink" Target="https://www.transfermarkt.co.uk/john-osullivan/marktwertverlauf/spieler/173592" TargetMode="External"/><Relationship Id="rId113" Type="http://schemas.openxmlformats.org/officeDocument/2006/relationships/hyperlink" Target="https://www.transfermarkt.co.uk/max-mata/marktwertverlauf/spieler/408965" TargetMode="External"/><Relationship Id="rId112" Type="http://schemas.openxmlformats.org/officeDocument/2006/relationships/hyperlink" Target="https://www.transfermarkt.co.uk/liam-burt/marktwertverlauf/spieler/297241" TargetMode="External"/><Relationship Id="rId111" Type="http://schemas.openxmlformats.org/officeDocument/2006/relationships/hyperlink" Target="https://www.transfermarkt.co.uk/fabrice-hartmann/marktwertverlauf/spieler/405685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nsfermarkt.co.uk/garry-buckley/marktwertverlauf/spieler/225100" TargetMode="External"/><Relationship Id="rId42" Type="http://schemas.openxmlformats.org/officeDocument/2006/relationships/hyperlink" Target="https://www.transfermarkt.co.uk/gavin-molloy/marktwertverlauf/spieler/728478" TargetMode="External"/><Relationship Id="rId41" Type="http://schemas.openxmlformats.org/officeDocument/2006/relationships/hyperlink" Target="https://www.transfermarkt.co.uk/gavin-hodgins/marktwertverlauf/spieler/944139" TargetMode="External"/><Relationship Id="rId44" Type="http://schemas.openxmlformats.org/officeDocument/2006/relationships/hyperlink" Target="https://www.transfermarkt.co.uk/greg-cunningham/marktwertverlauf/spieler/114093" TargetMode="External"/><Relationship Id="rId43" Type="http://schemas.openxmlformats.org/officeDocument/2006/relationships/hyperlink" Target="https://www.transfermarkt.co.uk/grant-horton/marktwertverlauf/spieler/698896" TargetMode="External"/><Relationship Id="rId46" Type="http://schemas.openxmlformats.org/officeDocument/2006/relationships/hyperlink" Target="https://www.transfermarkt.co.uk/harvey-macadam/marktwertverlauf/spieler/970393" TargetMode="External"/><Relationship Id="rId45" Type="http://schemas.openxmlformats.org/officeDocument/2006/relationships/hyperlink" Target="https://www.transfermarkt.co.uk/greg-sloggett/marktwertverlauf/spieler/326500" TargetMode="External"/><Relationship Id="rId48" Type="http://schemas.openxmlformats.org/officeDocument/2006/relationships/hyperlink" Target="https://www.transfermarkt.co.uk/jacob-davenport/marktwertverlauf/spieler/380914" TargetMode="External"/><Relationship Id="rId47" Type="http://schemas.openxmlformats.org/officeDocument/2006/relationships/hyperlink" Target="https://www.transfermarkt.co.uk/hayden-muller/marktwertverlauf/spieler/746095" TargetMode="External"/><Relationship Id="rId49" Type="http://schemas.openxmlformats.org/officeDocument/2006/relationships/hyperlink" Target="https://www.transfermarkt.co.uk/jad-hakiki/marktwertverlauf/spieler/967162" TargetMode="External"/><Relationship Id="rId31" Type="http://schemas.openxmlformats.org/officeDocument/2006/relationships/hyperlink" Target="https://www.transfermarkt.co.uk/darragh-leahy/marktwertverlauf/spieler/325206" TargetMode="External"/><Relationship Id="rId30" Type="http://schemas.openxmlformats.org/officeDocument/2006/relationships/hyperlink" Target="https://www.transfermarkt.co.uk/dara-keane/marktwertverlauf/spieler/458632" TargetMode="External"/><Relationship Id="rId33" Type="http://schemas.openxmlformats.org/officeDocument/2006/relationships/hyperlink" Target="https://www.transfermarkt.co.uk/daryl-horgan/marktwertverlauf/spieler/178139" TargetMode="External"/><Relationship Id="rId32" Type="http://schemas.openxmlformats.org/officeDocument/2006/relationships/hyperlink" Target="https://www.transfermarkt.co.uk/darragh-leahy/marktwertverlauf/spieler/325206" TargetMode="External"/><Relationship Id="rId35" Type="http://schemas.openxmlformats.org/officeDocument/2006/relationships/hyperlink" Target="https://www.transfermarkt.co.uk/dean-williams/marktwertverlauf/spieler/620402" TargetMode="External"/><Relationship Id="rId34" Type="http://schemas.openxmlformats.org/officeDocument/2006/relationships/hyperlink" Target="https://www.transfermarkt.co.uk/dean-mcmenamy/marktwertverlauf/spieler/745727" TargetMode="External"/><Relationship Id="rId37" Type="http://schemas.openxmlformats.org/officeDocument/2006/relationships/hyperlink" Target="https://www.transfermarkt.co.uk/ellis-chapman/marktwertverlauf/spieler/508343" TargetMode="External"/><Relationship Id="rId36" Type="http://schemas.openxmlformats.org/officeDocument/2006/relationships/hyperlink" Target="https://www.transfermarkt.co.uk/ed-mcginty/marktwertverlauf/spieler/478712" TargetMode="External"/><Relationship Id="rId39" Type="http://schemas.openxmlformats.org/officeDocument/2006/relationships/hyperlink" Target="https://www.transfermarkt.co.uk/fabrice-hartmann/marktwertverlauf/spieler/405685" TargetMode="External"/><Relationship Id="rId38" Type="http://schemas.openxmlformats.org/officeDocument/2006/relationships/hyperlink" Target="https://www.transfermarkt.co.uk/evan-caffrey/marktwertverlauf/spieler/745722" TargetMode="External"/><Relationship Id="rId20" Type="http://schemas.openxmlformats.org/officeDocument/2006/relationships/hyperlink" Target="https://www.transfermarkt.co.uk/ciaron-harkin/marktwertverlauf/spieler/367153" TargetMode="External"/><Relationship Id="rId22" Type="http://schemas.openxmlformats.org/officeDocument/2006/relationships/hyperlink" Target="https://www.transfermarkt.co.uk/colm-whelan/marktwertverlauf/spieler/535670" TargetMode="External"/><Relationship Id="rId21" Type="http://schemas.openxmlformats.org/officeDocument/2006/relationships/hyperlink" Target="https://www.transfermarkt.co.uk/colm-horgan/marktwertverlauf/spieler/183162" TargetMode="External"/><Relationship Id="rId24" Type="http://schemas.openxmlformats.org/officeDocument/2006/relationships/hyperlink" Target="https://www.transfermarkt.co.uk/connor-malley/marktwertverlauf/spieler/485998" TargetMode="External"/><Relationship Id="rId23" Type="http://schemas.openxmlformats.org/officeDocument/2006/relationships/hyperlink" Target="https://www.transfermarkt.co.uk/connor-malley/marktwertverlauf/spieler/485998" TargetMode="External"/><Relationship Id="rId26" Type="http://schemas.openxmlformats.org/officeDocument/2006/relationships/hyperlink" Target="https://www.transfermarkt.co.uk/dan-pike/marktwertverlauf/spieler/503787" TargetMode="External"/><Relationship Id="rId25" Type="http://schemas.openxmlformats.org/officeDocument/2006/relationships/hyperlink" Target="https://www.transfermarkt.co.uk/connor-parsons/marktwertverlauf/spieler/504198" TargetMode="External"/><Relationship Id="rId28" Type="http://schemas.openxmlformats.org/officeDocument/2006/relationships/hyperlink" Target="https://www.transfermarkt.co.uk/daniel-kelly/marktwertverlauf/spieler/567749" TargetMode="External"/><Relationship Id="rId27" Type="http://schemas.openxmlformats.org/officeDocument/2006/relationships/hyperlink" Target="https://www.transfermarkt.co.uk/daniel-kelly/marktwertverlauf/spieler/567749" TargetMode="External"/><Relationship Id="rId29" Type="http://schemas.openxmlformats.org/officeDocument/2006/relationships/hyperlink" Target="https://www.transfermarkt.co.uk/danny-mullen/marktwertverlauf/spieler/238288" TargetMode="External"/><Relationship Id="rId11" Type="http://schemas.openxmlformats.org/officeDocument/2006/relationships/hyperlink" Target="https://www.transfermarkt.co.uk/bobby-burns/marktwertverlauf/spieler/386942" TargetMode="External"/><Relationship Id="rId10" Type="http://schemas.openxmlformats.org/officeDocument/2006/relationships/hyperlink" Target="https://www.transfermarkt.co.uk/ben-mccormack/marktwertverlauf/spieler/724534" TargetMode="External"/><Relationship Id="rId13" Type="http://schemas.openxmlformats.org/officeDocument/2006/relationships/hyperlink" Target="https://www.transfermarkt.co.uk/brendan-clarke/marktwertverlauf/spieler/29874" TargetMode="External"/><Relationship Id="rId12" Type="http://schemas.openxmlformats.org/officeDocument/2006/relationships/hyperlink" Target="https://www.transfermarkt.co.uk/brandon-kavanagh/marktwertverlauf/spieler/469065" TargetMode="External"/><Relationship Id="rId15" Type="http://schemas.openxmlformats.org/officeDocument/2006/relationships/hyperlink" Target="https://www.transfermarkt.co.uk/cameron-cresswell/marktwertverlauf/spieler/453972" TargetMode="External"/><Relationship Id="rId14" Type="http://schemas.openxmlformats.org/officeDocument/2006/relationships/hyperlink" Target="https://www.transfermarkt.co.uk/brian-maher/marktwertverlauf/spieler/434205" TargetMode="External"/><Relationship Id="rId17" Type="http://schemas.openxmlformats.org/officeDocument/2006/relationships/hyperlink" Target="https://www.transfermarkt.co.uk/cameron-mcjannett/marktwertverlauf/spieler/425715" TargetMode="External"/><Relationship Id="rId16" Type="http://schemas.openxmlformats.org/officeDocument/2006/relationships/hyperlink" Target="https://www.transfermarkt.co.uk/cameron-dummigan/marktwertverlauf/spieler/248576" TargetMode="External"/><Relationship Id="rId19" Type="http://schemas.openxmlformats.org/officeDocument/2006/relationships/hyperlink" Target="https://www.transfermarkt.co.uk/ciaran-coll/marktwertverlauf/spieler/185571" TargetMode="External"/><Relationship Id="rId18" Type="http://schemas.openxmlformats.org/officeDocument/2006/relationships/hyperlink" Target="https://www.transfermarkt.co.uk/cian-kavanagh/marktwertverlauf/spieler/701072" TargetMode="External"/><Relationship Id="rId84" Type="http://schemas.openxmlformats.org/officeDocument/2006/relationships/hyperlink" Target="https://www.transfermarkt.co.uk/norman-garbett/marktwertverlauf/spieler/878241" TargetMode="External"/><Relationship Id="rId83" Type="http://schemas.openxmlformats.org/officeDocument/2006/relationships/hyperlink" Target="https://www.transfermarkt.co.uk/niall-morahan/marktwertverlauf/spieler/585658" TargetMode="External"/><Relationship Id="rId86" Type="http://schemas.openxmlformats.org/officeDocument/2006/relationships/hyperlink" Target="https://www.transfermarkt.co.uk/paddy-barrett/marktwertverlauf/spieler/122736" TargetMode="External"/><Relationship Id="rId85" Type="http://schemas.openxmlformats.org/officeDocument/2006/relationships/hyperlink" Target="https://www.transfermarkt.co.uk/ollie-denham/marktwertverlauf/spieler/596215" TargetMode="External"/><Relationship Id="rId88" Type="http://schemas.openxmlformats.org/officeDocument/2006/relationships/hyperlink" Target="https://www.transfermarkt.co.uk/pat-hoban/marktwertverlauf/spieler/158951" TargetMode="External"/><Relationship Id="rId87" Type="http://schemas.openxmlformats.org/officeDocument/2006/relationships/hyperlink" Target="https://www.transfermarkt.co.uk/pat-hoban/marktwertverlauf/spieler/158951" TargetMode="External"/><Relationship Id="rId89" Type="http://schemas.openxmlformats.org/officeDocument/2006/relationships/hyperlink" Target="https://www.transfermarkt.co.uk/patrick-mceleney/marktwertverlauf/spieler/121337" TargetMode="External"/><Relationship Id="rId80" Type="http://schemas.openxmlformats.org/officeDocument/2006/relationships/hyperlink" Target="https://www.transfermarkt.co.uk/michael-duffy/marktwertverlauf/spieler/232068" TargetMode="External"/><Relationship Id="rId82" Type="http://schemas.openxmlformats.org/officeDocument/2006/relationships/hyperlink" Target="https://www.transfermarkt.co.uk/nathan-shepperd/marktwertverlauf/spieler/505040" TargetMode="External"/><Relationship Id="rId81" Type="http://schemas.openxmlformats.org/officeDocument/2006/relationships/hyperlink" Target="https://www.transfermarkt.co.uk/nando-pijnaker/marktwertverlauf/spieler/455425" TargetMode="External"/><Relationship Id="rId1" Type="http://schemas.openxmlformats.org/officeDocument/2006/relationships/hyperlink" Target="https://www.transfermarkt.co.uk/adam-oreilly/marktwertverlauf/spieler/552652" TargetMode="External"/><Relationship Id="rId2" Type="http://schemas.openxmlformats.org/officeDocument/2006/relationships/hyperlink" Target="https://www.transfermarkt.co.uk/aiden-obrien/marktwertverlauf/spieler/148908" TargetMode="External"/><Relationship Id="rId3" Type="http://schemas.openxmlformats.org/officeDocument/2006/relationships/hyperlink" Target="https://www.transfermarkt.co.uk/alfie-lewis/marktwertverlauf/spieler/423571" TargetMode="External"/><Relationship Id="rId4" Type="http://schemas.openxmlformats.org/officeDocument/2006/relationships/hyperlink" Target="https://www.transfermarkt.co.uk/ali-coote/marktwertverlauf/spieler/285282" TargetMode="External"/><Relationship Id="rId9" Type="http://schemas.openxmlformats.org/officeDocument/2006/relationships/hyperlink" Target="https://www.transfermarkt.co.uk/ben-doherty/marktwertverlauf/spieler/453993" TargetMode="External"/><Relationship Id="rId5" Type="http://schemas.openxmlformats.org/officeDocument/2006/relationships/hyperlink" Target="https://www.transfermarkt.co.uk/andre-wisdom/marktwertverlauf/spieler/128912" TargetMode="External"/><Relationship Id="rId6" Type="http://schemas.openxmlformats.org/officeDocument/2006/relationships/hyperlink" Target="https://www.transfermarkt.co.uk/andy-boyle/marktwertverlauf/spieler/136169" TargetMode="External"/><Relationship Id="rId7" Type="http://schemas.openxmlformats.org/officeDocument/2006/relationships/hyperlink" Target="https://www.transfermarkt.co.uk/aodh-dervin/marktwertverlauf/spieler/498175" TargetMode="External"/><Relationship Id="rId8" Type="http://schemas.openxmlformats.org/officeDocument/2006/relationships/hyperlink" Target="https://www.transfermarkt.co.uk/aodh-dervin/marktwertverlauf/spieler/498175" TargetMode="External"/><Relationship Id="rId73" Type="http://schemas.openxmlformats.org/officeDocument/2006/relationships/hyperlink" Target="https://www.transfermarkt.co.uk/louie-annesley/marktwertverlauf/spieler/405563" TargetMode="External"/><Relationship Id="rId72" Type="http://schemas.openxmlformats.org/officeDocument/2006/relationships/hyperlink" Target="https://www.transfermarkt.co.uk/lorcan-healy/marktwertverlauf/spieler/562865" TargetMode="External"/><Relationship Id="rId75" Type="http://schemas.openxmlformats.org/officeDocument/2006/relationships/hyperlink" Target="https://www.transfermarkt.co.uk/mark-connolly/marktwertverlauf/spieler/128285" TargetMode="External"/><Relationship Id="rId74" Type="http://schemas.openxmlformats.org/officeDocument/2006/relationships/hyperlink" Target="https://www.transfermarkt.co.uk/maleace-asamoah/marktwertverlauf/spieler/939272" TargetMode="External"/><Relationship Id="rId77" Type="http://schemas.openxmlformats.org/officeDocument/2006/relationships/hyperlink" Target="https://www.transfermarkt.co.uk/matty-smith/marktwertverlauf/spieler/326587" TargetMode="External"/><Relationship Id="rId76" Type="http://schemas.openxmlformats.org/officeDocument/2006/relationships/hyperlink" Target="https://www.transfermarkt.co.uk/mark-coyle/marktwertverlauf/spieler/343599" TargetMode="External"/><Relationship Id="rId79" Type="http://schemas.openxmlformats.org/officeDocument/2006/relationships/hyperlink" Target="https://www.transfermarkt.co.uk/mayowa-animasahun/marktwertverlauf/spieler/888899" TargetMode="External"/><Relationship Id="rId78" Type="http://schemas.openxmlformats.org/officeDocument/2006/relationships/hyperlink" Target="https://www.transfermarkt.co.uk/max-mata/marktwertverlauf/spieler/408965" TargetMode="External"/><Relationship Id="rId71" Type="http://schemas.openxmlformats.org/officeDocument/2006/relationships/hyperlink" Target="https://www.transfermarkt.co.uk/liam-burt/marktwertverlauf/spieler/297241" TargetMode="External"/><Relationship Id="rId70" Type="http://schemas.openxmlformats.org/officeDocument/2006/relationships/hyperlink" Target="https://www.transfermarkt.co.uk/koen-oostenbrink/marktwertverlauf/spieler/461251" TargetMode="External"/><Relationship Id="rId62" Type="http://schemas.openxmlformats.org/officeDocument/2006/relationships/hyperlink" Target="https://www.transfermarkt.co.uk/john-ross-wilson/marktwertverlauf/spieler/539577" TargetMode="External"/><Relationship Id="rId61" Type="http://schemas.openxmlformats.org/officeDocument/2006/relationships/hyperlink" Target="https://www.transfermarkt.co.uk/john-osullivan/marktwertverlauf/spieler/173592" TargetMode="External"/><Relationship Id="rId64" Type="http://schemas.openxmlformats.org/officeDocument/2006/relationships/hyperlink" Target="https://www.transfermarkt.co.uk/junior-ogedi-uzokwe/marktwertverlauf/spieler/411123" TargetMode="External"/><Relationship Id="rId63" Type="http://schemas.openxmlformats.org/officeDocument/2006/relationships/hyperlink" Target="https://www.transfermarkt.co.uk/jordan-mceneff/marktwertverlauf/spieler/549569" TargetMode="External"/><Relationship Id="rId66" Type="http://schemas.openxmlformats.org/officeDocument/2006/relationships/hyperlink" Target="https://www.transfermarkt.co.uk/kailin-barlow/marktwertverlauf/spieler/724542" TargetMode="External"/><Relationship Id="rId65" Type="http://schemas.openxmlformats.org/officeDocument/2006/relationships/hyperlink" Target="https://www.transfermarkt.co.uk/kacper-radkowski/marktwertverlauf/spieler/621567" TargetMode="External"/><Relationship Id="rId68" Type="http://schemas.openxmlformats.org/officeDocument/2006/relationships/hyperlink" Target="https://www.transfermarkt.co.uk/karl-osullivan/marktwertverlauf/spieler/548940" TargetMode="External"/><Relationship Id="rId67" Type="http://schemas.openxmlformats.org/officeDocument/2006/relationships/hyperlink" Target="https://www.transfermarkt.co.uk/kameron-ledwidge/marktwertverlauf/spieler/434221" TargetMode="External"/><Relationship Id="rId60" Type="http://schemas.openxmlformats.org/officeDocument/2006/relationships/hyperlink" Target="https://www.transfermarkt.co.uk/john-mountney/marktwertverlauf/spieler/188539" TargetMode="External"/><Relationship Id="rId69" Type="http://schemas.openxmlformats.org/officeDocument/2006/relationships/hyperlink" Target="https://www.transfermarkt.co.uk/keith-ward/marktwertverlauf/spieler/96521" TargetMode="External"/><Relationship Id="rId51" Type="http://schemas.openxmlformats.org/officeDocument/2006/relationships/hyperlink" Target="https://www.transfermarkt.co.uk/jamie-gullan/marktwertverlauf/spieler/346643" TargetMode="External"/><Relationship Id="rId50" Type="http://schemas.openxmlformats.org/officeDocument/2006/relationships/hyperlink" Target="https://www.transfermarkt.co.uk/jad-hakiki/marktwertverlauf/spieler/967162" TargetMode="External"/><Relationship Id="rId53" Type="http://schemas.openxmlformats.org/officeDocument/2006/relationships/hyperlink" Target="https://www.transfermarkt.co.uk/jeannot-esua/marktwertverlauf/spieler/512691" TargetMode="External"/><Relationship Id="rId52" Type="http://schemas.openxmlformats.org/officeDocument/2006/relationships/hyperlink" Target="https://www.transfermarkt.co.uk/jamie-mcgonigle/marktwertverlauf/spieler/355376" TargetMode="External"/><Relationship Id="rId55" Type="http://schemas.openxmlformats.org/officeDocument/2006/relationships/hyperlink" Target="https://www.transfermarkt.co.uk/jj-lunney/marktwertverlauf/spieler/293782" TargetMode="External"/><Relationship Id="rId54" Type="http://schemas.openxmlformats.org/officeDocument/2006/relationships/hyperlink" Target="https://www.transfermarkt.co.uk/jimmy-keohane/marktwertverlauf/spieler/136179" TargetMode="External"/><Relationship Id="rId57" Type="http://schemas.openxmlformats.org/officeDocument/2006/relationships/hyperlink" Target="https://www.transfermarkt.co.uk/john-mahon/marktwertverlauf/spieler/491216" TargetMode="External"/><Relationship Id="rId56" Type="http://schemas.openxmlformats.org/officeDocument/2006/relationships/hyperlink" Target="https://www.transfermarkt.co.uk/johannes-yli-kokko/marktwertverlauf/spieler/622439" TargetMode="External"/><Relationship Id="rId59" Type="http://schemas.openxmlformats.org/officeDocument/2006/relationships/hyperlink" Target="https://www.transfermarkt.co.uk/john-martin/marktwertverlauf/spieler/504115" TargetMode="External"/><Relationship Id="rId58" Type="http://schemas.openxmlformats.org/officeDocument/2006/relationships/hyperlink" Target="https://www.transfermarkt.co.uk/john-martin/marktwertverlauf/spieler/504115" TargetMode="External"/><Relationship Id="rId107" Type="http://schemas.openxmlformats.org/officeDocument/2006/relationships/hyperlink" Target="https://www.transfermarkt.co.uk/sadou-diallo/marktwertverlauf/spieler/314365" TargetMode="External"/><Relationship Id="rId106" Type="http://schemas.openxmlformats.org/officeDocument/2006/relationships/hyperlink" Target="https://www.transfermarkt.co.uk/ryan-okane/marktwertverlauf/spieler/693750" TargetMode="External"/><Relationship Id="rId105" Type="http://schemas.openxmlformats.org/officeDocument/2006/relationships/hyperlink" Target="https://www.transfermarkt.co.uk/ryan-burke/marktwertverlauf/spieler/434217" TargetMode="External"/><Relationship Id="rId104" Type="http://schemas.openxmlformats.org/officeDocument/2006/relationships/hyperlink" Target="https://www.transfermarkt.co.uk/ross-munro/marktwertverlauf/spieler/425496" TargetMode="External"/><Relationship Id="rId109" Type="http://schemas.openxmlformats.org/officeDocument/2006/relationships/hyperlink" Target="https://www.transfermarkt.co.uk/sam-glenfield/marktwertverlauf/spieler/825071" TargetMode="External"/><Relationship Id="rId108" Type="http://schemas.openxmlformats.org/officeDocument/2006/relationships/hyperlink" Target="https://www.transfermarkt.co.uk/sam-bone/marktwertverlauf/spieler/495178" TargetMode="External"/><Relationship Id="rId103" Type="http://schemas.openxmlformats.org/officeDocument/2006/relationships/hyperlink" Target="https://www.transfermarkt.co.uk/ronan-boyce/marktwertverlauf/spieler/718846" TargetMode="External"/><Relationship Id="rId102" Type="http://schemas.openxmlformats.org/officeDocument/2006/relationships/hyperlink" Target="https://www.transfermarkt.co.uk/robbie-mccourt/marktwertverlauf/spieler/293786" TargetMode="External"/><Relationship Id="rId101" Type="http://schemas.openxmlformats.org/officeDocument/2006/relationships/hyperlink" Target="https://www.transfermarkt.co.uk/robbie-mccourt/marktwertverlauf/spieler/293786" TargetMode="External"/><Relationship Id="rId100" Type="http://schemas.openxmlformats.org/officeDocument/2006/relationships/hyperlink" Target="https://www.transfermarkt.co.uk/robbie-mahon/marktwertverlauf/spieler/724535" TargetMode="External"/><Relationship Id="rId126" Type="http://schemas.openxmlformats.org/officeDocument/2006/relationships/drawing" Target="../drawings/drawing7.xml"/><Relationship Id="rId121" Type="http://schemas.openxmlformats.org/officeDocument/2006/relationships/hyperlink" Target="https://www.transfermarkt.co.uk/tadhg-ryan/marktwertverlauf/spieler/566820" TargetMode="External"/><Relationship Id="rId120" Type="http://schemas.openxmlformats.org/officeDocument/2006/relationships/hyperlink" Target="https://www.transfermarkt.co.uk/stephen-mallon/marktwertverlauf/spieler/324493" TargetMode="External"/><Relationship Id="rId125" Type="http://schemas.openxmlformats.org/officeDocument/2006/relationships/hyperlink" Target="https://www.transfermarkt.co.uk/will-patching/marktwertverlauf/spieler/314297" TargetMode="External"/><Relationship Id="rId124" Type="http://schemas.openxmlformats.org/officeDocument/2006/relationships/hyperlink" Target="https://www.transfermarkt.co.uk/will-fitzgerald/marktwertverlauf/spieler/546159" TargetMode="External"/><Relationship Id="rId123" Type="http://schemas.openxmlformats.org/officeDocument/2006/relationships/hyperlink" Target="https://www.transfermarkt.co.uk/vincent-borden/marktwertverlauf/spieler/887905" TargetMode="External"/><Relationship Id="rId122" Type="http://schemas.openxmlformats.org/officeDocument/2006/relationships/hyperlink" Target="https://www.transfermarkt.co.uk/tyreke-wilson/marktwertverlauf/spieler/357671" TargetMode="External"/><Relationship Id="rId95" Type="http://schemas.openxmlformats.org/officeDocument/2006/relationships/hyperlink" Target="https://www.transfermarkt.co.uk/regan-donelon/marktwertverlauf/spieler/326010" TargetMode="External"/><Relationship Id="rId94" Type="http://schemas.openxmlformats.org/officeDocument/2006/relationships/hyperlink" Target="https://www.transfermarkt.co.uk/reece-hutchinson/marktwertverlauf/spieler/578937" TargetMode="External"/><Relationship Id="rId97" Type="http://schemas.openxmlformats.org/officeDocument/2006/relationships/hyperlink" Target="https://www.transfermarkt.co.uk/richard-brush/marktwertverlauf/spieler/10015" TargetMode="External"/><Relationship Id="rId96" Type="http://schemas.openxmlformats.org/officeDocument/2006/relationships/hyperlink" Target="https://www.transfermarkt.co.uk/rein-smit/marktwertverlauf/spieler/477979" TargetMode="External"/><Relationship Id="rId99" Type="http://schemas.openxmlformats.org/officeDocument/2006/relationships/hyperlink" Target="https://www.transfermarkt.co.uk/robbie-benson/marktwertverlauf/spieler/181348" TargetMode="External"/><Relationship Id="rId98" Type="http://schemas.openxmlformats.org/officeDocument/2006/relationships/hyperlink" Target="https://www.transfermarkt.co.uk/rob-slevin/marktwertverlauf/spieler/683665" TargetMode="External"/><Relationship Id="rId91" Type="http://schemas.openxmlformats.org/officeDocument/2006/relationships/hyperlink" Target="https://www.transfermarkt.co.uk/paul-mcmullan/marktwertverlauf/spieler/193883" TargetMode="External"/><Relationship Id="rId90" Type="http://schemas.openxmlformats.org/officeDocument/2006/relationships/hyperlink" Target="https://www.transfermarkt.co.uk/paul-doyle/marktwertverlauf/spieler/438985" TargetMode="External"/><Relationship Id="rId93" Type="http://schemas.openxmlformats.org/officeDocument/2006/relationships/hyperlink" Target="https://www.transfermarkt.co.uk/rayhaan-tulloch/marktwertverlauf/spieler/433184" TargetMode="External"/><Relationship Id="rId92" Type="http://schemas.openxmlformats.org/officeDocument/2006/relationships/hyperlink" Target="https://www.transfermarkt.co.uk/peter-cherrie/marktwertverlauf/spieler/18197" TargetMode="External"/><Relationship Id="rId118" Type="http://schemas.openxmlformats.org/officeDocument/2006/relationships/hyperlink" Target="https://www.transfermarkt.co.uk/simon-power/marktwertverlauf/spieler/392860" TargetMode="External"/><Relationship Id="rId117" Type="http://schemas.openxmlformats.org/officeDocument/2006/relationships/hyperlink" Target="https://www.transfermarkt.co.uk/shane-mceleney/marktwertverlauf/spieler/118071" TargetMode="External"/><Relationship Id="rId116" Type="http://schemas.openxmlformats.org/officeDocument/2006/relationships/hyperlink" Target="https://www.transfermarkt.co.uk/shane-griffin/marktwertverlauf/spieler/241905" TargetMode="External"/><Relationship Id="rId115" Type="http://schemas.openxmlformats.org/officeDocument/2006/relationships/hyperlink" Target="https://www.transfermarkt.co.uk/shane-farrell/marktwertverlauf/spieler/567574" TargetMode="External"/><Relationship Id="rId119" Type="http://schemas.openxmlformats.org/officeDocument/2006/relationships/hyperlink" Target="https://www.transfermarkt.co.uk/stefan-radosavljevic/marktwertverlauf/spieler/470505" TargetMode="External"/><Relationship Id="rId110" Type="http://schemas.openxmlformats.org/officeDocument/2006/relationships/hyperlink" Target="https://www.transfermarkt.co.uk/sam-todd/marktwertverlauf/spieler/451942" TargetMode="External"/><Relationship Id="rId114" Type="http://schemas.openxmlformats.org/officeDocument/2006/relationships/hyperlink" Target="https://www.transfermarkt.co.uk/sean-gannon/marktwertverlauf/spieler/184670" TargetMode="External"/><Relationship Id="rId113" Type="http://schemas.openxmlformats.org/officeDocument/2006/relationships/hyperlink" Target="https://www.transfermarkt.co.uk/sean-boyd/marktwertverlauf/spieler/379347" TargetMode="External"/><Relationship Id="rId112" Type="http://schemas.openxmlformats.org/officeDocument/2006/relationships/hyperlink" Target="https://www.transfermarkt.co.uk/scott-mcgill/marktwertverlauf/spieler/567128" TargetMode="External"/><Relationship Id="rId111" Type="http://schemas.openxmlformats.org/officeDocument/2006/relationships/hyperlink" Target="https://www.transfermarkt.co.uk/scott-high/marktwertverlauf/spieler/728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>
      <c r="A2" s="7" t="s">
        <v>24</v>
      </c>
      <c r="B2" s="8" t="s">
        <v>25</v>
      </c>
      <c r="C2" s="9" t="s">
        <v>26</v>
      </c>
      <c r="D2" s="7" t="s">
        <v>27</v>
      </c>
      <c r="E2" s="9">
        <v>23.0</v>
      </c>
      <c r="F2" s="9">
        <v>2000.0</v>
      </c>
      <c r="G2" s="10">
        <v>17.0</v>
      </c>
      <c r="H2" s="11">
        <v>10.0</v>
      </c>
      <c r="I2" s="11">
        <v>960.0</v>
      </c>
      <c r="J2" s="11">
        <v>10.7</v>
      </c>
      <c r="K2" s="12">
        <v>0.0</v>
      </c>
      <c r="L2" s="13">
        <v>0.0</v>
      </c>
      <c r="M2" s="13">
        <v>0.0</v>
      </c>
      <c r="N2" s="13">
        <v>0.0</v>
      </c>
      <c r="O2" s="13">
        <v>0.0</v>
      </c>
      <c r="P2" s="13">
        <v>0.0</v>
      </c>
      <c r="Q2" s="11">
        <v>3.0</v>
      </c>
      <c r="R2" s="13">
        <v>0.0</v>
      </c>
      <c r="S2" s="12">
        <v>0.0</v>
      </c>
      <c r="T2" s="13">
        <v>0.0</v>
      </c>
      <c r="U2" s="13">
        <v>0.0</v>
      </c>
      <c r="V2" s="13">
        <v>0.0</v>
      </c>
      <c r="W2" s="13">
        <v>0.0</v>
      </c>
      <c r="X2" s="14" t="s">
        <v>28</v>
      </c>
    </row>
    <row r="3">
      <c r="A3" s="7" t="s">
        <v>29</v>
      </c>
      <c r="B3" s="8" t="s">
        <v>25</v>
      </c>
      <c r="C3" s="9" t="s">
        <v>30</v>
      </c>
      <c r="D3" s="7" t="s">
        <v>31</v>
      </c>
      <c r="E3" s="9">
        <v>34.0</v>
      </c>
      <c r="F3" s="9">
        <v>1990.0</v>
      </c>
      <c r="G3" s="10">
        <v>30.0</v>
      </c>
      <c r="H3" s="11">
        <v>16.0</v>
      </c>
      <c r="I3" s="15">
        <v>1687.0</v>
      </c>
      <c r="J3" s="11">
        <v>18.7</v>
      </c>
      <c r="K3" s="10">
        <v>8.0</v>
      </c>
      <c r="L3" s="11">
        <v>2.0</v>
      </c>
      <c r="M3" s="11">
        <v>10.0</v>
      </c>
      <c r="N3" s="11">
        <v>8.0</v>
      </c>
      <c r="O3" s="13">
        <v>0.0</v>
      </c>
      <c r="P3" s="13">
        <v>0.0</v>
      </c>
      <c r="Q3" s="11">
        <v>2.0</v>
      </c>
      <c r="R3" s="13">
        <v>0.0</v>
      </c>
      <c r="S3" s="10">
        <v>0.43</v>
      </c>
      <c r="T3" s="11">
        <v>0.11</v>
      </c>
      <c r="U3" s="11">
        <v>0.53</v>
      </c>
      <c r="V3" s="11">
        <v>0.43</v>
      </c>
      <c r="W3" s="11">
        <v>0.53</v>
      </c>
      <c r="X3" s="14" t="s">
        <v>32</v>
      </c>
    </row>
    <row r="4">
      <c r="A4" s="7" t="s">
        <v>33</v>
      </c>
      <c r="B4" s="8" t="s">
        <v>34</v>
      </c>
      <c r="C4" s="9" t="s">
        <v>35</v>
      </c>
      <c r="D4" s="7" t="s">
        <v>36</v>
      </c>
      <c r="E4" s="9">
        <v>22.0</v>
      </c>
      <c r="F4" s="9">
        <v>2001.0</v>
      </c>
      <c r="G4" s="10">
        <v>3.0</v>
      </c>
      <c r="H4" s="11">
        <v>1.0</v>
      </c>
      <c r="I4" s="11">
        <v>153.0</v>
      </c>
      <c r="J4" s="11">
        <v>1.7</v>
      </c>
      <c r="K4" s="12">
        <v>0.0</v>
      </c>
      <c r="L4" s="13">
        <v>0.0</v>
      </c>
      <c r="M4" s="13">
        <v>0.0</v>
      </c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2">
        <v>0.0</v>
      </c>
      <c r="T4" s="13">
        <v>0.0</v>
      </c>
      <c r="U4" s="13">
        <v>0.0</v>
      </c>
      <c r="V4" s="13">
        <v>0.0</v>
      </c>
      <c r="W4" s="13">
        <v>0.0</v>
      </c>
      <c r="X4" s="14" t="s">
        <v>37</v>
      </c>
    </row>
    <row r="5">
      <c r="A5" s="7" t="s">
        <v>38</v>
      </c>
      <c r="B5" s="8" t="s">
        <v>25</v>
      </c>
      <c r="C5" s="9" t="s">
        <v>26</v>
      </c>
      <c r="D5" s="7" t="s">
        <v>31</v>
      </c>
      <c r="E5" s="9">
        <v>28.0</v>
      </c>
      <c r="F5" s="9">
        <v>1995.0</v>
      </c>
      <c r="G5" s="10">
        <v>12.0</v>
      </c>
      <c r="H5" s="11">
        <v>2.0</v>
      </c>
      <c r="I5" s="11">
        <v>403.0</v>
      </c>
      <c r="J5" s="11">
        <v>4.5</v>
      </c>
      <c r="K5" s="12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1">
        <v>1.0</v>
      </c>
      <c r="R5" s="13">
        <v>0.0</v>
      </c>
      <c r="S5" s="12">
        <v>0.0</v>
      </c>
      <c r="T5" s="13">
        <v>0.0</v>
      </c>
      <c r="U5" s="13">
        <v>0.0</v>
      </c>
      <c r="V5" s="13">
        <v>0.0</v>
      </c>
      <c r="W5" s="13">
        <v>0.0</v>
      </c>
      <c r="X5" s="14" t="s">
        <v>39</v>
      </c>
    </row>
    <row r="6">
      <c r="A6" s="7" t="s">
        <v>40</v>
      </c>
      <c r="B6" s="8" t="s">
        <v>25</v>
      </c>
      <c r="C6" s="9" t="s">
        <v>26</v>
      </c>
      <c r="D6" s="7" t="s">
        <v>36</v>
      </c>
      <c r="E6" s="9">
        <v>23.0</v>
      </c>
      <c r="F6" s="9">
        <v>2000.0</v>
      </c>
      <c r="G6" s="10">
        <v>12.0</v>
      </c>
      <c r="H6" s="11">
        <v>4.0</v>
      </c>
      <c r="I6" s="11">
        <v>486.0</v>
      </c>
      <c r="J6" s="11">
        <v>5.4</v>
      </c>
      <c r="K6" s="10">
        <v>1.0</v>
      </c>
      <c r="L6" s="13">
        <v>0.0</v>
      </c>
      <c r="M6" s="11">
        <v>1.0</v>
      </c>
      <c r="N6" s="11">
        <v>1.0</v>
      </c>
      <c r="O6" s="13">
        <v>0.0</v>
      </c>
      <c r="P6" s="13">
        <v>0.0</v>
      </c>
      <c r="Q6" s="11">
        <v>1.0</v>
      </c>
      <c r="R6" s="13">
        <v>0.0</v>
      </c>
      <c r="S6" s="10">
        <v>0.19</v>
      </c>
      <c r="T6" s="13">
        <v>0.0</v>
      </c>
      <c r="U6" s="11">
        <v>0.19</v>
      </c>
      <c r="V6" s="11">
        <v>0.19</v>
      </c>
      <c r="W6" s="11">
        <v>0.19</v>
      </c>
      <c r="X6" s="14" t="s">
        <v>41</v>
      </c>
    </row>
    <row r="7">
      <c r="A7" s="7" t="s">
        <v>42</v>
      </c>
      <c r="B7" s="8" t="s">
        <v>43</v>
      </c>
      <c r="C7" s="9" t="s">
        <v>35</v>
      </c>
      <c r="D7" s="7" t="s">
        <v>44</v>
      </c>
      <c r="E7" s="9">
        <v>23.0</v>
      </c>
      <c r="F7" s="9">
        <v>2000.0</v>
      </c>
      <c r="G7" s="10">
        <v>16.0</v>
      </c>
      <c r="H7" s="11">
        <v>12.0</v>
      </c>
      <c r="I7" s="15">
        <v>1121.0</v>
      </c>
      <c r="J7" s="11">
        <v>12.5</v>
      </c>
      <c r="K7" s="10">
        <v>1.0</v>
      </c>
      <c r="L7" s="13">
        <v>0.0</v>
      </c>
      <c r="M7" s="11">
        <v>1.0</v>
      </c>
      <c r="N7" s="11">
        <v>1.0</v>
      </c>
      <c r="O7" s="13">
        <v>0.0</v>
      </c>
      <c r="P7" s="13">
        <v>0.0</v>
      </c>
      <c r="Q7" s="11">
        <v>4.0</v>
      </c>
      <c r="R7" s="13">
        <v>0.0</v>
      </c>
      <c r="S7" s="10">
        <v>0.08</v>
      </c>
      <c r="T7" s="13">
        <v>0.0</v>
      </c>
      <c r="U7" s="11">
        <v>0.08</v>
      </c>
      <c r="V7" s="11">
        <v>0.08</v>
      </c>
      <c r="W7" s="11">
        <v>0.08</v>
      </c>
      <c r="X7" s="14" t="s">
        <v>45</v>
      </c>
    </row>
    <row r="8">
      <c r="A8" s="7" t="s">
        <v>46</v>
      </c>
      <c r="B8" s="8" t="s">
        <v>25</v>
      </c>
      <c r="C8" s="9" t="s">
        <v>47</v>
      </c>
      <c r="D8" s="7" t="s">
        <v>36</v>
      </c>
      <c r="E8" s="9">
        <v>34.0</v>
      </c>
      <c r="F8" s="9">
        <v>1989.0</v>
      </c>
      <c r="G8" s="10">
        <v>33.0</v>
      </c>
      <c r="H8" s="11">
        <v>20.0</v>
      </c>
      <c r="I8" s="15">
        <v>1770.0</v>
      </c>
      <c r="J8" s="11">
        <v>19.7</v>
      </c>
      <c r="K8" s="10">
        <v>4.0</v>
      </c>
      <c r="L8" s="11">
        <v>3.0</v>
      </c>
      <c r="M8" s="11">
        <v>7.0</v>
      </c>
      <c r="N8" s="11">
        <v>4.0</v>
      </c>
      <c r="O8" s="13">
        <v>0.0</v>
      </c>
      <c r="P8" s="13">
        <v>0.0</v>
      </c>
      <c r="Q8" s="11">
        <v>6.0</v>
      </c>
      <c r="R8" s="13">
        <v>0.0</v>
      </c>
      <c r="S8" s="10">
        <v>0.2</v>
      </c>
      <c r="T8" s="11">
        <v>0.15</v>
      </c>
      <c r="U8" s="11">
        <v>0.36</v>
      </c>
      <c r="V8" s="11">
        <v>0.2</v>
      </c>
      <c r="W8" s="11">
        <v>0.36</v>
      </c>
      <c r="X8" s="14" t="s">
        <v>48</v>
      </c>
    </row>
    <row r="9">
      <c r="A9" s="7" t="s">
        <v>49</v>
      </c>
      <c r="B9" s="8" t="s">
        <v>25</v>
      </c>
      <c r="C9" s="9" t="s">
        <v>26</v>
      </c>
      <c r="D9" s="7" t="s">
        <v>44</v>
      </c>
      <c r="E9" s="9">
        <v>26.0</v>
      </c>
      <c r="F9" s="9">
        <v>1997.0</v>
      </c>
      <c r="G9" s="10">
        <v>35.0</v>
      </c>
      <c r="H9" s="11">
        <v>33.0</v>
      </c>
      <c r="I9" s="15">
        <v>2655.0</v>
      </c>
      <c r="J9" s="11">
        <v>29.5</v>
      </c>
      <c r="K9" s="12">
        <v>0.0</v>
      </c>
      <c r="L9" s="11">
        <v>2.0</v>
      </c>
      <c r="M9" s="11">
        <v>2.0</v>
      </c>
      <c r="N9" s="13">
        <v>0.0</v>
      </c>
      <c r="O9" s="13">
        <v>0.0</v>
      </c>
      <c r="P9" s="13">
        <v>0.0</v>
      </c>
      <c r="Q9" s="11">
        <v>8.0</v>
      </c>
      <c r="R9" s="13">
        <v>0.0</v>
      </c>
      <c r="S9" s="12">
        <v>0.0</v>
      </c>
      <c r="T9" s="11">
        <v>0.07</v>
      </c>
      <c r="U9" s="11">
        <v>0.07</v>
      </c>
      <c r="V9" s="13">
        <v>0.0</v>
      </c>
      <c r="W9" s="11">
        <v>0.07</v>
      </c>
      <c r="X9" s="14" t="s">
        <v>50</v>
      </c>
    </row>
    <row r="10">
      <c r="A10" s="7" t="s">
        <v>51</v>
      </c>
      <c r="B10" s="8" t="s">
        <v>25</v>
      </c>
      <c r="C10" s="9" t="s">
        <v>26</v>
      </c>
      <c r="D10" s="7" t="s">
        <v>52</v>
      </c>
      <c r="E10" s="9">
        <v>22.0</v>
      </c>
      <c r="F10" s="9">
        <v>2001.0</v>
      </c>
      <c r="G10" s="10">
        <v>35.0</v>
      </c>
      <c r="H10" s="11">
        <v>32.0</v>
      </c>
      <c r="I10" s="15">
        <v>2842.0</v>
      </c>
      <c r="J10" s="11">
        <v>31.6</v>
      </c>
      <c r="K10" s="10">
        <v>1.0</v>
      </c>
      <c r="L10" s="13">
        <v>0.0</v>
      </c>
      <c r="M10" s="11">
        <v>1.0</v>
      </c>
      <c r="N10" s="11">
        <v>1.0</v>
      </c>
      <c r="O10" s="13">
        <v>0.0</v>
      </c>
      <c r="P10" s="13">
        <v>0.0</v>
      </c>
      <c r="Q10" s="11">
        <v>9.0</v>
      </c>
      <c r="R10" s="13">
        <v>0.0</v>
      </c>
      <c r="S10" s="10">
        <v>0.03</v>
      </c>
      <c r="T10" s="13">
        <v>0.0</v>
      </c>
      <c r="U10" s="11">
        <v>0.03</v>
      </c>
      <c r="V10" s="11">
        <v>0.03</v>
      </c>
      <c r="W10" s="11">
        <v>0.03</v>
      </c>
      <c r="X10" s="14" t="s">
        <v>53</v>
      </c>
    </row>
    <row r="11">
      <c r="A11" s="7" t="s">
        <v>54</v>
      </c>
      <c r="B11" s="8" t="s">
        <v>25</v>
      </c>
      <c r="C11" s="9" t="s">
        <v>55</v>
      </c>
      <c r="D11" s="7" t="s">
        <v>27</v>
      </c>
      <c r="E11" s="9">
        <v>24.0</v>
      </c>
      <c r="F11" s="9">
        <v>1999.0</v>
      </c>
      <c r="G11" s="10">
        <v>11.0</v>
      </c>
      <c r="H11" s="11">
        <v>9.0</v>
      </c>
      <c r="I11" s="11">
        <v>702.0</v>
      </c>
      <c r="J11" s="11">
        <v>7.8</v>
      </c>
      <c r="K11" s="10">
        <v>5.0</v>
      </c>
      <c r="L11" s="13">
        <v>0.0</v>
      </c>
      <c r="M11" s="11">
        <v>5.0</v>
      </c>
      <c r="N11" s="11">
        <v>4.0</v>
      </c>
      <c r="O11" s="11">
        <v>1.0</v>
      </c>
      <c r="P11" s="11">
        <v>1.0</v>
      </c>
      <c r="Q11" s="13">
        <v>0.0</v>
      </c>
      <c r="R11" s="13">
        <v>0.0</v>
      </c>
      <c r="S11" s="10">
        <v>0.64</v>
      </c>
      <c r="T11" s="13">
        <v>0.0</v>
      </c>
      <c r="U11" s="11">
        <v>0.64</v>
      </c>
      <c r="V11" s="11">
        <v>0.51</v>
      </c>
      <c r="W11" s="11">
        <v>0.51</v>
      </c>
      <c r="X11" s="14" t="s">
        <v>56</v>
      </c>
    </row>
    <row r="12">
      <c r="A12" s="7" t="s">
        <v>57</v>
      </c>
      <c r="B12" s="8" t="s">
        <v>25</v>
      </c>
      <c r="C12" s="9" t="s">
        <v>55</v>
      </c>
      <c r="D12" s="7" t="s">
        <v>58</v>
      </c>
      <c r="E12" s="9">
        <v>30.0</v>
      </c>
      <c r="F12" s="9">
        <v>1993.0</v>
      </c>
      <c r="G12" s="10">
        <v>8.0</v>
      </c>
      <c r="H12" s="11">
        <v>5.0</v>
      </c>
      <c r="I12" s="11">
        <v>459.0</v>
      </c>
      <c r="J12" s="11">
        <v>5.1</v>
      </c>
      <c r="K12" s="10">
        <v>1.0</v>
      </c>
      <c r="L12" s="13">
        <v>0.0</v>
      </c>
      <c r="M12" s="11">
        <v>1.0</v>
      </c>
      <c r="N12" s="11">
        <v>1.0</v>
      </c>
      <c r="O12" s="13">
        <v>0.0</v>
      </c>
      <c r="P12" s="13">
        <v>0.0</v>
      </c>
      <c r="Q12" s="13">
        <v>0.0</v>
      </c>
      <c r="R12" s="13">
        <v>0.0</v>
      </c>
      <c r="S12" s="10">
        <v>0.2</v>
      </c>
      <c r="T12" s="13">
        <v>0.0</v>
      </c>
      <c r="U12" s="11">
        <v>0.2</v>
      </c>
      <c r="V12" s="11">
        <v>0.2</v>
      </c>
      <c r="W12" s="11">
        <v>0.2</v>
      </c>
      <c r="X12" s="14" t="s">
        <v>59</v>
      </c>
    </row>
    <row r="13">
      <c r="A13" s="7" t="s">
        <v>60</v>
      </c>
      <c r="B13" s="8" t="s">
        <v>34</v>
      </c>
      <c r="C13" s="9" t="s">
        <v>35</v>
      </c>
      <c r="D13" s="7" t="s">
        <v>27</v>
      </c>
      <c r="E13" s="9">
        <v>21.0</v>
      </c>
      <c r="F13" s="9">
        <v>2002.0</v>
      </c>
      <c r="G13" s="10">
        <v>8.0</v>
      </c>
      <c r="H13" s="11">
        <v>2.0</v>
      </c>
      <c r="I13" s="11">
        <v>210.0</v>
      </c>
      <c r="J13" s="11">
        <v>2.3</v>
      </c>
      <c r="K13" s="10">
        <v>1.0</v>
      </c>
      <c r="L13" s="13">
        <v>0.0</v>
      </c>
      <c r="M13" s="11">
        <v>1.0</v>
      </c>
      <c r="N13" s="11">
        <v>1.0</v>
      </c>
      <c r="O13" s="13">
        <v>0.0</v>
      </c>
      <c r="P13" s="13">
        <v>0.0</v>
      </c>
      <c r="Q13" s="11">
        <v>1.0</v>
      </c>
      <c r="R13" s="13">
        <v>0.0</v>
      </c>
      <c r="S13" s="10">
        <v>0.43</v>
      </c>
      <c r="T13" s="13">
        <v>0.0</v>
      </c>
      <c r="U13" s="11">
        <v>0.43</v>
      </c>
      <c r="V13" s="11">
        <v>0.43</v>
      </c>
      <c r="W13" s="11">
        <v>0.43</v>
      </c>
      <c r="X13" s="14" t="s">
        <v>61</v>
      </c>
    </row>
    <row r="14">
      <c r="A14" s="7" t="s">
        <v>60</v>
      </c>
      <c r="B14" s="8" t="s">
        <v>34</v>
      </c>
      <c r="C14" s="9" t="s">
        <v>35</v>
      </c>
      <c r="D14" s="7" t="s">
        <v>62</v>
      </c>
      <c r="E14" s="9">
        <v>21.0</v>
      </c>
      <c r="F14" s="9">
        <v>2002.0</v>
      </c>
      <c r="G14" s="10">
        <v>20.0</v>
      </c>
      <c r="H14" s="11">
        <v>14.0</v>
      </c>
      <c r="I14" s="15">
        <v>1360.0</v>
      </c>
      <c r="J14" s="11">
        <v>15.1</v>
      </c>
      <c r="K14" s="12">
        <v>0.0</v>
      </c>
      <c r="L14" s="13">
        <v>0.0</v>
      </c>
      <c r="M14" s="13">
        <v>0.0</v>
      </c>
      <c r="N14" s="13">
        <v>0.0</v>
      </c>
      <c r="O14" s="13">
        <v>0.0</v>
      </c>
      <c r="P14" s="13">
        <v>0.0</v>
      </c>
      <c r="Q14" s="11">
        <v>4.0</v>
      </c>
      <c r="R14" s="13">
        <v>0.0</v>
      </c>
      <c r="S14" s="12">
        <v>0.0</v>
      </c>
      <c r="T14" s="13">
        <v>0.0</v>
      </c>
      <c r="U14" s="13">
        <v>0.0</v>
      </c>
      <c r="V14" s="13">
        <v>0.0</v>
      </c>
      <c r="W14" s="13">
        <v>0.0</v>
      </c>
      <c r="X14" s="14" t="s">
        <v>63</v>
      </c>
    </row>
    <row r="15">
      <c r="A15" s="7" t="s">
        <v>64</v>
      </c>
      <c r="B15" s="8" t="s">
        <v>65</v>
      </c>
      <c r="C15" s="9" t="s">
        <v>55</v>
      </c>
      <c r="D15" s="7" t="s">
        <v>44</v>
      </c>
      <c r="E15" s="9">
        <v>24.0</v>
      </c>
      <c r="F15" s="9">
        <v>1999.0</v>
      </c>
      <c r="G15" s="10">
        <v>11.0</v>
      </c>
      <c r="H15" s="11">
        <v>3.0</v>
      </c>
      <c r="I15" s="11">
        <v>309.0</v>
      </c>
      <c r="J15" s="11">
        <v>3.4</v>
      </c>
      <c r="K15" s="12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2">
        <v>0.0</v>
      </c>
      <c r="T15" s="13">
        <v>0.0</v>
      </c>
      <c r="U15" s="13">
        <v>0.0</v>
      </c>
      <c r="V15" s="13">
        <v>0.0</v>
      </c>
      <c r="W15" s="13">
        <v>0.0</v>
      </c>
      <c r="X15" s="14" t="s">
        <v>66</v>
      </c>
    </row>
    <row r="16">
      <c r="A16" s="7" t="s">
        <v>67</v>
      </c>
      <c r="B16" s="8" t="s">
        <v>25</v>
      </c>
      <c r="C16" s="9" t="s">
        <v>26</v>
      </c>
      <c r="D16" s="7" t="s">
        <v>27</v>
      </c>
      <c r="E16" s="9">
        <v>20.0</v>
      </c>
      <c r="F16" s="9">
        <v>2003.0</v>
      </c>
      <c r="G16" s="10">
        <v>22.0</v>
      </c>
      <c r="H16" s="11">
        <v>7.0</v>
      </c>
      <c r="I16" s="11">
        <v>725.0</v>
      </c>
      <c r="J16" s="11">
        <v>8.1</v>
      </c>
      <c r="K16" s="10">
        <v>2.0</v>
      </c>
      <c r="L16" s="13">
        <v>0.0</v>
      </c>
      <c r="M16" s="11">
        <v>2.0</v>
      </c>
      <c r="N16" s="11">
        <v>2.0</v>
      </c>
      <c r="O16" s="13">
        <v>0.0</v>
      </c>
      <c r="P16" s="13">
        <v>0.0</v>
      </c>
      <c r="Q16" s="11">
        <v>3.0</v>
      </c>
      <c r="R16" s="13">
        <v>0.0</v>
      </c>
      <c r="S16" s="10">
        <v>0.25</v>
      </c>
      <c r="T16" s="13">
        <v>0.0</v>
      </c>
      <c r="U16" s="11">
        <v>0.25</v>
      </c>
      <c r="V16" s="11">
        <v>0.25</v>
      </c>
      <c r="W16" s="11">
        <v>0.25</v>
      </c>
      <c r="X16" s="14" t="s">
        <v>68</v>
      </c>
    </row>
    <row r="17">
      <c r="A17" s="7" t="s">
        <v>69</v>
      </c>
      <c r="B17" s="8" t="s">
        <v>70</v>
      </c>
      <c r="C17" s="9" t="s">
        <v>47</v>
      </c>
      <c r="D17" s="7" t="s">
        <v>58</v>
      </c>
      <c r="E17" s="9">
        <v>25.0</v>
      </c>
      <c r="F17" s="9">
        <v>1998.0</v>
      </c>
      <c r="G17" s="10">
        <v>13.0</v>
      </c>
      <c r="H17" s="11">
        <v>8.0</v>
      </c>
      <c r="I17" s="11">
        <v>669.0</v>
      </c>
      <c r="J17" s="11">
        <v>7.4</v>
      </c>
      <c r="K17" s="10">
        <v>1.0</v>
      </c>
      <c r="L17" s="13">
        <v>0.0</v>
      </c>
      <c r="M17" s="11">
        <v>1.0</v>
      </c>
      <c r="N17" s="11">
        <v>1.0</v>
      </c>
      <c r="O17" s="13">
        <v>0.0</v>
      </c>
      <c r="P17" s="13">
        <v>0.0</v>
      </c>
      <c r="Q17" s="11">
        <v>3.0</v>
      </c>
      <c r="R17" s="13">
        <v>0.0</v>
      </c>
      <c r="S17" s="10">
        <v>0.13</v>
      </c>
      <c r="T17" s="13">
        <v>0.0</v>
      </c>
      <c r="U17" s="11">
        <v>0.13</v>
      </c>
      <c r="V17" s="11">
        <v>0.13</v>
      </c>
      <c r="W17" s="11">
        <v>0.13</v>
      </c>
      <c r="X17" s="14" t="s">
        <v>71</v>
      </c>
    </row>
    <row r="18">
      <c r="A18" s="7" t="s">
        <v>72</v>
      </c>
      <c r="B18" s="8" t="s">
        <v>34</v>
      </c>
      <c r="C18" s="9" t="s">
        <v>35</v>
      </c>
      <c r="D18" s="7" t="s">
        <v>52</v>
      </c>
      <c r="E18" s="9">
        <v>30.0</v>
      </c>
      <c r="F18" s="9">
        <v>1993.0</v>
      </c>
      <c r="G18" s="10">
        <v>9.0</v>
      </c>
      <c r="H18" s="11">
        <v>9.0</v>
      </c>
      <c r="I18" s="15">
        <v>750.0</v>
      </c>
      <c r="J18" s="11">
        <v>8.3</v>
      </c>
      <c r="K18" s="10">
        <v>0.0</v>
      </c>
      <c r="L18" s="11">
        <v>0.0</v>
      </c>
      <c r="M18" s="11">
        <v>0.0</v>
      </c>
      <c r="N18" s="11">
        <v>0.0</v>
      </c>
      <c r="O18" s="13">
        <v>0.0</v>
      </c>
      <c r="P18" s="11">
        <v>0.0</v>
      </c>
      <c r="Q18" s="11">
        <v>1.0</v>
      </c>
      <c r="R18" s="11">
        <v>0.0</v>
      </c>
      <c r="S18" s="10">
        <v>0.0</v>
      </c>
      <c r="T18" s="11">
        <v>0.0</v>
      </c>
      <c r="U18" s="11">
        <v>0.0</v>
      </c>
      <c r="V18" s="11">
        <v>0.0</v>
      </c>
      <c r="W18" s="11">
        <v>0.0</v>
      </c>
      <c r="X18" s="14" t="s">
        <v>73</v>
      </c>
    </row>
    <row r="19">
      <c r="A19" s="7" t="s">
        <v>74</v>
      </c>
      <c r="B19" s="8" t="s">
        <v>25</v>
      </c>
      <c r="C19" s="9" t="s">
        <v>35</v>
      </c>
      <c r="D19" s="7" t="s">
        <v>36</v>
      </c>
      <c r="E19" s="9">
        <v>22.0</v>
      </c>
      <c r="F19" s="9">
        <v>2002.0</v>
      </c>
      <c r="G19" s="10">
        <v>27.0</v>
      </c>
      <c r="H19" s="11">
        <v>25.0</v>
      </c>
      <c r="I19" s="15">
        <v>2097.0</v>
      </c>
      <c r="J19" s="11">
        <v>23.3</v>
      </c>
      <c r="K19" s="10">
        <v>2.0</v>
      </c>
      <c r="L19" s="11">
        <v>1.0</v>
      </c>
      <c r="M19" s="11">
        <v>3.0</v>
      </c>
      <c r="N19" s="11">
        <v>2.0</v>
      </c>
      <c r="O19" s="13">
        <v>0.0</v>
      </c>
      <c r="P19" s="13">
        <v>0.0</v>
      </c>
      <c r="Q19" s="11">
        <v>2.0</v>
      </c>
      <c r="R19" s="13">
        <v>0.0</v>
      </c>
      <c r="S19" s="10">
        <v>0.09</v>
      </c>
      <c r="T19" s="11">
        <v>0.04</v>
      </c>
      <c r="U19" s="11">
        <v>0.13</v>
      </c>
      <c r="V19" s="11">
        <v>0.09</v>
      </c>
      <c r="W19" s="11">
        <v>0.13</v>
      </c>
      <c r="X19" s="14" t="s">
        <v>75</v>
      </c>
    </row>
    <row r="20">
      <c r="A20" s="7" t="s">
        <v>76</v>
      </c>
      <c r="B20" s="8" t="s">
        <v>25</v>
      </c>
      <c r="C20" s="9" t="s">
        <v>77</v>
      </c>
      <c r="D20" s="7" t="s">
        <v>36</v>
      </c>
      <c r="E20" s="9">
        <v>18.0</v>
      </c>
      <c r="F20" s="9">
        <v>2005.0</v>
      </c>
      <c r="G20" s="10">
        <v>19.0</v>
      </c>
      <c r="H20" s="11">
        <v>17.0</v>
      </c>
      <c r="I20" s="15">
        <v>1590.0</v>
      </c>
      <c r="J20" s="11">
        <v>17.7</v>
      </c>
      <c r="K20" s="12">
        <v>0.0</v>
      </c>
      <c r="L20" s="11">
        <v>1.0</v>
      </c>
      <c r="M20" s="11">
        <v>1.0</v>
      </c>
      <c r="N20" s="13">
        <v>0.0</v>
      </c>
      <c r="O20" s="13">
        <v>0.0</v>
      </c>
      <c r="P20" s="13">
        <v>0.0</v>
      </c>
      <c r="Q20" s="11">
        <v>1.0</v>
      </c>
      <c r="R20" s="13">
        <v>0.0</v>
      </c>
      <c r="S20" s="12">
        <v>0.0</v>
      </c>
      <c r="T20" s="11">
        <v>0.06</v>
      </c>
      <c r="U20" s="11">
        <v>0.06</v>
      </c>
      <c r="V20" s="13">
        <v>0.0</v>
      </c>
      <c r="W20" s="11">
        <v>0.06</v>
      </c>
      <c r="X20" s="14" t="s">
        <v>78</v>
      </c>
    </row>
    <row r="21">
      <c r="A21" s="7" t="s">
        <v>79</v>
      </c>
      <c r="B21" s="8" t="s">
        <v>25</v>
      </c>
      <c r="C21" s="9" t="s">
        <v>35</v>
      </c>
      <c r="D21" s="7" t="s">
        <v>80</v>
      </c>
      <c r="E21" s="9">
        <v>32.0</v>
      </c>
      <c r="F21" s="9">
        <v>1991.0</v>
      </c>
      <c r="G21" s="10">
        <v>26.0</v>
      </c>
      <c r="H21" s="11">
        <v>26.0</v>
      </c>
      <c r="I21" s="15">
        <v>2340.0</v>
      </c>
      <c r="J21" s="11">
        <v>26.0</v>
      </c>
      <c r="K21" s="12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1">
        <v>3.0</v>
      </c>
      <c r="R21" s="13">
        <v>0.0</v>
      </c>
      <c r="S21" s="12">
        <v>0.0</v>
      </c>
      <c r="T21" s="13">
        <v>0.0</v>
      </c>
      <c r="U21" s="13">
        <v>0.0</v>
      </c>
      <c r="V21" s="13">
        <v>0.0</v>
      </c>
      <c r="W21" s="13">
        <v>0.0</v>
      </c>
      <c r="X21" s="14" t="s">
        <v>81</v>
      </c>
    </row>
    <row r="22">
      <c r="A22" s="7" t="s">
        <v>82</v>
      </c>
      <c r="B22" s="8" t="s">
        <v>25</v>
      </c>
      <c r="C22" s="9" t="s">
        <v>83</v>
      </c>
      <c r="D22" s="7" t="s">
        <v>27</v>
      </c>
      <c r="E22" s="9">
        <v>26.0</v>
      </c>
      <c r="F22" s="9">
        <v>1997.0</v>
      </c>
      <c r="G22" s="10">
        <v>30.0</v>
      </c>
      <c r="H22" s="11">
        <v>29.0</v>
      </c>
      <c r="I22" s="15">
        <v>2552.0</v>
      </c>
      <c r="J22" s="11">
        <v>28.4</v>
      </c>
      <c r="K22" s="10">
        <v>1.0</v>
      </c>
      <c r="L22" s="11">
        <v>1.0</v>
      </c>
      <c r="M22" s="11">
        <v>2.0</v>
      </c>
      <c r="N22" s="11">
        <v>1.0</v>
      </c>
      <c r="O22" s="13">
        <v>0.0</v>
      </c>
      <c r="P22" s="13">
        <v>0.0</v>
      </c>
      <c r="Q22" s="11">
        <v>5.0</v>
      </c>
      <c r="R22" s="13">
        <v>0.0</v>
      </c>
      <c r="S22" s="10">
        <v>0.04</v>
      </c>
      <c r="T22" s="11">
        <v>0.04</v>
      </c>
      <c r="U22" s="11">
        <v>0.07</v>
      </c>
      <c r="V22" s="11">
        <v>0.04</v>
      </c>
      <c r="W22" s="11">
        <v>0.07</v>
      </c>
      <c r="X22" s="14" t="s">
        <v>84</v>
      </c>
    </row>
    <row r="23">
      <c r="A23" s="7" t="s">
        <v>85</v>
      </c>
      <c r="B23" s="8" t="s">
        <v>25</v>
      </c>
      <c r="C23" s="9" t="s">
        <v>26</v>
      </c>
      <c r="D23" s="7" t="s">
        <v>62</v>
      </c>
      <c r="E23" s="9">
        <v>24.0</v>
      </c>
      <c r="F23" s="9">
        <v>1999.0</v>
      </c>
      <c r="G23" s="10">
        <v>16.0</v>
      </c>
      <c r="H23" s="11">
        <v>10.0</v>
      </c>
      <c r="I23" s="11">
        <v>796.0</v>
      </c>
      <c r="J23" s="11">
        <v>8.8</v>
      </c>
      <c r="K23" s="10">
        <v>1.0</v>
      </c>
      <c r="L23" s="11">
        <v>2.0</v>
      </c>
      <c r="M23" s="11">
        <v>3.0</v>
      </c>
      <c r="N23" s="11">
        <v>1.0</v>
      </c>
      <c r="O23" s="13">
        <v>0.0</v>
      </c>
      <c r="P23" s="13">
        <v>0.0</v>
      </c>
      <c r="Q23" s="11">
        <v>4.0</v>
      </c>
      <c r="R23" s="11">
        <v>1.0</v>
      </c>
      <c r="S23" s="10">
        <v>0.11</v>
      </c>
      <c r="T23" s="11">
        <v>0.23</v>
      </c>
      <c r="U23" s="11">
        <v>0.34</v>
      </c>
      <c r="V23" s="11">
        <v>0.11</v>
      </c>
      <c r="W23" s="11">
        <v>0.34</v>
      </c>
      <c r="X23" s="14" t="s">
        <v>86</v>
      </c>
    </row>
    <row r="24">
      <c r="A24" s="7" t="s">
        <v>85</v>
      </c>
      <c r="B24" s="8" t="s">
        <v>25</v>
      </c>
      <c r="C24" s="9" t="s">
        <v>87</v>
      </c>
      <c r="D24" s="7" t="s">
        <v>80</v>
      </c>
      <c r="E24" s="9">
        <v>24.0</v>
      </c>
      <c r="F24" s="9">
        <v>1999.0</v>
      </c>
      <c r="G24" s="10">
        <v>12.0</v>
      </c>
      <c r="H24" s="11">
        <v>12.0</v>
      </c>
      <c r="I24" s="15">
        <v>1025.0</v>
      </c>
      <c r="J24" s="11">
        <v>11.4</v>
      </c>
      <c r="K24" s="12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1">
        <v>5.0</v>
      </c>
      <c r="R24" s="13">
        <v>0.0</v>
      </c>
      <c r="S24" s="12">
        <v>0.0</v>
      </c>
      <c r="T24" s="13">
        <v>0.0</v>
      </c>
      <c r="U24" s="13">
        <v>0.0</v>
      </c>
      <c r="V24" s="13">
        <v>0.0</v>
      </c>
      <c r="W24" s="13">
        <v>0.0</v>
      </c>
      <c r="X24" s="14" t="s">
        <v>88</v>
      </c>
    </row>
    <row r="25">
      <c r="A25" s="7" t="s">
        <v>89</v>
      </c>
      <c r="B25" s="8" t="s">
        <v>34</v>
      </c>
      <c r="C25" s="9" t="s">
        <v>35</v>
      </c>
      <c r="D25" s="7" t="s">
        <v>80</v>
      </c>
      <c r="E25" s="9">
        <v>25.0</v>
      </c>
      <c r="F25" s="9">
        <v>1998.0</v>
      </c>
      <c r="G25" s="10">
        <v>22.0</v>
      </c>
      <c r="H25" s="11">
        <v>22.0</v>
      </c>
      <c r="I25" s="15">
        <v>1979.0</v>
      </c>
      <c r="J25" s="11">
        <v>22.0</v>
      </c>
      <c r="K25" s="12">
        <v>0.0</v>
      </c>
      <c r="L25" s="11">
        <v>1.0</v>
      </c>
      <c r="M25" s="11">
        <v>1.0</v>
      </c>
      <c r="N25" s="13">
        <v>0.0</v>
      </c>
      <c r="O25" s="13">
        <v>0.0</v>
      </c>
      <c r="P25" s="13">
        <v>0.0</v>
      </c>
      <c r="Q25" s="11">
        <v>5.0</v>
      </c>
      <c r="R25" s="11">
        <v>1.0</v>
      </c>
      <c r="S25" s="12">
        <v>0.0</v>
      </c>
      <c r="T25" s="11">
        <v>0.05</v>
      </c>
      <c r="U25" s="11">
        <v>0.05</v>
      </c>
      <c r="V25" s="13">
        <v>0.0</v>
      </c>
      <c r="W25" s="11">
        <v>0.05</v>
      </c>
      <c r="X25" s="14" t="s">
        <v>90</v>
      </c>
    </row>
    <row r="26">
      <c r="A26" s="7" t="s">
        <v>91</v>
      </c>
      <c r="B26" s="8" t="s">
        <v>70</v>
      </c>
      <c r="C26" s="9" t="s">
        <v>47</v>
      </c>
      <c r="D26" s="7" t="s">
        <v>44</v>
      </c>
      <c r="E26" s="9">
        <v>21.0</v>
      </c>
      <c r="F26" s="9">
        <v>2002.0</v>
      </c>
      <c r="G26" s="10">
        <v>11.0</v>
      </c>
      <c r="H26" s="11">
        <v>7.0</v>
      </c>
      <c r="I26" s="11">
        <v>589.0</v>
      </c>
      <c r="J26" s="11">
        <v>6.5</v>
      </c>
      <c r="K26" s="10">
        <v>2.0</v>
      </c>
      <c r="L26" s="13">
        <v>0.0</v>
      </c>
      <c r="M26" s="11">
        <v>2.0</v>
      </c>
      <c r="N26" s="11">
        <v>2.0</v>
      </c>
      <c r="O26" s="13">
        <v>0.0</v>
      </c>
      <c r="P26" s="13">
        <v>0.0</v>
      </c>
      <c r="Q26" s="11">
        <v>1.0</v>
      </c>
      <c r="R26" s="13">
        <v>0.0</v>
      </c>
      <c r="S26" s="10">
        <v>0.31</v>
      </c>
      <c r="T26" s="13">
        <v>0.0</v>
      </c>
      <c r="U26" s="11">
        <v>0.31</v>
      </c>
      <c r="V26" s="11">
        <v>0.31</v>
      </c>
      <c r="W26" s="11">
        <v>0.31</v>
      </c>
      <c r="X26" s="14" t="s">
        <v>92</v>
      </c>
    </row>
    <row r="27">
      <c r="A27" s="7" t="s">
        <v>93</v>
      </c>
      <c r="B27" s="8" t="s">
        <v>94</v>
      </c>
      <c r="C27" s="9" t="s">
        <v>83</v>
      </c>
      <c r="D27" s="7" t="s">
        <v>27</v>
      </c>
      <c r="E27" s="9">
        <v>23.0</v>
      </c>
      <c r="F27" s="9">
        <v>2000.0</v>
      </c>
      <c r="G27" s="10">
        <v>18.0</v>
      </c>
      <c r="H27" s="11">
        <v>13.0</v>
      </c>
      <c r="I27" s="15">
        <v>1176.0</v>
      </c>
      <c r="J27" s="11">
        <v>13.1</v>
      </c>
      <c r="K27" s="12">
        <v>0.0</v>
      </c>
      <c r="L27" s="11">
        <v>1.0</v>
      </c>
      <c r="M27" s="11">
        <v>1.0</v>
      </c>
      <c r="N27" s="13">
        <v>0.0</v>
      </c>
      <c r="O27" s="13">
        <v>0.0</v>
      </c>
      <c r="P27" s="13">
        <v>0.0</v>
      </c>
      <c r="Q27" s="11">
        <v>2.0</v>
      </c>
      <c r="R27" s="13">
        <v>0.0</v>
      </c>
      <c r="S27" s="12">
        <v>0.0</v>
      </c>
      <c r="T27" s="11">
        <v>0.08</v>
      </c>
      <c r="U27" s="11">
        <v>0.08</v>
      </c>
      <c r="V27" s="13">
        <v>0.0</v>
      </c>
      <c r="W27" s="11">
        <v>0.08</v>
      </c>
      <c r="X27" s="14" t="s">
        <v>95</v>
      </c>
    </row>
    <row r="28">
      <c r="A28" s="7" t="s">
        <v>96</v>
      </c>
      <c r="B28" s="8" t="s">
        <v>97</v>
      </c>
      <c r="C28" s="9" t="s">
        <v>26</v>
      </c>
      <c r="D28" s="7" t="s">
        <v>98</v>
      </c>
      <c r="E28" s="9">
        <v>22.0</v>
      </c>
      <c r="F28" s="9">
        <v>2002.0</v>
      </c>
      <c r="G28" s="10">
        <v>18.0</v>
      </c>
      <c r="H28" s="11">
        <v>16.0</v>
      </c>
      <c r="I28" s="15">
        <v>1446.0</v>
      </c>
      <c r="J28" s="11">
        <v>16.1</v>
      </c>
      <c r="K28" s="12">
        <v>0.0</v>
      </c>
      <c r="L28" s="11">
        <v>3.0</v>
      </c>
      <c r="M28" s="11">
        <v>3.0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2">
        <v>0.0</v>
      </c>
      <c r="T28" s="11">
        <v>0.19</v>
      </c>
      <c r="U28" s="11">
        <v>0.19</v>
      </c>
      <c r="V28" s="13">
        <v>0.0</v>
      </c>
      <c r="W28" s="11">
        <v>0.19</v>
      </c>
      <c r="X28" s="14" t="s">
        <v>99</v>
      </c>
    </row>
    <row r="29">
      <c r="A29" s="7" t="s">
        <v>100</v>
      </c>
      <c r="B29" s="8" t="s">
        <v>101</v>
      </c>
      <c r="C29" s="9" t="s">
        <v>35</v>
      </c>
      <c r="D29" s="7" t="s">
        <v>44</v>
      </c>
      <c r="E29" s="9">
        <v>23.0</v>
      </c>
      <c r="F29" s="9">
        <v>2000.0</v>
      </c>
      <c r="G29" s="10">
        <v>2.0</v>
      </c>
      <c r="H29" s="11">
        <v>1.0</v>
      </c>
      <c r="I29" s="11">
        <v>60.0</v>
      </c>
      <c r="J29" s="11">
        <v>0.7</v>
      </c>
      <c r="K29" s="12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2">
        <v>0.0</v>
      </c>
      <c r="T29" s="13">
        <v>0.0</v>
      </c>
      <c r="U29" s="13">
        <v>0.0</v>
      </c>
      <c r="V29" s="13">
        <v>0.0</v>
      </c>
      <c r="W29" s="13">
        <v>0.0</v>
      </c>
      <c r="X29" s="14" t="s">
        <v>102</v>
      </c>
    </row>
    <row r="30">
      <c r="A30" s="7" t="s">
        <v>103</v>
      </c>
      <c r="B30" s="8" t="s">
        <v>97</v>
      </c>
      <c r="C30" s="9" t="s">
        <v>83</v>
      </c>
      <c r="D30" s="7" t="s">
        <v>52</v>
      </c>
      <c r="E30" s="9">
        <v>26.0</v>
      </c>
      <c r="F30" s="9">
        <v>1997.0</v>
      </c>
      <c r="G30" s="10">
        <v>26.0</v>
      </c>
      <c r="H30" s="11">
        <v>20.0</v>
      </c>
      <c r="I30" s="15">
        <v>1662.0</v>
      </c>
      <c r="J30" s="11">
        <v>18.5</v>
      </c>
      <c r="K30" s="10">
        <v>1.0</v>
      </c>
      <c r="L30" s="11">
        <v>2.0</v>
      </c>
      <c r="M30" s="11">
        <v>3.0</v>
      </c>
      <c r="N30" s="11">
        <v>1.0</v>
      </c>
      <c r="O30" s="13">
        <v>0.0</v>
      </c>
      <c r="P30" s="13">
        <v>0.0</v>
      </c>
      <c r="Q30" s="11">
        <v>2.0</v>
      </c>
      <c r="R30" s="13">
        <v>0.0</v>
      </c>
      <c r="S30" s="10">
        <v>0.05</v>
      </c>
      <c r="T30" s="11">
        <v>0.11</v>
      </c>
      <c r="U30" s="11">
        <v>0.16</v>
      </c>
      <c r="V30" s="11">
        <v>0.05</v>
      </c>
      <c r="W30" s="11">
        <v>0.16</v>
      </c>
      <c r="X30" s="14" t="s">
        <v>104</v>
      </c>
    </row>
    <row r="31">
      <c r="A31" s="7" t="s">
        <v>105</v>
      </c>
      <c r="B31" s="8" t="s">
        <v>25</v>
      </c>
      <c r="C31" s="9" t="s">
        <v>26</v>
      </c>
      <c r="D31" s="7" t="s">
        <v>98</v>
      </c>
      <c r="E31" s="9">
        <v>20.0</v>
      </c>
      <c r="F31" s="9">
        <v>2003.0</v>
      </c>
      <c r="G31" s="10">
        <v>29.0</v>
      </c>
      <c r="H31" s="11">
        <v>19.0</v>
      </c>
      <c r="I31" s="15">
        <v>1698.0</v>
      </c>
      <c r="J31" s="11">
        <v>18.9</v>
      </c>
      <c r="K31" s="10">
        <v>2.0</v>
      </c>
      <c r="L31" s="11">
        <v>3.0</v>
      </c>
      <c r="M31" s="11">
        <v>5.0</v>
      </c>
      <c r="N31" s="11">
        <v>2.0</v>
      </c>
      <c r="O31" s="13">
        <v>0.0</v>
      </c>
      <c r="P31" s="13">
        <v>0.0</v>
      </c>
      <c r="Q31" s="11">
        <v>6.0</v>
      </c>
      <c r="R31" s="13">
        <v>0.0</v>
      </c>
      <c r="S31" s="10">
        <v>0.11</v>
      </c>
      <c r="T31" s="11">
        <v>0.16</v>
      </c>
      <c r="U31" s="11">
        <v>0.27</v>
      </c>
      <c r="V31" s="11">
        <v>0.11</v>
      </c>
      <c r="W31" s="11">
        <v>0.27</v>
      </c>
      <c r="X31" s="14" t="s">
        <v>106</v>
      </c>
    </row>
    <row r="32">
      <c r="A32" s="7" t="s">
        <v>107</v>
      </c>
      <c r="B32" s="8" t="s">
        <v>97</v>
      </c>
      <c r="C32" s="9" t="s">
        <v>35</v>
      </c>
      <c r="D32" s="7" t="s">
        <v>62</v>
      </c>
      <c r="E32" s="9">
        <v>24.0</v>
      </c>
      <c r="F32" s="9">
        <v>1999.0</v>
      </c>
      <c r="G32" s="10">
        <v>11.0</v>
      </c>
      <c r="H32" s="11">
        <v>4.0</v>
      </c>
      <c r="I32" s="11">
        <v>385.0</v>
      </c>
      <c r="J32" s="11">
        <v>4.3</v>
      </c>
      <c r="K32" s="12">
        <v>0.0</v>
      </c>
      <c r="L32" s="13">
        <v>0.0</v>
      </c>
      <c r="M32" s="13">
        <v>0.0</v>
      </c>
      <c r="N32" s="13">
        <v>0.0</v>
      </c>
      <c r="O32" s="13">
        <v>0.0</v>
      </c>
      <c r="P32" s="13">
        <v>0.0</v>
      </c>
      <c r="Q32" s="11">
        <v>2.0</v>
      </c>
      <c r="R32" s="13">
        <v>0.0</v>
      </c>
      <c r="S32" s="12">
        <v>0.0</v>
      </c>
      <c r="T32" s="13">
        <v>0.0</v>
      </c>
      <c r="U32" s="13">
        <v>0.0</v>
      </c>
      <c r="V32" s="13">
        <v>0.0</v>
      </c>
      <c r="W32" s="13">
        <v>0.0</v>
      </c>
      <c r="X32" s="14" t="s">
        <v>108</v>
      </c>
    </row>
    <row r="33">
      <c r="A33" s="7" t="s">
        <v>109</v>
      </c>
      <c r="B33" s="8" t="s">
        <v>34</v>
      </c>
      <c r="C33" s="9" t="s">
        <v>35</v>
      </c>
      <c r="D33" s="7" t="s">
        <v>80</v>
      </c>
      <c r="E33" s="9">
        <v>19.0</v>
      </c>
      <c r="F33" s="9">
        <v>2004.0</v>
      </c>
      <c r="G33" s="10">
        <v>4.0</v>
      </c>
      <c r="H33" s="11">
        <v>3.0</v>
      </c>
      <c r="I33" s="11">
        <v>284.0</v>
      </c>
      <c r="J33" s="11">
        <v>3.2</v>
      </c>
      <c r="K33" s="12">
        <v>0.0</v>
      </c>
      <c r="L33" s="13">
        <v>0.0</v>
      </c>
      <c r="M33" s="13">
        <v>0.0</v>
      </c>
      <c r="N33" s="13">
        <v>0.0</v>
      </c>
      <c r="O33" s="13">
        <v>0.0</v>
      </c>
      <c r="P33" s="13">
        <v>0.0</v>
      </c>
      <c r="Q33" s="11">
        <v>1.0</v>
      </c>
      <c r="R33" s="13">
        <v>0.0</v>
      </c>
      <c r="S33" s="12">
        <v>0.0</v>
      </c>
      <c r="T33" s="13">
        <v>0.0</v>
      </c>
      <c r="U33" s="13">
        <v>0.0</v>
      </c>
      <c r="V33" s="13">
        <v>0.0</v>
      </c>
      <c r="W33" s="13">
        <v>0.0</v>
      </c>
      <c r="X33" s="14" t="s">
        <v>110</v>
      </c>
    </row>
    <row r="34">
      <c r="A34" s="7" t="s">
        <v>111</v>
      </c>
      <c r="B34" s="8" t="s">
        <v>25</v>
      </c>
      <c r="C34" s="9" t="s">
        <v>47</v>
      </c>
      <c r="D34" s="7" t="s">
        <v>27</v>
      </c>
      <c r="E34" s="9">
        <v>23.0</v>
      </c>
      <c r="F34" s="9">
        <v>2000.0</v>
      </c>
      <c r="G34" s="10">
        <v>34.0</v>
      </c>
      <c r="H34" s="11">
        <v>27.0</v>
      </c>
      <c r="I34" s="15">
        <v>2279.0</v>
      </c>
      <c r="J34" s="11">
        <v>25.3</v>
      </c>
      <c r="K34" s="10">
        <v>6.0</v>
      </c>
      <c r="L34" s="11">
        <v>13.0</v>
      </c>
      <c r="M34" s="11">
        <v>19.0</v>
      </c>
      <c r="N34" s="11">
        <v>5.0</v>
      </c>
      <c r="O34" s="11">
        <v>1.0</v>
      </c>
      <c r="P34" s="11">
        <v>1.0</v>
      </c>
      <c r="Q34" s="11">
        <v>2.0</v>
      </c>
      <c r="R34" s="13">
        <v>0.0</v>
      </c>
      <c r="S34" s="10">
        <v>0.24</v>
      </c>
      <c r="T34" s="11">
        <v>0.51</v>
      </c>
      <c r="U34" s="11">
        <v>0.75</v>
      </c>
      <c r="V34" s="11">
        <v>0.2</v>
      </c>
      <c r="W34" s="11">
        <v>0.71</v>
      </c>
      <c r="X34" s="14" t="s">
        <v>112</v>
      </c>
    </row>
    <row r="35">
      <c r="A35" s="7" t="s">
        <v>113</v>
      </c>
      <c r="B35" s="8" t="s">
        <v>25</v>
      </c>
      <c r="C35" s="9" t="s">
        <v>77</v>
      </c>
      <c r="D35" s="7" t="s">
        <v>62</v>
      </c>
      <c r="E35" s="9">
        <v>38.0</v>
      </c>
      <c r="F35" s="9">
        <v>1985.0</v>
      </c>
      <c r="G35" s="10">
        <v>36.0</v>
      </c>
      <c r="H35" s="11">
        <v>36.0</v>
      </c>
      <c r="I35" s="15">
        <v>3240.0</v>
      </c>
      <c r="J35" s="11">
        <v>36.0</v>
      </c>
      <c r="K35" s="12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1">
        <v>2.0</v>
      </c>
      <c r="R35" s="13">
        <v>0.0</v>
      </c>
      <c r="S35" s="12">
        <v>0.0</v>
      </c>
      <c r="T35" s="13">
        <v>0.0</v>
      </c>
      <c r="U35" s="13">
        <v>0.0</v>
      </c>
      <c r="V35" s="13">
        <v>0.0</v>
      </c>
      <c r="W35" s="13">
        <v>0.0</v>
      </c>
      <c r="X35" s="14" t="s">
        <v>114</v>
      </c>
    </row>
    <row r="36">
      <c r="A36" s="7" t="s">
        <v>115</v>
      </c>
      <c r="B36" s="8" t="s">
        <v>25</v>
      </c>
      <c r="C36" s="9" t="s">
        <v>77</v>
      </c>
      <c r="D36" s="7" t="s">
        <v>52</v>
      </c>
      <c r="E36" s="9">
        <v>23.0</v>
      </c>
      <c r="F36" s="9">
        <v>2000.0</v>
      </c>
      <c r="G36" s="10">
        <v>36.0</v>
      </c>
      <c r="H36" s="11">
        <v>36.0</v>
      </c>
      <c r="I36" s="15">
        <v>3240.0</v>
      </c>
      <c r="J36" s="11">
        <v>36.0</v>
      </c>
      <c r="K36" s="12">
        <v>0.0</v>
      </c>
      <c r="L36" s="13">
        <v>0.0</v>
      </c>
      <c r="M36" s="13">
        <v>0.0</v>
      </c>
      <c r="N36" s="13">
        <v>0.0</v>
      </c>
      <c r="O36" s="13">
        <v>0.0</v>
      </c>
      <c r="P36" s="13">
        <v>0.0</v>
      </c>
      <c r="Q36" s="11">
        <v>3.0</v>
      </c>
      <c r="R36" s="13">
        <v>0.0</v>
      </c>
      <c r="S36" s="12">
        <v>0.0</v>
      </c>
      <c r="T36" s="13">
        <v>0.0</v>
      </c>
      <c r="U36" s="13">
        <v>0.0</v>
      </c>
      <c r="V36" s="13">
        <v>0.0</v>
      </c>
      <c r="W36" s="13">
        <v>0.0</v>
      </c>
      <c r="X36" s="14" t="s">
        <v>116</v>
      </c>
    </row>
    <row r="37">
      <c r="A37" s="7" t="s">
        <v>117</v>
      </c>
      <c r="B37" s="8" t="s">
        <v>25</v>
      </c>
      <c r="C37" s="9" t="s">
        <v>26</v>
      </c>
      <c r="D37" s="7" t="s">
        <v>44</v>
      </c>
      <c r="E37" s="9">
        <v>22.0</v>
      </c>
      <c r="F37" s="9">
        <v>2001.0</v>
      </c>
      <c r="G37" s="10">
        <v>16.0</v>
      </c>
      <c r="H37" s="11">
        <v>4.0</v>
      </c>
      <c r="I37" s="11">
        <v>415.0</v>
      </c>
      <c r="J37" s="11">
        <v>4.6</v>
      </c>
      <c r="K37" s="12">
        <v>0.0</v>
      </c>
      <c r="L37" s="13">
        <v>0.0</v>
      </c>
      <c r="M37" s="13">
        <v>0.0</v>
      </c>
      <c r="N37" s="13">
        <v>0.0</v>
      </c>
      <c r="O37" s="13">
        <v>0.0</v>
      </c>
      <c r="P37" s="13">
        <v>0.0</v>
      </c>
      <c r="Q37" s="11">
        <v>2.0</v>
      </c>
      <c r="R37" s="13">
        <v>0.0</v>
      </c>
      <c r="S37" s="12">
        <v>0.0</v>
      </c>
      <c r="T37" s="13">
        <v>0.0</v>
      </c>
      <c r="U37" s="13">
        <v>0.0</v>
      </c>
      <c r="V37" s="13">
        <v>0.0</v>
      </c>
      <c r="W37" s="13">
        <v>0.0</v>
      </c>
      <c r="X37" s="14" t="s">
        <v>118</v>
      </c>
    </row>
    <row r="38">
      <c r="A38" s="7" t="s">
        <v>119</v>
      </c>
      <c r="B38" s="8" t="s">
        <v>25</v>
      </c>
      <c r="C38" s="9" t="s">
        <v>55</v>
      </c>
      <c r="D38" s="7" t="s">
        <v>36</v>
      </c>
      <c r="E38" s="9">
        <v>20.0</v>
      </c>
      <c r="F38" s="9">
        <v>2003.0</v>
      </c>
      <c r="G38" s="10">
        <v>1.0</v>
      </c>
      <c r="H38" s="13">
        <v>0.0</v>
      </c>
      <c r="I38" s="11">
        <v>34.0</v>
      </c>
      <c r="J38" s="11">
        <v>0.4</v>
      </c>
      <c r="K38" s="10">
        <v>1.0</v>
      </c>
      <c r="L38" s="13">
        <v>0.0</v>
      </c>
      <c r="M38" s="11">
        <v>1.0</v>
      </c>
      <c r="N38" s="11">
        <v>1.0</v>
      </c>
      <c r="O38" s="13">
        <v>0.0</v>
      </c>
      <c r="P38" s="13">
        <v>0.0</v>
      </c>
      <c r="Q38" s="13">
        <v>0.0</v>
      </c>
      <c r="R38" s="13">
        <v>0.0</v>
      </c>
      <c r="S38" s="10">
        <v>2.65</v>
      </c>
      <c r="T38" s="13">
        <v>0.0</v>
      </c>
      <c r="U38" s="11">
        <v>2.65</v>
      </c>
      <c r="V38" s="11">
        <v>2.65</v>
      </c>
      <c r="W38" s="11">
        <v>2.65</v>
      </c>
      <c r="X38" s="14" t="s">
        <v>120</v>
      </c>
    </row>
    <row r="39">
      <c r="A39" s="7" t="s">
        <v>121</v>
      </c>
      <c r="B39" s="8" t="s">
        <v>97</v>
      </c>
      <c r="C39" s="9" t="s">
        <v>83</v>
      </c>
      <c r="D39" s="7" t="s">
        <v>52</v>
      </c>
      <c r="E39" s="9">
        <v>27.0</v>
      </c>
      <c r="F39" s="9">
        <v>1996.0</v>
      </c>
      <c r="G39" s="10">
        <v>15.0</v>
      </c>
      <c r="H39" s="11">
        <v>12.0</v>
      </c>
      <c r="I39" s="15">
        <v>1039.0</v>
      </c>
      <c r="J39" s="11">
        <v>11.5</v>
      </c>
      <c r="K39" s="10">
        <v>1.0</v>
      </c>
      <c r="L39" s="13">
        <v>0.0</v>
      </c>
      <c r="M39" s="11">
        <v>1.0</v>
      </c>
      <c r="N39" s="11">
        <v>1.0</v>
      </c>
      <c r="O39" s="13">
        <v>0.0</v>
      </c>
      <c r="P39" s="13">
        <v>0.0</v>
      </c>
      <c r="Q39" s="13">
        <v>0.0</v>
      </c>
      <c r="R39" s="13">
        <v>0.0</v>
      </c>
      <c r="S39" s="10">
        <v>0.09</v>
      </c>
      <c r="T39" s="13">
        <v>0.0</v>
      </c>
      <c r="U39" s="11">
        <v>0.09</v>
      </c>
      <c r="V39" s="11">
        <v>0.09</v>
      </c>
      <c r="W39" s="11">
        <v>0.09</v>
      </c>
      <c r="X39" s="14" t="s">
        <v>122</v>
      </c>
    </row>
    <row r="40">
      <c r="A40" s="7" t="s">
        <v>123</v>
      </c>
      <c r="B40" s="8" t="s">
        <v>70</v>
      </c>
      <c r="C40" s="9" t="s">
        <v>30</v>
      </c>
      <c r="D40" s="7" t="s">
        <v>80</v>
      </c>
      <c r="E40" s="9">
        <v>24.0</v>
      </c>
      <c r="F40" s="9">
        <v>1999.0</v>
      </c>
      <c r="G40" s="10">
        <v>17.0</v>
      </c>
      <c r="H40" s="11">
        <v>7.0</v>
      </c>
      <c r="I40" s="11">
        <v>801.0</v>
      </c>
      <c r="J40" s="11">
        <v>8.9</v>
      </c>
      <c r="K40" s="12">
        <v>0.0</v>
      </c>
      <c r="L40" s="13">
        <v>0.0</v>
      </c>
      <c r="M40" s="13">
        <v>0.0</v>
      </c>
      <c r="N40" s="13">
        <v>0.0</v>
      </c>
      <c r="O40" s="13">
        <v>0.0</v>
      </c>
      <c r="P40" s="13">
        <v>0.0</v>
      </c>
      <c r="Q40" s="11">
        <v>5.0</v>
      </c>
      <c r="R40" s="13">
        <v>0.0</v>
      </c>
      <c r="S40" s="12">
        <v>0.0</v>
      </c>
      <c r="T40" s="13">
        <v>0.0</v>
      </c>
      <c r="U40" s="13">
        <v>0.0</v>
      </c>
      <c r="V40" s="13">
        <v>0.0</v>
      </c>
      <c r="W40" s="13">
        <v>0.0</v>
      </c>
      <c r="X40" s="14" t="s">
        <v>124</v>
      </c>
    </row>
    <row r="41">
      <c r="A41" s="7" t="s">
        <v>125</v>
      </c>
      <c r="B41" s="8" t="s">
        <v>34</v>
      </c>
      <c r="C41" s="9" t="s">
        <v>83</v>
      </c>
      <c r="D41" s="7" t="s">
        <v>52</v>
      </c>
      <c r="E41" s="9">
        <v>25.0</v>
      </c>
      <c r="F41" s="9">
        <v>1998.0</v>
      </c>
      <c r="G41" s="10">
        <v>21.0</v>
      </c>
      <c r="H41" s="11">
        <v>18.0</v>
      </c>
      <c r="I41" s="15">
        <v>1672.0</v>
      </c>
      <c r="J41" s="11">
        <v>18.6</v>
      </c>
      <c r="K41" s="12">
        <v>0.0</v>
      </c>
      <c r="L41" s="11">
        <v>2.0</v>
      </c>
      <c r="M41" s="11">
        <v>2.0</v>
      </c>
      <c r="N41" s="13">
        <v>0.0</v>
      </c>
      <c r="O41" s="13">
        <v>0.0</v>
      </c>
      <c r="P41" s="13">
        <v>0.0</v>
      </c>
      <c r="Q41" s="11">
        <v>2.0</v>
      </c>
      <c r="R41" s="13">
        <v>0.0</v>
      </c>
      <c r="S41" s="12">
        <v>0.0</v>
      </c>
      <c r="T41" s="11">
        <v>0.11</v>
      </c>
      <c r="U41" s="11">
        <v>0.11</v>
      </c>
      <c r="V41" s="13">
        <v>0.0</v>
      </c>
      <c r="W41" s="11">
        <v>0.11</v>
      </c>
      <c r="X41" s="14" t="s">
        <v>126</v>
      </c>
    </row>
    <row r="42">
      <c r="A42" s="7" t="s">
        <v>127</v>
      </c>
      <c r="B42" s="8" t="s">
        <v>34</v>
      </c>
      <c r="C42" s="9" t="s">
        <v>35</v>
      </c>
      <c r="D42" s="7" t="s">
        <v>128</v>
      </c>
      <c r="E42" s="9">
        <v>21.0</v>
      </c>
      <c r="F42" s="9">
        <v>2002.0</v>
      </c>
      <c r="G42" s="10">
        <v>22.0</v>
      </c>
      <c r="H42" s="11">
        <v>18.0</v>
      </c>
      <c r="I42" s="15">
        <v>1559.0</v>
      </c>
      <c r="J42" s="11">
        <v>17.3</v>
      </c>
      <c r="K42" s="12">
        <v>0.0</v>
      </c>
      <c r="L42" s="11">
        <v>1.0</v>
      </c>
      <c r="M42" s="11">
        <v>1.0</v>
      </c>
      <c r="N42" s="13">
        <v>0.0</v>
      </c>
      <c r="O42" s="13">
        <v>0.0</v>
      </c>
      <c r="P42" s="13">
        <v>0.0</v>
      </c>
      <c r="Q42" s="11">
        <v>6.0</v>
      </c>
      <c r="R42" s="13">
        <v>0.0</v>
      </c>
      <c r="S42" s="12">
        <v>0.0</v>
      </c>
      <c r="T42" s="11">
        <v>0.06</v>
      </c>
      <c r="U42" s="11">
        <v>0.06</v>
      </c>
      <c r="V42" s="13">
        <v>0.0</v>
      </c>
      <c r="W42" s="11">
        <v>0.06</v>
      </c>
      <c r="X42" s="14" t="s">
        <v>129</v>
      </c>
    </row>
    <row r="43">
      <c r="A43" s="7" t="s">
        <v>130</v>
      </c>
      <c r="B43" s="8" t="s">
        <v>34</v>
      </c>
      <c r="C43" s="9" t="s">
        <v>47</v>
      </c>
      <c r="D43" s="7" t="s">
        <v>98</v>
      </c>
      <c r="E43" s="9">
        <v>26.0</v>
      </c>
      <c r="F43" s="9">
        <v>1997.0</v>
      </c>
      <c r="G43" s="10">
        <v>25.0</v>
      </c>
      <c r="H43" s="11">
        <v>17.0</v>
      </c>
      <c r="I43" s="15">
        <v>1497.0</v>
      </c>
      <c r="J43" s="11">
        <v>16.6</v>
      </c>
      <c r="K43" s="10">
        <v>4.0</v>
      </c>
      <c r="L43" s="11">
        <v>2.0</v>
      </c>
      <c r="M43" s="11">
        <v>6.0</v>
      </c>
      <c r="N43" s="11">
        <v>4.0</v>
      </c>
      <c r="O43" s="13">
        <v>0.0</v>
      </c>
      <c r="P43" s="13">
        <v>0.0</v>
      </c>
      <c r="Q43" s="11">
        <v>1.0</v>
      </c>
      <c r="R43" s="13">
        <v>0.0</v>
      </c>
      <c r="S43" s="10">
        <v>0.24</v>
      </c>
      <c r="T43" s="11">
        <v>0.12</v>
      </c>
      <c r="U43" s="11">
        <v>0.36</v>
      </c>
      <c r="V43" s="11">
        <v>0.24</v>
      </c>
      <c r="W43" s="11">
        <v>0.36</v>
      </c>
      <c r="X43" s="14" t="s">
        <v>131</v>
      </c>
    </row>
    <row r="44">
      <c r="A44" s="7" t="s">
        <v>132</v>
      </c>
      <c r="B44" s="8" t="s">
        <v>25</v>
      </c>
      <c r="C44" s="9" t="s">
        <v>26</v>
      </c>
      <c r="D44" s="7" t="s">
        <v>27</v>
      </c>
      <c r="E44" s="9">
        <v>31.0</v>
      </c>
      <c r="F44" s="9">
        <v>1992.0</v>
      </c>
      <c r="G44" s="10">
        <v>36.0</v>
      </c>
      <c r="H44" s="11">
        <v>32.0</v>
      </c>
      <c r="I44" s="15">
        <v>2933.0</v>
      </c>
      <c r="J44" s="11">
        <v>32.6</v>
      </c>
      <c r="K44" s="10">
        <v>4.0</v>
      </c>
      <c r="L44" s="11">
        <v>2.0</v>
      </c>
      <c r="M44" s="11">
        <v>6.0</v>
      </c>
      <c r="N44" s="11">
        <v>1.0</v>
      </c>
      <c r="O44" s="11">
        <v>3.0</v>
      </c>
      <c r="P44" s="11">
        <v>3.0</v>
      </c>
      <c r="Q44" s="11">
        <v>6.0</v>
      </c>
      <c r="R44" s="13">
        <v>0.0</v>
      </c>
      <c r="S44" s="10">
        <v>0.12</v>
      </c>
      <c r="T44" s="11">
        <v>0.06</v>
      </c>
      <c r="U44" s="11">
        <v>0.18</v>
      </c>
      <c r="V44" s="11">
        <v>0.03</v>
      </c>
      <c r="W44" s="11">
        <v>0.09</v>
      </c>
      <c r="X44" s="14" t="s">
        <v>133</v>
      </c>
    </row>
    <row r="45">
      <c r="A45" s="7" t="s">
        <v>134</v>
      </c>
      <c r="B45" s="8" t="s">
        <v>25</v>
      </c>
      <c r="C45" s="9" t="s">
        <v>26</v>
      </c>
      <c r="D45" s="7" t="s">
        <v>31</v>
      </c>
      <c r="E45" s="9">
        <v>18.0</v>
      </c>
      <c r="F45" s="9">
        <v>2005.0</v>
      </c>
      <c r="G45" s="10">
        <v>5.0</v>
      </c>
      <c r="H45" s="13">
        <v>0.0</v>
      </c>
      <c r="I45" s="11">
        <v>62.0</v>
      </c>
      <c r="J45" s="11">
        <v>0.7</v>
      </c>
      <c r="K45" s="12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0.0</v>
      </c>
      <c r="Q45" s="13">
        <v>0.0</v>
      </c>
      <c r="R45" s="13">
        <v>0.0</v>
      </c>
      <c r="S45" s="12">
        <v>0.0</v>
      </c>
      <c r="T45" s="13">
        <v>0.0</v>
      </c>
      <c r="U45" s="13">
        <v>0.0</v>
      </c>
      <c r="V45" s="13">
        <v>0.0</v>
      </c>
      <c r="W45" s="13">
        <v>0.0</v>
      </c>
      <c r="X45" s="14" t="s">
        <v>135</v>
      </c>
    </row>
    <row r="46">
      <c r="A46" s="7" t="s">
        <v>136</v>
      </c>
      <c r="B46" s="8" t="s">
        <v>25</v>
      </c>
      <c r="C46" s="9" t="s">
        <v>35</v>
      </c>
      <c r="D46" s="7" t="s">
        <v>44</v>
      </c>
      <c r="E46" s="9">
        <v>21.0</v>
      </c>
      <c r="F46" s="9">
        <v>2003.0</v>
      </c>
      <c r="G46" s="10">
        <v>26.0</v>
      </c>
      <c r="H46" s="11">
        <v>23.0</v>
      </c>
      <c r="I46" s="15">
        <v>2076.0</v>
      </c>
      <c r="J46" s="11">
        <v>23.1</v>
      </c>
      <c r="K46" s="12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0.0</v>
      </c>
      <c r="Q46" s="11">
        <v>7.0</v>
      </c>
      <c r="R46" s="13">
        <v>0.0</v>
      </c>
      <c r="S46" s="12">
        <v>0.0</v>
      </c>
      <c r="T46" s="13">
        <v>0.0</v>
      </c>
      <c r="U46" s="13">
        <v>0.0</v>
      </c>
      <c r="V46" s="13">
        <v>0.0</v>
      </c>
      <c r="W46" s="13">
        <v>0.0</v>
      </c>
      <c r="X46" s="14" t="s">
        <v>137</v>
      </c>
    </row>
    <row r="47">
      <c r="A47" s="7" t="s">
        <v>138</v>
      </c>
      <c r="B47" s="8" t="s">
        <v>25</v>
      </c>
      <c r="C47" s="9" t="s">
        <v>55</v>
      </c>
      <c r="D47" s="7" t="s">
        <v>31</v>
      </c>
      <c r="E47" s="9">
        <v>17.0</v>
      </c>
      <c r="F47" s="9">
        <v>2006.0</v>
      </c>
      <c r="G47" s="10">
        <v>2.0</v>
      </c>
      <c r="H47" s="13">
        <v>0.0</v>
      </c>
      <c r="I47" s="11">
        <v>19.0</v>
      </c>
      <c r="J47" s="11">
        <v>0.2</v>
      </c>
      <c r="K47" s="12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2">
        <v>0.0</v>
      </c>
      <c r="T47" s="13">
        <v>0.0</v>
      </c>
      <c r="U47" s="13">
        <v>0.0</v>
      </c>
      <c r="V47" s="13">
        <v>0.0</v>
      </c>
      <c r="W47" s="13">
        <v>0.0</v>
      </c>
      <c r="X47" s="14" t="s">
        <v>139</v>
      </c>
    </row>
    <row r="48">
      <c r="A48" s="7" t="s">
        <v>140</v>
      </c>
      <c r="B48" s="8" t="s">
        <v>25</v>
      </c>
      <c r="C48" s="9" t="s">
        <v>55</v>
      </c>
      <c r="D48" s="7" t="s">
        <v>27</v>
      </c>
      <c r="E48" s="9">
        <v>21.0</v>
      </c>
      <c r="F48" s="9">
        <v>2003.0</v>
      </c>
      <c r="G48" s="10">
        <v>18.0</v>
      </c>
      <c r="H48" s="11">
        <v>2.0</v>
      </c>
      <c r="I48" s="11">
        <v>403.0</v>
      </c>
      <c r="J48" s="11">
        <v>4.5</v>
      </c>
      <c r="K48" s="10">
        <v>1.0</v>
      </c>
      <c r="L48" s="11">
        <v>1.0</v>
      </c>
      <c r="M48" s="11">
        <v>2.0</v>
      </c>
      <c r="N48" s="11">
        <v>1.0</v>
      </c>
      <c r="O48" s="13">
        <v>0.0</v>
      </c>
      <c r="P48" s="13">
        <v>0.0</v>
      </c>
      <c r="Q48" s="11">
        <v>1.0</v>
      </c>
      <c r="R48" s="13">
        <v>0.0</v>
      </c>
      <c r="S48" s="10">
        <v>0.22</v>
      </c>
      <c r="T48" s="11">
        <v>0.22</v>
      </c>
      <c r="U48" s="11">
        <v>0.45</v>
      </c>
      <c r="V48" s="11">
        <v>0.22</v>
      </c>
      <c r="W48" s="11">
        <v>0.45</v>
      </c>
      <c r="X48" s="14" t="s">
        <v>141</v>
      </c>
    </row>
    <row r="49">
      <c r="A49" s="7" t="s">
        <v>142</v>
      </c>
      <c r="B49" s="8" t="s">
        <v>25</v>
      </c>
      <c r="C49" s="9" t="s">
        <v>35</v>
      </c>
      <c r="D49" s="7" t="s">
        <v>52</v>
      </c>
      <c r="E49" s="9">
        <v>32.0</v>
      </c>
      <c r="F49" s="9">
        <v>1991.0</v>
      </c>
      <c r="G49" s="10">
        <v>24.0</v>
      </c>
      <c r="H49" s="11">
        <v>18.0</v>
      </c>
      <c r="I49" s="15">
        <v>1622.0</v>
      </c>
      <c r="J49" s="11">
        <v>18.0</v>
      </c>
      <c r="K49" s="10">
        <v>1.0</v>
      </c>
      <c r="L49" s="11">
        <v>1.0</v>
      </c>
      <c r="M49" s="11">
        <v>2.0</v>
      </c>
      <c r="N49" s="11">
        <v>1.0</v>
      </c>
      <c r="O49" s="13">
        <v>0.0</v>
      </c>
      <c r="P49" s="13">
        <v>0.0</v>
      </c>
      <c r="Q49" s="11">
        <v>4.0</v>
      </c>
      <c r="R49" s="13">
        <v>0.0</v>
      </c>
      <c r="S49" s="10">
        <v>0.06</v>
      </c>
      <c r="T49" s="11">
        <v>0.06</v>
      </c>
      <c r="U49" s="11">
        <v>0.11</v>
      </c>
      <c r="V49" s="11">
        <v>0.06</v>
      </c>
      <c r="W49" s="11">
        <v>0.11</v>
      </c>
      <c r="X49" s="14" t="s">
        <v>143</v>
      </c>
    </row>
    <row r="50">
      <c r="A50" s="7" t="s">
        <v>144</v>
      </c>
      <c r="B50" s="8" t="s">
        <v>97</v>
      </c>
      <c r="C50" s="9" t="s">
        <v>26</v>
      </c>
      <c r="D50" s="7" t="s">
        <v>80</v>
      </c>
      <c r="E50" s="9">
        <v>20.0</v>
      </c>
      <c r="F50" s="9">
        <v>2003.0</v>
      </c>
      <c r="G50" s="10">
        <v>5.0</v>
      </c>
      <c r="H50" s="11">
        <v>2.0</v>
      </c>
      <c r="I50" s="11">
        <v>205.0</v>
      </c>
      <c r="J50" s="11">
        <v>2.3</v>
      </c>
      <c r="K50" s="12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2">
        <v>0.0</v>
      </c>
      <c r="T50" s="13">
        <v>0.0</v>
      </c>
      <c r="U50" s="13">
        <v>0.0</v>
      </c>
      <c r="V50" s="13">
        <v>0.0</v>
      </c>
      <c r="W50" s="13">
        <v>0.0</v>
      </c>
      <c r="X50" s="14" t="s">
        <v>145</v>
      </c>
    </row>
    <row r="51">
      <c r="A51" s="7" t="s">
        <v>146</v>
      </c>
      <c r="B51" s="8" t="s">
        <v>97</v>
      </c>
      <c r="C51" s="9" t="s">
        <v>26</v>
      </c>
      <c r="D51" s="7" t="s">
        <v>52</v>
      </c>
      <c r="E51" s="9">
        <v>28.0</v>
      </c>
      <c r="F51" s="9">
        <v>1996.0</v>
      </c>
      <c r="G51" s="10">
        <v>4.0</v>
      </c>
      <c r="H51" s="13">
        <v>0.0</v>
      </c>
      <c r="I51" s="11">
        <v>19.0</v>
      </c>
      <c r="J51" s="11">
        <v>0.2</v>
      </c>
      <c r="K51" s="12">
        <v>0.0</v>
      </c>
      <c r="L51" s="13">
        <v>0.0</v>
      </c>
      <c r="M51" s="13">
        <v>0.0</v>
      </c>
      <c r="N51" s="13">
        <v>0.0</v>
      </c>
      <c r="O51" s="13">
        <v>0.0</v>
      </c>
      <c r="P51" s="13">
        <v>0.0</v>
      </c>
      <c r="Q51" s="13">
        <v>0.0</v>
      </c>
      <c r="R51" s="13">
        <v>0.0</v>
      </c>
      <c r="S51" s="12">
        <v>0.0</v>
      </c>
      <c r="T51" s="13">
        <v>0.0</v>
      </c>
      <c r="U51" s="13">
        <v>0.0</v>
      </c>
      <c r="V51" s="13">
        <v>0.0</v>
      </c>
      <c r="W51" s="13">
        <v>0.0</v>
      </c>
      <c r="X51" s="14" t="s">
        <v>147</v>
      </c>
    </row>
    <row r="52">
      <c r="A52" s="7" t="s">
        <v>148</v>
      </c>
      <c r="B52" s="8" t="s">
        <v>25</v>
      </c>
      <c r="C52" s="9" t="s">
        <v>55</v>
      </c>
      <c r="D52" s="7" t="s">
        <v>62</v>
      </c>
      <c r="E52" s="9">
        <v>15.0</v>
      </c>
      <c r="F52" s="9">
        <v>2008.0</v>
      </c>
      <c r="G52" s="10">
        <v>1.0</v>
      </c>
      <c r="H52" s="13">
        <v>0.0</v>
      </c>
      <c r="I52" s="11">
        <v>5.0</v>
      </c>
      <c r="J52" s="11">
        <v>0.1</v>
      </c>
      <c r="K52" s="12">
        <v>0.0</v>
      </c>
      <c r="L52" s="13">
        <v>0.0</v>
      </c>
      <c r="M52" s="13">
        <v>0.0</v>
      </c>
      <c r="N52" s="13">
        <v>0.0</v>
      </c>
      <c r="O52" s="13">
        <v>0.0</v>
      </c>
      <c r="P52" s="13">
        <v>0.0</v>
      </c>
      <c r="Q52" s="13">
        <v>0.0</v>
      </c>
      <c r="R52" s="13">
        <v>0.0</v>
      </c>
      <c r="S52" s="12">
        <v>0.0</v>
      </c>
      <c r="T52" s="13">
        <v>0.0</v>
      </c>
      <c r="U52" s="13">
        <v>0.0</v>
      </c>
      <c r="V52" s="13">
        <v>0.0</v>
      </c>
      <c r="W52" s="13">
        <v>0.0</v>
      </c>
      <c r="X52" s="14" t="s">
        <v>149</v>
      </c>
    </row>
    <row r="53">
      <c r="A53" s="7" t="s">
        <v>150</v>
      </c>
      <c r="B53" s="8" t="s">
        <v>25</v>
      </c>
      <c r="C53" s="9" t="s">
        <v>35</v>
      </c>
      <c r="D53" s="7" t="s">
        <v>62</v>
      </c>
      <c r="E53" s="9">
        <v>29.0</v>
      </c>
      <c r="F53" s="9">
        <v>1994.0</v>
      </c>
      <c r="G53" s="10">
        <v>14.0</v>
      </c>
      <c r="H53" s="11">
        <v>9.0</v>
      </c>
      <c r="I53" s="11">
        <v>822.0</v>
      </c>
      <c r="J53" s="11">
        <v>9.1</v>
      </c>
      <c r="K53" s="12">
        <v>0.0</v>
      </c>
      <c r="L53" s="11">
        <v>1.0</v>
      </c>
      <c r="M53" s="11">
        <v>1.0</v>
      </c>
      <c r="N53" s="13">
        <v>0.0</v>
      </c>
      <c r="O53" s="13">
        <v>0.0</v>
      </c>
      <c r="P53" s="13">
        <v>0.0</v>
      </c>
      <c r="Q53" s="11">
        <v>2.0</v>
      </c>
      <c r="R53" s="13">
        <v>0.0</v>
      </c>
      <c r="S53" s="12">
        <v>0.0</v>
      </c>
      <c r="T53" s="11">
        <v>0.11</v>
      </c>
      <c r="U53" s="11">
        <v>0.11</v>
      </c>
      <c r="V53" s="13">
        <v>0.0</v>
      </c>
      <c r="W53" s="11">
        <v>0.11</v>
      </c>
      <c r="X53" s="14" t="s">
        <v>151</v>
      </c>
    </row>
    <row r="54">
      <c r="A54" s="7" t="s">
        <v>152</v>
      </c>
      <c r="B54" s="8" t="s">
        <v>25</v>
      </c>
      <c r="C54" s="9" t="s">
        <v>55</v>
      </c>
      <c r="D54" s="7" t="s">
        <v>52</v>
      </c>
      <c r="E54" s="9">
        <v>23.0</v>
      </c>
      <c r="F54" s="9">
        <v>2000.0</v>
      </c>
      <c r="G54" s="10">
        <v>10.0</v>
      </c>
      <c r="H54" s="11">
        <v>2.0</v>
      </c>
      <c r="I54" s="11">
        <v>287.0</v>
      </c>
      <c r="J54" s="11">
        <v>3.2</v>
      </c>
      <c r="K54" s="10">
        <v>1.0</v>
      </c>
      <c r="L54" s="13">
        <v>0.0</v>
      </c>
      <c r="M54" s="11">
        <v>1.0</v>
      </c>
      <c r="N54" s="11">
        <v>1.0</v>
      </c>
      <c r="O54" s="13">
        <v>0.0</v>
      </c>
      <c r="P54" s="13">
        <v>0.0</v>
      </c>
      <c r="Q54" s="13">
        <v>0.0</v>
      </c>
      <c r="R54" s="13">
        <v>0.0</v>
      </c>
      <c r="S54" s="10">
        <v>0.31</v>
      </c>
      <c r="T54" s="13">
        <v>0.0</v>
      </c>
      <c r="U54" s="11">
        <v>0.31</v>
      </c>
      <c r="V54" s="11">
        <v>0.31</v>
      </c>
      <c r="W54" s="11">
        <v>0.31</v>
      </c>
      <c r="X54" s="14" t="s">
        <v>153</v>
      </c>
    </row>
    <row r="55">
      <c r="A55" s="7" t="s">
        <v>154</v>
      </c>
      <c r="B55" s="8" t="s">
        <v>25</v>
      </c>
      <c r="C55" s="9" t="s">
        <v>47</v>
      </c>
      <c r="D55" s="7" t="s">
        <v>31</v>
      </c>
      <c r="E55" s="9">
        <v>21.0</v>
      </c>
      <c r="F55" s="9">
        <v>2003.0</v>
      </c>
      <c r="G55" s="10">
        <v>19.0</v>
      </c>
      <c r="H55" s="11">
        <v>10.0</v>
      </c>
      <c r="I55" s="11">
        <v>857.0</v>
      </c>
      <c r="J55" s="11">
        <v>9.5</v>
      </c>
      <c r="K55" s="12">
        <v>0.0</v>
      </c>
      <c r="L55" s="11">
        <v>4.0</v>
      </c>
      <c r="M55" s="11">
        <v>4.0</v>
      </c>
      <c r="N55" s="13">
        <v>0.0</v>
      </c>
      <c r="O55" s="13">
        <v>0.0</v>
      </c>
      <c r="P55" s="13">
        <v>0.0</v>
      </c>
      <c r="Q55" s="11">
        <v>3.0</v>
      </c>
      <c r="R55" s="13">
        <v>0.0</v>
      </c>
      <c r="S55" s="12">
        <v>0.0</v>
      </c>
      <c r="T55" s="11">
        <v>0.42</v>
      </c>
      <c r="U55" s="11">
        <v>0.42</v>
      </c>
      <c r="V55" s="13">
        <v>0.0</v>
      </c>
      <c r="W55" s="11">
        <v>0.42</v>
      </c>
      <c r="X55" s="14" t="s">
        <v>155</v>
      </c>
    </row>
    <row r="56">
      <c r="A56" s="7" t="s">
        <v>156</v>
      </c>
      <c r="B56" s="8" t="s">
        <v>157</v>
      </c>
      <c r="C56" s="9" t="s">
        <v>47</v>
      </c>
      <c r="D56" s="7" t="s">
        <v>98</v>
      </c>
      <c r="E56" s="9">
        <v>20.0</v>
      </c>
      <c r="F56" s="9">
        <v>2003.0</v>
      </c>
      <c r="G56" s="10">
        <v>13.0</v>
      </c>
      <c r="H56" s="11">
        <v>2.0</v>
      </c>
      <c r="I56" s="11">
        <v>219.0</v>
      </c>
      <c r="J56" s="11">
        <v>2.4</v>
      </c>
      <c r="K56" s="12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0.0</v>
      </c>
      <c r="Q56" s="11">
        <v>1.0</v>
      </c>
      <c r="R56" s="13">
        <v>0.0</v>
      </c>
      <c r="S56" s="12">
        <v>0.0</v>
      </c>
      <c r="T56" s="13">
        <v>0.0</v>
      </c>
      <c r="U56" s="13">
        <v>0.0</v>
      </c>
      <c r="V56" s="13">
        <v>0.0</v>
      </c>
      <c r="W56" s="13">
        <v>0.0</v>
      </c>
      <c r="X56" s="14" t="s">
        <v>158</v>
      </c>
    </row>
    <row r="57">
      <c r="A57" s="7" t="s">
        <v>159</v>
      </c>
      <c r="B57" s="8" t="s">
        <v>34</v>
      </c>
      <c r="C57" s="9" t="s">
        <v>26</v>
      </c>
      <c r="D57" s="7" t="s">
        <v>128</v>
      </c>
      <c r="E57" s="9">
        <v>23.0</v>
      </c>
      <c r="F57" s="9">
        <v>2000.0</v>
      </c>
      <c r="G57" s="10">
        <v>35.0</v>
      </c>
      <c r="H57" s="11">
        <v>35.0</v>
      </c>
      <c r="I57" s="15">
        <v>2963.0</v>
      </c>
      <c r="J57" s="11">
        <v>32.9</v>
      </c>
      <c r="K57" s="10">
        <v>4.0</v>
      </c>
      <c r="L57" s="13">
        <v>0.0</v>
      </c>
      <c r="M57" s="11">
        <v>4.0</v>
      </c>
      <c r="N57" s="11">
        <v>4.0</v>
      </c>
      <c r="O57" s="13">
        <v>0.0</v>
      </c>
      <c r="P57" s="13">
        <v>0.0</v>
      </c>
      <c r="Q57" s="11">
        <v>7.0</v>
      </c>
      <c r="R57" s="13">
        <v>0.0</v>
      </c>
      <c r="S57" s="10">
        <v>0.12</v>
      </c>
      <c r="T57" s="13">
        <v>0.0</v>
      </c>
      <c r="U57" s="11">
        <v>0.12</v>
      </c>
      <c r="V57" s="11">
        <v>0.12</v>
      </c>
      <c r="W57" s="11">
        <v>0.12</v>
      </c>
      <c r="X57" s="14" t="s">
        <v>160</v>
      </c>
    </row>
    <row r="58">
      <c r="A58" s="7" t="s">
        <v>161</v>
      </c>
      <c r="B58" s="8" t="s">
        <v>34</v>
      </c>
      <c r="C58" s="9" t="s">
        <v>47</v>
      </c>
      <c r="D58" s="7" t="s">
        <v>98</v>
      </c>
      <c r="E58" s="9">
        <v>23.0</v>
      </c>
      <c r="F58" s="9">
        <v>2000.0</v>
      </c>
      <c r="G58" s="10">
        <v>33.0</v>
      </c>
      <c r="H58" s="11">
        <v>28.0</v>
      </c>
      <c r="I58" s="15">
        <v>2382.0</v>
      </c>
      <c r="J58" s="11">
        <v>26.5</v>
      </c>
      <c r="K58" s="10">
        <v>3.0</v>
      </c>
      <c r="L58" s="11">
        <v>3.0</v>
      </c>
      <c r="M58" s="11">
        <v>6.0</v>
      </c>
      <c r="N58" s="11">
        <v>3.0</v>
      </c>
      <c r="O58" s="13">
        <v>0.0</v>
      </c>
      <c r="P58" s="13">
        <v>0.0</v>
      </c>
      <c r="Q58" s="11">
        <v>6.0</v>
      </c>
      <c r="R58" s="13">
        <v>0.0</v>
      </c>
      <c r="S58" s="10">
        <v>0.11</v>
      </c>
      <c r="T58" s="11">
        <v>0.11</v>
      </c>
      <c r="U58" s="11">
        <v>0.23</v>
      </c>
      <c r="V58" s="11">
        <v>0.11</v>
      </c>
      <c r="W58" s="11">
        <v>0.23</v>
      </c>
      <c r="X58" s="14" t="s">
        <v>162</v>
      </c>
    </row>
    <row r="59">
      <c r="A59" s="7" t="s">
        <v>163</v>
      </c>
      <c r="B59" s="8" t="s">
        <v>25</v>
      </c>
      <c r="C59" s="9" t="s">
        <v>83</v>
      </c>
      <c r="D59" s="7" t="s">
        <v>36</v>
      </c>
      <c r="E59" s="9">
        <v>25.0</v>
      </c>
      <c r="F59" s="9">
        <v>1998.0</v>
      </c>
      <c r="G59" s="10">
        <v>26.0</v>
      </c>
      <c r="H59" s="11">
        <v>21.0</v>
      </c>
      <c r="I59" s="15">
        <v>1906.0</v>
      </c>
      <c r="J59" s="11">
        <v>21.2</v>
      </c>
      <c r="K59" s="10">
        <v>1.0</v>
      </c>
      <c r="L59" s="11">
        <v>3.0</v>
      </c>
      <c r="M59" s="11">
        <v>4.0</v>
      </c>
      <c r="N59" s="11">
        <v>1.0</v>
      </c>
      <c r="O59" s="13">
        <v>0.0</v>
      </c>
      <c r="P59" s="13">
        <v>0.0</v>
      </c>
      <c r="Q59" s="13">
        <v>0.0</v>
      </c>
      <c r="R59" s="13">
        <v>0.0</v>
      </c>
      <c r="S59" s="10">
        <v>0.05</v>
      </c>
      <c r="T59" s="11">
        <v>0.14</v>
      </c>
      <c r="U59" s="11">
        <v>0.19</v>
      </c>
      <c r="V59" s="11">
        <v>0.05</v>
      </c>
      <c r="W59" s="11">
        <v>0.19</v>
      </c>
      <c r="X59" s="14" t="s">
        <v>164</v>
      </c>
    </row>
    <row r="60">
      <c r="A60" s="7" t="s">
        <v>165</v>
      </c>
      <c r="B60" s="8" t="s">
        <v>25</v>
      </c>
      <c r="C60" s="9" t="s">
        <v>77</v>
      </c>
      <c r="D60" s="7" t="s">
        <v>58</v>
      </c>
      <c r="E60" s="9">
        <v>25.0</v>
      </c>
      <c r="F60" s="9">
        <v>1998.0</v>
      </c>
      <c r="G60" s="10">
        <v>36.0</v>
      </c>
      <c r="H60" s="11">
        <v>36.0</v>
      </c>
      <c r="I60" s="15">
        <v>3240.0</v>
      </c>
      <c r="J60" s="11">
        <v>36.0</v>
      </c>
      <c r="K60" s="12">
        <v>0.0</v>
      </c>
      <c r="L60" s="11">
        <v>1.0</v>
      </c>
      <c r="M60" s="11">
        <v>1.0</v>
      </c>
      <c r="N60" s="13">
        <v>0.0</v>
      </c>
      <c r="O60" s="13">
        <v>0.0</v>
      </c>
      <c r="P60" s="13">
        <v>0.0</v>
      </c>
      <c r="Q60" s="11">
        <v>2.0</v>
      </c>
      <c r="R60" s="13">
        <v>0.0</v>
      </c>
      <c r="S60" s="12">
        <v>0.0</v>
      </c>
      <c r="T60" s="11">
        <v>0.03</v>
      </c>
      <c r="U60" s="11">
        <v>0.03</v>
      </c>
      <c r="V60" s="13">
        <v>0.0</v>
      </c>
      <c r="W60" s="11">
        <v>0.03</v>
      </c>
      <c r="X60" s="14" t="s">
        <v>166</v>
      </c>
    </row>
    <row r="61">
      <c r="A61" s="7" t="s">
        <v>167</v>
      </c>
      <c r="B61" s="8" t="s">
        <v>25</v>
      </c>
      <c r="C61" s="9" t="s">
        <v>35</v>
      </c>
      <c r="D61" s="7" t="s">
        <v>27</v>
      </c>
      <c r="E61" s="9">
        <v>26.0</v>
      </c>
      <c r="F61" s="9">
        <v>1997.0</v>
      </c>
      <c r="G61" s="10">
        <v>19.0</v>
      </c>
      <c r="H61" s="11">
        <v>18.0</v>
      </c>
      <c r="I61" s="15">
        <v>1561.0</v>
      </c>
      <c r="J61" s="11">
        <v>17.3</v>
      </c>
      <c r="K61" s="10">
        <v>1.0</v>
      </c>
      <c r="L61" s="11">
        <v>1.0</v>
      </c>
      <c r="M61" s="11">
        <v>2.0</v>
      </c>
      <c r="N61" s="11">
        <v>1.0</v>
      </c>
      <c r="O61" s="13">
        <v>0.0</v>
      </c>
      <c r="P61" s="13">
        <v>0.0</v>
      </c>
      <c r="Q61" s="11">
        <v>6.0</v>
      </c>
      <c r="R61" s="13">
        <v>0.0</v>
      </c>
      <c r="S61" s="10">
        <v>0.06</v>
      </c>
      <c r="T61" s="11">
        <v>0.06</v>
      </c>
      <c r="U61" s="11">
        <v>0.12</v>
      </c>
      <c r="V61" s="11">
        <v>0.06</v>
      </c>
      <c r="W61" s="11">
        <v>0.12</v>
      </c>
      <c r="X61" s="14" t="s">
        <v>168</v>
      </c>
    </row>
    <row r="62">
      <c r="A62" s="7" t="s">
        <v>169</v>
      </c>
      <c r="B62" s="8" t="s">
        <v>25</v>
      </c>
      <c r="C62" s="9" t="s">
        <v>26</v>
      </c>
      <c r="D62" s="7" t="s">
        <v>62</v>
      </c>
      <c r="E62" s="9">
        <v>33.0</v>
      </c>
      <c r="F62" s="9">
        <v>1990.0</v>
      </c>
      <c r="G62" s="10">
        <v>33.0</v>
      </c>
      <c r="H62" s="11">
        <v>31.0</v>
      </c>
      <c r="I62" s="15">
        <v>2528.0</v>
      </c>
      <c r="J62" s="11">
        <v>28.1</v>
      </c>
      <c r="K62" s="10">
        <v>1.0</v>
      </c>
      <c r="L62" s="11">
        <v>3.0</v>
      </c>
      <c r="M62" s="11">
        <v>4.0</v>
      </c>
      <c r="N62" s="13">
        <v>0.0</v>
      </c>
      <c r="O62" s="11">
        <v>1.0</v>
      </c>
      <c r="P62" s="11">
        <v>1.0</v>
      </c>
      <c r="Q62" s="11">
        <v>15.0</v>
      </c>
      <c r="R62" s="13">
        <v>0.0</v>
      </c>
      <c r="S62" s="10">
        <v>0.04</v>
      </c>
      <c r="T62" s="11">
        <v>0.11</v>
      </c>
      <c r="U62" s="11">
        <v>0.14</v>
      </c>
      <c r="V62" s="13">
        <v>0.0</v>
      </c>
      <c r="W62" s="11">
        <v>0.11</v>
      </c>
      <c r="X62" s="14" t="s">
        <v>170</v>
      </c>
    </row>
    <row r="63">
      <c r="A63" s="7" t="s">
        <v>171</v>
      </c>
      <c r="B63" s="8" t="s">
        <v>25</v>
      </c>
      <c r="C63" s="9" t="s">
        <v>83</v>
      </c>
      <c r="D63" s="7" t="s">
        <v>62</v>
      </c>
      <c r="E63" s="9">
        <v>30.0</v>
      </c>
      <c r="F63" s="9">
        <v>1993.0</v>
      </c>
      <c r="G63" s="10">
        <v>16.0</v>
      </c>
      <c r="H63" s="11">
        <v>5.0</v>
      </c>
      <c r="I63" s="11">
        <v>570.0</v>
      </c>
      <c r="J63" s="11">
        <v>6.3</v>
      </c>
      <c r="K63" s="10">
        <v>1.0</v>
      </c>
      <c r="L63" s="13">
        <v>0.0</v>
      </c>
      <c r="M63" s="11">
        <v>1.0</v>
      </c>
      <c r="N63" s="11">
        <v>1.0</v>
      </c>
      <c r="O63" s="13">
        <v>0.0</v>
      </c>
      <c r="P63" s="13">
        <v>0.0</v>
      </c>
      <c r="Q63" s="11">
        <v>1.0</v>
      </c>
      <c r="R63" s="13">
        <v>0.0</v>
      </c>
      <c r="S63" s="10">
        <v>0.16</v>
      </c>
      <c r="T63" s="13">
        <v>0.0</v>
      </c>
      <c r="U63" s="11">
        <v>0.16</v>
      </c>
      <c r="V63" s="11">
        <v>0.16</v>
      </c>
      <c r="W63" s="11">
        <v>0.16</v>
      </c>
      <c r="X63" s="14" t="s">
        <v>172</v>
      </c>
    </row>
    <row r="64">
      <c r="A64" s="7" t="s">
        <v>173</v>
      </c>
      <c r="B64" s="8" t="s">
        <v>25</v>
      </c>
      <c r="C64" s="9" t="s">
        <v>35</v>
      </c>
      <c r="D64" s="7" t="s">
        <v>128</v>
      </c>
      <c r="E64" s="9">
        <v>18.0</v>
      </c>
      <c r="F64" s="9">
        <v>2005.0</v>
      </c>
      <c r="G64" s="10">
        <v>4.0</v>
      </c>
      <c r="H64" s="11">
        <v>3.0</v>
      </c>
      <c r="I64" s="11">
        <v>187.0</v>
      </c>
      <c r="J64" s="11">
        <v>2.1</v>
      </c>
      <c r="K64" s="12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0.0</v>
      </c>
      <c r="Q64" s="11">
        <v>3.0</v>
      </c>
      <c r="R64" s="13">
        <v>0.0</v>
      </c>
      <c r="S64" s="12">
        <v>0.0</v>
      </c>
      <c r="T64" s="13">
        <v>0.0</v>
      </c>
      <c r="U64" s="13">
        <v>0.0</v>
      </c>
      <c r="V64" s="13">
        <v>0.0</v>
      </c>
      <c r="W64" s="13">
        <v>0.0</v>
      </c>
      <c r="X64" s="14" t="s">
        <v>174</v>
      </c>
    </row>
    <row r="65">
      <c r="A65" s="7" t="s">
        <v>175</v>
      </c>
      <c r="B65" s="8" t="s">
        <v>25</v>
      </c>
      <c r="C65" s="9" t="s">
        <v>26</v>
      </c>
      <c r="D65" s="7" t="s">
        <v>31</v>
      </c>
      <c r="E65" s="9">
        <v>17.0</v>
      </c>
      <c r="F65" s="9">
        <v>2006.0</v>
      </c>
      <c r="G65" s="10">
        <v>6.0</v>
      </c>
      <c r="H65" s="11">
        <v>3.0</v>
      </c>
      <c r="I65" s="11">
        <v>300.0</v>
      </c>
      <c r="J65" s="11">
        <v>3.3</v>
      </c>
      <c r="K65" s="10">
        <v>1.0</v>
      </c>
      <c r="L65" s="13">
        <v>0.0</v>
      </c>
      <c r="M65" s="11">
        <v>1.0</v>
      </c>
      <c r="N65" s="11">
        <v>1.0</v>
      </c>
      <c r="O65" s="13">
        <v>0.0</v>
      </c>
      <c r="P65" s="13">
        <v>0.0</v>
      </c>
      <c r="Q65" s="13">
        <v>0.0</v>
      </c>
      <c r="R65" s="13">
        <v>0.0</v>
      </c>
      <c r="S65" s="10">
        <v>0.3</v>
      </c>
      <c r="T65" s="13">
        <v>0.0</v>
      </c>
      <c r="U65" s="11">
        <v>0.3</v>
      </c>
      <c r="V65" s="11">
        <v>0.3</v>
      </c>
      <c r="W65" s="11">
        <v>0.3</v>
      </c>
      <c r="X65" s="14" t="s">
        <v>176</v>
      </c>
    </row>
    <row r="66">
      <c r="A66" s="7" t="s">
        <v>177</v>
      </c>
      <c r="B66" s="8" t="s">
        <v>25</v>
      </c>
      <c r="C66" s="9" t="s">
        <v>26</v>
      </c>
      <c r="D66" s="7" t="s">
        <v>128</v>
      </c>
      <c r="E66" s="9">
        <v>16.0</v>
      </c>
      <c r="F66" s="9">
        <v>2008.0</v>
      </c>
      <c r="G66" s="10">
        <v>3.0</v>
      </c>
      <c r="H66" s="13">
        <v>0.0</v>
      </c>
      <c r="I66" s="11">
        <v>35.0</v>
      </c>
      <c r="J66" s="11">
        <v>0.4</v>
      </c>
      <c r="K66" s="12">
        <v>0.0</v>
      </c>
      <c r="L66" s="13">
        <v>0.0</v>
      </c>
      <c r="M66" s="13">
        <v>0.0</v>
      </c>
      <c r="N66" s="13">
        <v>0.0</v>
      </c>
      <c r="O66" s="13">
        <v>0.0</v>
      </c>
      <c r="P66" s="13">
        <v>0.0</v>
      </c>
      <c r="Q66" s="13">
        <v>0.0</v>
      </c>
      <c r="R66" s="13">
        <v>0.0</v>
      </c>
      <c r="S66" s="12">
        <v>0.0</v>
      </c>
      <c r="T66" s="13">
        <v>0.0</v>
      </c>
      <c r="U66" s="13">
        <v>0.0</v>
      </c>
      <c r="V66" s="13">
        <v>0.0</v>
      </c>
      <c r="W66" s="13">
        <v>0.0</v>
      </c>
      <c r="X66" s="14" t="s">
        <v>178</v>
      </c>
    </row>
    <row r="67">
      <c r="A67" s="7" t="s">
        <v>179</v>
      </c>
      <c r="B67" s="8" t="s">
        <v>34</v>
      </c>
      <c r="C67" s="9" t="s">
        <v>35</v>
      </c>
      <c r="D67" s="7" t="s">
        <v>80</v>
      </c>
      <c r="E67" s="9">
        <v>22.0</v>
      </c>
      <c r="F67" s="9">
        <v>2002.0</v>
      </c>
      <c r="G67" s="10">
        <v>9.0</v>
      </c>
      <c r="H67" s="11">
        <v>8.0</v>
      </c>
      <c r="I67" s="11">
        <v>691.0</v>
      </c>
      <c r="J67" s="11">
        <v>7.7</v>
      </c>
      <c r="K67" s="12">
        <v>0.0</v>
      </c>
      <c r="L67" s="13">
        <v>0.0</v>
      </c>
      <c r="M67" s="13">
        <v>0.0</v>
      </c>
      <c r="N67" s="13">
        <v>0.0</v>
      </c>
      <c r="O67" s="13">
        <v>0.0</v>
      </c>
      <c r="P67" s="13">
        <v>0.0</v>
      </c>
      <c r="Q67" s="11">
        <v>1.0</v>
      </c>
      <c r="R67" s="13">
        <v>0.0</v>
      </c>
      <c r="S67" s="12">
        <v>0.0</v>
      </c>
      <c r="T67" s="13">
        <v>0.0</v>
      </c>
      <c r="U67" s="13">
        <v>0.0</v>
      </c>
      <c r="V67" s="13">
        <v>0.0</v>
      </c>
      <c r="W67" s="13">
        <v>0.0</v>
      </c>
      <c r="X67" s="14" t="s">
        <v>180</v>
      </c>
    </row>
    <row r="68">
      <c r="A68" s="7" t="s">
        <v>181</v>
      </c>
      <c r="B68" s="8" t="s">
        <v>25</v>
      </c>
      <c r="C68" s="9" t="s">
        <v>35</v>
      </c>
      <c r="D68" s="7" t="s">
        <v>31</v>
      </c>
      <c r="E68" s="9">
        <v>27.0</v>
      </c>
      <c r="F68" s="9">
        <v>1996.0</v>
      </c>
      <c r="G68" s="10">
        <v>31.0</v>
      </c>
      <c r="H68" s="11">
        <v>29.0</v>
      </c>
      <c r="I68" s="15">
        <v>2514.0</v>
      </c>
      <c r="J68" s="11">
        <v>27.9</v>
      </c>
      <c r="K68" s="10">
        <v>1.0</v>
      </c>
      <c r="L68" s="11">
        <v>1.0</v>
      </c>
      <c r="M68" s="11">
        <v>2.0</v>
      </c>
      <c r="N68" s="11">
        <v>1.0</v>
      </c>
      <c r="O68" s="13">
        <v>0.0</v>
      </c>
      <c r="P68" s="13">
        <v>0.0</v>
      </c>
      <c r="Q68" s="11">
        <v>10.0</v>
      </c>
      <c r="R68" s="13">
        <v>0.0</v>
      </c>
      <c r="S68" s="10">
        <v>0.04</v>
      </c>
      <c r="T68" s="11">
        <v>0.04</v>
      </c>
      <c r="U68" s="11">
        <v>0.07</v>
      </c>
      <c r="V68" s="11">
        <v>0.04</v>
      </c>
      <c r="W68" s="11">
        <v>0.07</v>
      </c>
      <c r="X68" s="14" t="s">
        <v>182</v>
      </c>
    </row>
    <row r="69">
      <c r="A69" s="7" t="s">
        <v>183</v>
      </c>
      <c r="B69" s="8" t="s">
        <v>25</v>
      </c>
      <c r="C69" s="9" t="s">
        <v>26</v>
      </c>
      <c r="D69" s="7" t="s">
        <v>52</v>
      </c>
      <c r="E69" s="9">
        <v>27.0</v>
      </c>
      <c r="F69" s="9">
        <v>1996.0</v>
      </c>
      <c r="G69" s="10">
        <v>26.0</v>
      </c>
      <c r="H69" s="11">
        <v>12.0</v>
      </c>
      <c r="I69" s="15">
        <v>1154.0</v>
      </c>
      <c r="J69" s="11">
        <v>12.8</v>
      </c>
      <c r="K69" s="10">
        <v>1.0</v>
      </c>
      <c r="L69" s="11">
        <v>3.0</v>
      </c>
      <c r="M69" s="11">
        <v>4.0</v>
      </c>
      <c r="N69" s="11">
        <v>1.0</v>
      </c>
      <c r="O69" s="13">
        <v>0.0</v>
      </c>
      <c r="P69" s="13">
        <v>0.0</v>
      </c>
      <c r="Q69" s="11">
        <v>2.0</v>
      </c>
      <c r="R69" s="13">
        <v>0.0</v>
      </c>
      <c r="S69" s="10">
        <v>0.08</v>
      </c>
      <c r="T69" s="11">
        <v>0.23</v>
      </c>
      <c r="U69" s="11">
        <v>0.31</v>
      </c>
      <c r="V69" s="11">
        <v>0.08</v>
      </c>
      <c r="W69" s="11">
        <v>0.31</v>
      </c>
      <c r="X69" s="14" t="s">
        <v>184</v>
      </c>
    </row>
    <row r="70">
      <c r="A70" s="7" t="s">
        <v>185</v>
      </c>
      <c r="B70" s="8" t="s">
        <v>25</v>
      </c>
      <c r="C70" s="9" t="s">
        <v>47</v>
      </c>
      <c r="D70" s="7" t="s">
        <v>31</v>
      </c>
      <c r="E70" s="9">
        <v>25.0</v>
      </c>
      <c r="F70" s="9">
        <v>1998.0</v>
      </c>
      <c r="G70" s="10">
        <v>10.0</v>
      </c>
      <c r="H70" s="11">
        <v>7.0</v>
      </c>
      <c r="I70" s="11">
        <v>614.0</v>
      </c>
      <c r="J70" s="11">
        <v>6.8</v>
      </c>
      <c r="K70" s="10">
        <v>1.0</v>
      </c>
      <c r="L70" s="11">
        <v>1.0</v>
      </c>
      <c r="M70" s="11">
        <v>2.0</v>
      </c>
      <c r="N70" s="11">
        <v>1.0</v>
      </c>
      <c r="O70" s="13">
        <v>0.0</v>
      </c>
      <c r="P70" s="13">
        <v>0.0</v>
      </c>
      <c r="Q70" s="11">
        <v>1.0</v>
      </c>
      <c r="R70" s="13">
        <v>0.0</v>
      </c>
      <c r="S70" s="10">
        <v>0.15</v>
      </c>
      <c r="T70" s="11">
        <v>0.15</v>
      </c>
      <c r="U70" s="11">
        <v>0.29</v>
      </c>
      <c r="V70" s="11">
        <v>0.15</v>
      </c>
      <c r="W70" s="11">
        <v>0.29</v>
      </c>
      <c r="X70" s="14" t="s">
        <v>186</v>
      </c>
    </row>
    <row r="71">
      <c r="A71" s="7" t="s">
        <v>187</v>
      </c>
      <c r="B71" s="8" t="s">
        <v>25</v>
      </c>
      <c r="C71" s="9" t="s">
        <v>55</v>
      </c>
      <c r="D71" s="7" t="s">
        <v>58</v>
      </c>
      <c r="E71" s="9">
        <v>16.0</v>
      </c>
      <c r="F71" s="9">
        <v>2007.0</v>
      </c>
      <c r="G71" s="10">
        <v>1.0</v>
      </c>
      <c r="H71" s="13">
        <v>0.0</v>
      </c>
      <c r="I71" s="11">
        <v>1.0</v>
      </c>
      <c r="J71" s="13">
        <v>0.0</v>
      </c>
      <c r="K71" s="12">
        <v>0.0</v>
      </c>
      <c r="L71" s="13">
        <v>0.0</v>
      </c>
      <c r="M71" s="13">
        <v>0.0</v>
      </c>
      <c r="N71" s="13">
        <v>0.0</v>
      </c>
      <c r="O71" s="13">
        <v>0.0</v>
      </c>
      <c r="P71" s="13">
        <v>0.0</v>
      </c>
      <c r="Q71" s="13">
        <v>0.0</v>
      </c>
      <c r="R71" s="13">
        <v>0.0</v>
      </c>
      <c r="S71" s="12">
        <v>0.0</v>
      </c>
      <c r="T71" s="13">
        <v>0.0</v>
      </c>
      <c r="U71" s="13">
        <v>0.0</v>
      </c>
      <c r="V71" s="13">
        <v>0.0</v>
      </c>
      <c r="W71" s="13">
        <v>0.0</v>
      </c>
      <c r="X71" s="14" t="s">
        <v>188</v>
      </c>
    </row>
    <row r="72">
      <c r="A72" s="7" t="s">
        <v>189</v>
      </c>
      <c r="B72" s="8" t="s">
        <v>25</v>
      </c>
      <c r="C72" s="9" t="s">
        <v>47</v>
      </c>
      <c r="D72" s="7" t="s">
        <v>44</v>
      </c>
      <c r="E72" s="9">
        <v>24.0</v>
      </c>
      <c r="F72" s="9">
        <v>1999.0</v>
      </c>
      <c r="G72" s="10">
        <v>29.0</v>
      </c>
      <c r="H72" s="11">
        <v>16.0</v>
      </c>
      <c r="I72" s="15">
        <v>1332.0</v>
      </c>
      <c r="J72" s="11">
        <v>14.8</v>
      </c>
      <c r="K72" s="10">
        <v>3.0</v>
      </c>
      <c r="L72" s="11">
        <v>1.0</v>
      </c>
      <c r="M72" s="11">
        <v>4.0</v>
      </c>
      <c r="N72" s="11">
        <v>3.0</v>
      </c>
      <c r="O72" s="13">
        <v>0.0</v>
      </c>
      <c r="P72" s="13">
        <v>0.0</v>
      </c>
      <c r="Q72" s="11">
        <v>6.0</v>
      </c>
      <c r="R72" s="13">
        <v>0.0</v>
      </c>
      <c r="S72" s="10">
        <v>0.2</v>
      </c>
      <c r="T72" s="11">
        <v>0.07</v>
      </c>
      <c r="U72" s="11">
        <v>0.27</v>
      </c>
      <c r="V72" s="11">
        <v>0.2</v>
      </c>
      <c r="W72" s="11">
        <v>0.27</v>
      </c>
      <c r="X72" s="14" t="s">
        <v>190</v>
      </c>
    </row>
    <row r="73">
      <c r="A73" s="7" t="s">
        <v>191</v>
      </c>
      <c r="B73" s="8" t="s">
        <v>70</v>
      </c>
      <c r="C73" s="9" t="s">
        <v>30</v>
      </c>
      <c r="D73" s="7" t="s">
        <v>52</v>
      </c>
      <c r="E73" s="9">
        <v>28.0</v>
      </c>
      <c r="F73" s="9">
        <v>1995.0</v>
      </c>
      <c r="G73" s="10">
        <v>32.0</v>
      </c>
      <c r="H73" s="11">
        <v>14.0</v>
      </c>
      <c r="I73" s="15">
        <v>1499.0</v>
      </c>
      <c r="J73" s="11">
        <v>16.7</v>
      </c>
      <c r="K73" s="10">
        <v>7.0</v>
      </c>
      <c r="L73" s="11">
        <v>2.0</v>
      </c>
      <c r="M73" s="11">
        <v>9.0</v>
      </c>
      <c r="N73" s="11">
        <v>7.0</v>
      </c>
      <c r="O73" s="13">
        <v>0.0</v>
      </c>
      <c r="P73" s="13">
        <v>0.0</v>
      </c>
      <c r="Q73" s="11">
        <v>4.0</v>
      </c>
      <c r="R73" s="13">
        <v>0.0</v>
      </c>
      <c r="S73" s="10">
        <v>0.42</v>
      </c>
      <c r="T73" s="11">
        <v>0.12</v>
      </c>
      <c r="U73" s="11">
        <v>0.54</v>
      </c>
      <c r="V73" s="11">
        <v>0.42</v>
      </c>
      <c r="W73" s="11">
        <v>0.54</v>
      </c>
      <c r="X73" s="14" t="s">
        <v>192</v>
      </c>
    </row>
    <row r="74">
      <c r="A74" s="7" t="s">
        <v>193</v>
      </c>
      <c r="B74" s="8" t="s">
        <v>25</v>
      </c>
      <c r="C74" s="9" t="s">
        <v>77</v>
      </c>
      <c r="D74" s="7" t="s">
        <v>27</v>
      </c>
      <c r="E74" s="9">
        <v>29.0</v>
      </c>
      <c r="F74" s="9">
        <v>1994.0</v>
      </c>
      <c r="G74" s="10">
        <v>20.0</v>
      </c>
      <c r="H74" s="11">
        <v>20.0</v>
      </c>
      <c r="I74" s="15">
        <v>1800.0</v>
      </c>
      <c r="J74" s="11">
        <v>20.0</v>
      </c>
      <c r="K74" s="12">
        <v>0.0</v>
      </c>
      <c r="L74" s="13">
        <v>0.0</v>
      </c>
      <c r="M74" s="13">
        <v>0.0</v>
      </c>
      <c r="N74" s="13">
        <v>0.0</v>
      </c>
      <c r="O74" s="13">
        <v>0.0</v>
      </c>
      <c r="P74" s="13">
        <v>0.0</v>
      </c>
      <c r="Q74" s="11">
        <v>2.0</v>
      </c>
      <c r="R74" s="13">
        <v>0.0</v>
      </c>
      <c r="S74" s="12">
        <v>0.0</v>
      </c>
      <c r="T74" s="13">
        <v>0.0</v>
      </c>
      <c r="U74" s="13">
        <v>0.0</v>
      </c>
      <c r="V74" s="13">
        <v>0.0</v>
      </c>
      <c r="W74" s="13">
        <v>0.0</v>
      </c>
      <c r="X74" s="14" t="s">
        <v>194</v>
      </c>
    </row>
    <row r="75">
      <c r="A75" s="7" t="s">
        <v>195</v>
      </c>
      <c r="B75" s="8" t="s">
        <v>25</v>
      </c>
      <c r="C75" s="9" t="s">
        <v>26</v>
      </c>
      <c r="D75" s="7" t="s">
        <v>80</v>
      </c>
      <c r="E75" s="9">
        <v>25.0</v>
      </c>
      <c r="F75" s="9">
        <v>1998.0</v>
      </c>
      <c r="G75" s="10">
        <v>13.0</v>
      </c>
      <c r="H75" s="11">
        <v>1.0</v>
      </c>
      <c r="I75" s="11">
        <v>325.0</v>
      </c>
      <c r="J75" s="11">
        <v>3.6</v>
      </c>
      <c r="K75" s="12">
        <v>0.0</v>
      </c>
      <c r="L75" s="13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3">
        <v>0.0</v>
      </c>
      <c r="S75" s="12">
        <v>0.0</v>
      </c>
      <c r="T75" s="13">
        <v>0.0</v>
      </c>
      <c r="U75" s="13">
        <v>0.0</v>
      </c>
      <c r="V75" s="13">
        <v>0.0</v>
      </c>
      <c r="W75" s="13">
        <v>0.0</v>
      </c>
      <c r="X75" s="14" t="s">
        <v>196</v>
      </c>
    </row>
    <row r="76">
      <c r="A76" s="7" t="s">
        <v>197</v>
      </c>
      <c r="B76" s="8" t="s">
        <v>97</v>
      </c>
      <c r="C76" s="9" t="s">
        <v>26</v>
      </c>
      <c r="D76" s="7" t="s">
        <v>31</v>
      </c>
      <c r="E76" s="9">
        <v>21.0</v>
      </c>
      <c r="F76" s="9">
        <v>2002.0</v>
      </c>
      <c r="G76" s="10">
        <v>28.0</v>
      </c>
      <c r="H76" s="11">
        <v>23.0</v>
      </c>
      <c r="I76" s="15">
        <v>2086.0</v>
      </c>
      <c r="J76" s="11">
        <v>23.2</v>
      </c>
      <c r="K76" s="10">
        <v>5.0</v>
      </c>
      <c r="L76" s="11">
        <v>5.0</v>
      </c>
      <c r="M76" s="11">
        <v>10.0</v>
      </c>
      <c r="N76" s="11">
        <v>5.0</v>
      </c>
      <c r="O76" s="13">
        <v>0.0</v>
      </c>
      <c r="P76" s="13">
        <v>0.0</v>
      </c>
      <c r="Q76" s="11">
        <v>4.0</v>
      </c>
      <c r="R76" s="13">
        <v>0.0</v>
      </c>
      <c r="S76" s="10">
        <v>0.22</v>
      </c>
      <c r="T76" s="11">
        <v>0.22</v>
      </c>
      <c r="U76" s="11">
        <v>0.43</v>
      </c>
      <c r="V76" s="11">
        <v>0.22</v>
      </c>
      <c r="W76" s="11">
        <v>0.43</v>
      </c>
      <c r="X76" s="14" t="s">
        <v>198</v>
      </c>
    </row>
    <row r="77">
      <c r="A77" s="7" t="s">
        <v>199</v>
      </c>
      <c r="B77" s="8" t="s">
        <v>25</v>
      </c>
      <c r="C77" s="9" t="s">
        <v>35</v>
      </c>
      <c r="D77" s="7" t="s">
        <v>98</v>
      </c>
      <c r="E77" s="9">
        <v>25.0</v>
      </c>
      <c r="F77" s="9">
        <v>1998.0</v>
      </c>
      <c r="G77" s="10">
        <v>33.0</v>
      </c>
      <c r="H77" s="11">
        <v>32.0</v>
      </c>
      <c r="I77" s="15">
        <v>2815.0</v>
      </c>
      <c r="J77" s="11">
        <v>31.3</v>
      </c>
      <c r="K77" s="10">
        <v>2.0</v>
      </c>
      <c r="L77" s="11">
        <v>3.0</v>
      </c>
      <c r="M77" s="11">
        <v>5.0</v>
      </c>
      <c r="N77" s="11">
        <v>2.0</v>
      </c>
      <c r="O77" s="13">
        <v>0.0</v>
      </c>
      <c r="P77" s="13">
        <v>0.0</v>
      </c>
      <c r="Q77" s="11">
        <v>7.0</v>
      </c>
      <c r="R77" s="11">
        <v>1.0</v>
      </c>
      <c r="S77" s="10">
        <v>0.06</v>
      </c>
      <c r="T77" s="11">
        <v>0.1</v>
      </c>
      <c r="U77" s="11">
        <v>0.16</v>
      </c>
      <c r="V77" s="11">
        <v>0.06</v>
      </c>
      <c r="W77" s="11">
        <v>0.16</v>
      </c>
      <c r="X77" s="14" t="s">
        <v>200</v>
      </c>
    </row>
    <row r="78">
      <c r="A78" s="7" t="s">
        <v>201</v>
      </c>
      <c r="B78" s="8" t="s">
        <v>25</v>
      </c>
      <c r="C78" s="9" t="s">
        <v>26</v>
      </c>
      <c r="D78" s="7" t="s">
        <v>36</v>
      </c>
      <c r="E78" s="9">
        <v>26.0</v>
      </c>
      <c r="F78" s="9">
        <v>1997.0</v>
      </c>
      <c r="G78" s="10">
        <v>34.0</v>
      </c>
      <c r="H78" s="11">
        <v>30.0</v>
      </c>
      <c r="I78" s="15">
        <v>2625.0</v>
      </c>
      <c r="J78" s="11">
        <v>29.2</v>
      </c>
      <c r="K78" s="10">
        <v>1.0</v>
      </c>
      <c r="L78" s="11">
        <v>4.0</v>
      </c>
      <c r="M78" s="11">
        <v>5.0</v>
      </c>
      <c r="N78" s="11">
        <v>1.0</v>
      </c>
      <c r="O78" s="13">
        <v>0.0</v>
      </c>
      <c r="P78" s="13">
        <v>0.0</v>
      </c>
      <c r="Q78" s="11">
        <v>8.0</v>
      </c>
      <c r="R78" s="13">
        <v>0.0</v>
      </c>
      <c r="S78" s="10">
        <v>0.03</v>
      </c>
      <c r="T78" s="11">
        <v>0.14</v>
      </c>
      <c r="U78" s="11">
        <v>0.17</v>
      </c>
      <c r="V78" s="11">
        <v>0.03</v>
      </c>
      <c r="W78" s="11">
        <v>0.17</v>
      </c>
      <c r="X78" s="14" t="s">
        <v>202</v>
      </c>
    </row>
    <row r="79">
      <c r="A79" s="7" t="s">
        <v>203</v>
      </c>
      <c r="B79" s="8" t="s">
        <v>25</v>
      </c>
      <c r="C79" s="9" t="s">
        <v>47</v>
      </c>
      <c r="D79" s="7" t="s">
        <v>31</v>
      </c>
      <c r="E79" s="9">
        <v>22.0</v>
      </c>
      <c r="F79" s="9">
        <v>2001.0</v>
      </c>
      <c r="G79" s="10">
        <v>27.0</v>
      </c>
      <c r="H79" s="11">
        <v>19.0</v>
      </c>
      <c r="I79" s="15">
        <v>1739.0</v>
      </c>
      <c r="J79" s="11">
        <v>19.3</v>
      </c>
      <c r="K79" s="10">
        <v>1.0</v>
      </c>
      <c r="L79" s="11">
        <v>2.0</v>
      </c>
      <c r="M79" s="11">
        <v>3.0</v>
      </c>
      <c r="N79" s="11">
        <v>1.0</v>
      </c>
      <c r="O79" s="13">
        <v>0.0</v>
      </c>
      <c r="P79" s="13">
        <v>0.0</v>
      </c>
      <c r="Q79" s="11">
        <v>4.0</v>
      </c>
      <c r="R79" s="13">
        <v>0.0</v>
      </c>
      <c r="S79" s="10">
        <v>0.05</v>
      </c>
      <c r="T79" s="11">
        <v>0.1</v>
      </c>
      <c r="U79" s="11">
        <v>0.16</v>
      </c>
      <c r="V79" s="11">
        <v>0.05</v>
      </c>
      <c r="W79" s="11">
        <v>0.16</v>
      </c>
      <c r="X79" s="14" t="s">
        <v>204</v>
      </c>
    </row>
    <row r="80">
      <c r="A80" s="7" t="s">
        <v>205</v>
      </c>
      <c r="B80" s="8" t="s">
        <v>25</v>
      </c>
      <c r="C80" s="9" t="s">
        <v>83</v>
      </c>
      <c r="D80" s="7" t="s">
        <v>98</v>
      </c>
      <c r="E80" s="9">
        <v>23.0</v>
      </c>
      <c r="F80" s="9">
        <v>2000.0</v>
      </c>
      <c r="G80" s="10">
        <v>35.0</v>
      </c>
      <c r="H80" s="11">
        <v>35.0</v>
      </c>
      <c r="I80" s="15">
        <v>3037.0</v>
      </c>
      <c r="J80" s="11">
        <v>33.7</v>
      </c>
      <c r="K80" s="10">
        <v>2.0</v>
      </c>
      <c r="L80" s="11">
        <v>1.0</v>
      </c>
      <c r="M80" s="11">
        <v>3.0</v>
      </c>
      <c r="N80" s="11">
        <v>2.0</v>
      </c>
      <c r="O80" s="13">
        <v>0.0</v>
      </c>
      <c r="P80" s="13">
        <v>0.0</v>
      </c>
      <c r="Q80" s="11">
        <v>8.0</v>
      </c>
      <c r="R80" s="13">
        <v>0.0</v>
      </c>
      <c r="S80" s="10">
        <v>0.06</v>
      </c>
      <c r="T80" s="11">
        <v>0.03</v>
      </c>
      <c r="U80" s="11">
        <v>0.09</v>
      </c>
      <c r="V80" s="11">
        <v>0.06</v>
      </c>
      <c r="W80" s="11">
        <v>0.09</v>
      </c>
      <c r="X80" s="14" t="s">
        <v>206</v>
      </c>
    </row>
    <row r="81">
      <c r="A81" s="7" t="s">
        <v>207</v>
      </c>
      <c r="B81" s="8" t="s">
        <v>25</v>
      </c>
      <c r="C81" s="9" t="s">
        <v>47</v>
      </c>
      <c r="D81" s="7" t="s">
        <v>80</v>
      </c>
      <c r="E81" s="9">
        <v>31.0</v>
      </c>
      <c r="F81" s="9">
        <v>1992.0</v>
      </c>
      <c r="G81" s="10">
        <v>36.0</v>
      </c>
      <c r="H81" s="11">
        <v>34.0</v>
      </c>
      <c r="I81" s="15">
        <v>2994.0</v>
      </c>
      <c r="J81" s="11">
        <v>33.3</v>
      </c>
      <c r="K81" s="10">
        <v>4.0</v>
      </c>
      <c r="L81" s="11">
        <v>4.0</v>
      </c>
      <c r="M81" s="11">
        <v>8.0</v>
      </c>
      <c r="N81" s="11">
        <v>4.0</v>
      </c>
      <c r="O81" s="13">
        <v>0.0</v>
      </c>
      <c r="P81" s="13">
        <v>0.0</v>
      </c>
      <c r="Q81" s="11">
        <v>2.0</v>
      </c>
      <c r="R81" s="13">
        <v>0.0</v>
      </c>
      <c r="S81" s="10">
        <v>0.12</v>
      </c>
      <c r="T81" s="11">
        <v>0.12</v>
      </c>
      <c r="U81" s="11">
        <v>0.24</v>
      </c>
      <c r="V81" s="11">
        <v>0.12</v>
      </c>
      <c r="W81" s="11">
        <v>0.24</v>
      </c>
      <c r="X81" s="14" t="s">
        <v>208</v>
      </c>
    </row>
    <row r="82">
      <c r="A82" s="7" t="s">
        <v>209</v>
      </c>
      <c r="B82" s="8" t="s">
        <v>25</v>
      </c>
      <c r="C82" s="9" t="s">
        <v>47</v>
      </c>
      <c r="D82" s="7" t="s">
        <v>62</v>
      </c>
      <c r="E82" s="9">
        <v>25.0</v>
      </c>
      <c r="F82" s="9">
        <v>1998.0</v>
      </c>
      <c r="G82" s="10">
        <v>36.0</v>
      </c>
      <c r="H82" s="11">
        <v>24.0</v>
      </c>
      <c r="I82" s="15">
        <v>2304.0</v>
      </c>
      <c r="J82" s="11">
        <v>25.6</v>
      </c>
      <c r="K82" s="10">
        <v>2.0</v>
      </c>
      <c r="L82" s="11">
        <v>1.0</v>
      </c>
      <c r="M82" s="11">
        <v>3.0</v>
      </c>
      <c r="N82" s="11">
        <v>2.0</v>
      </c>
      <c r="O82" s="13">
        <v>0.0</v>
      </c>
      <c r="P82" s="13">
        <v>0.0</v>
      </c>
      <c r="Q82" s="11">
        <v>5.0</v>
      </c>
      <c r="R82" s="13">
        <v>0.0</v>
      </c>
      <c r="S82" s="10">
        <v>0.08</v>
      </c>
      <c r="T82" s="11">
        <v>0.04</v>
      </c>
      <c r="U82" s="11">
        <v>0.12</v>
      </c>
      <c r="V82" s="11">
        <v>0.08</v>
      </c>
      <c r="W82" s="11">
        <v>0.12</v>
      </c>
      <c r="X82" s="14" t="s">
        <v>210</v>
      </c>
    </row>
    <row r="83">
      <c r="A83" s="7" t="s">
        <v>211</v>
      </c>
      <c r="B83" s="8" t="s">
        <v>25</v>
      </c>
      <c r="C83" s="9" t="s">
        <v>35</v>
      </c>
      <c r="D83" s="7" t="s">
        <v>36</v>
      </c>
      <c r="E83" s="9">
        <v>33.0</v>
      </c>
      <c r="F83" s="9">
        <v>1990.0</v>
      </c>
      <c r="G83" s="10">
        <v>19.0</v>
      </c>
      <c r="H83" s="11">
        <v>13.0</v>
      </c>
      <c r="I83" s="15">
        <v>1176.0</v>
      </c>
      <c r="J83" s="11">
        <v>13.1</v>
      </c>
      <c r="K83" s="12">
        <v>0.0</v>
      </c>
      <c r="L83" s="13">
        <v>0.0</v>
      </c>
      <c r="M83" s="13">
        <v>0.0</v>
      </c>
      <c r="N83" s="13">
        <v>0.0</v>
      </c>
      <c r="O83" s="13">
        <v>0.0</v>
      </c>
      <c r="P83" s="13">
        <v>0.0</v>
      </c>
      <c r="Q83" s="11">
        <v>4.0</v>
      </c>
      <c r="R83" s="13">
        <v>0.0</v>
      </c>
      <c r="S83" s="12">
        <v>0.0</v>
      </c>
      <c r="T83" s="13">
        <v>0.0</v>
      </c>
      <c r="U83" s="13">
        <v>0.0</v>
      </c>
      <c r="V83" s="13">
        <v>0.0</v>
      </c>
      <c r="W83" s="13">
        <v>0.0</v>
      </c>
      <c r="X83" s="14" t="s">
        <v>212</v>
      </c>
    </row>
    <row r="84">
      <c r="A84" s="7" t="s">
        <v>213</v>
      </c>
      <c r="B84" s="8" t="s">
        <v>25</v>
      </c>
      <c r="C84" s="9" t="s">
        <v>26</v>
      </c>
      <c r="D84" s="7" t="s">
        <v>44</v>
      </c>
      <c r="E84" s="9">
        <v>22.0</v>
      </c>
      <c r="F84" s="9">
        <v>2001.0</v>
      </c>
      <c r="G84" s="10">
        <v>13.0</v>
      </c>
      <c r="H84" s="11">
        <v>13.0</v>
      </c>
      <c r="I84" s="15">
        <v>1166.0</v>
      </c>
      <c r="J84" s="11">
        <v>13.0</v>
      </c>
      <c r="K84" s="10">
        <v>4.0</v>
      </c>
      <c r="L84" s="11">
        <v>3.0</v>
      </c>
      <c r="M84" s="11">
        <v>7.0</v>
      </c>
      <c r="N84" s="11">
        <v>4.0</v>
      </c>
      <c r="O84" s="13">
        <v>0.0</v>
      </c>
      <c r="P84" s="11">
        <v>1.0</v>
      </c>
      <c r="Q84" s="11">
        <v>6.0</v>
      </c>
      <c r="R84" s="13">
        <v>0.0</v>
      </c>
      <c r="S84" s="10">
        <v>0.31</v>
      </c>
      <c r="T84" s="11">
        <v>0.23</v>
      </c>
      <c r="U84" s="11">
        <v>0.54</v>
      </c>
      <c r="V84" s="11">
        <v>0.31</v>
      </c>
      <c r="W84" s="11">
        <v>0.54</v>
      </c>
      <c r="X84" s="14" t="s">
        <v>214</v>
      </c>
    </row>
    <row r="85">
      <c r="A85" s="7" t="s">
        <v>215</v>
      </c>
      <c r="B85" s="8" t="s">
        <v>25</v>
      </c>
      <c r="C85" s="9" t="s">
        <v>47</v>
      </c>
      <c r="D85" s="7" t="s">
        <v>44</v>
      </c>
      <c r="E85" s="9">
        <v>25.0</v>
      </c>
      <c r="F85" s="9">
        <v>1998.0</v>
      </c>
      <c r="G85" s="10">
        <v>35.0</v>
      </c>
      <c r="H85" s="11">
        <v>32.0</v>
      </c>
      <c r="I85" s="15">
        <v>2822.0</v>
      </c>
      <c r="J85" s="11">
        <v>31.4</v>
      </c>
      <c r="K85" s="10">
        <v>7.0</v>
      </c>
      <c r="L85" s="11">
        <v>10.0</v>
      </c>
      <c r="M85" s="11">
        <v>17.0</v>
      </c>
      <c r="N85" s="11">
        <v>5.0</v>
      </c>
      <c r="O85" s="11">
        <v>2.0</v>
      </c>
      <c r="P85" s="11">
        <v>3.0</v>
      </c>
      <c r="Q85" s="11">
        <v>5.0</v>
      </c>
      <c r="R85" s="13">
        <v>0.0</v>
      </c>
      <c r="S85" s="10">
        <v>0.22</v>
      </c>
      <c r="T85" s="11">
        <v>0.32</v>
      </c>
      <c r="U85" s="11">
        <v>0.54</v>
      </c>
      <c r="V85" s="11">
        <v>0.16</v>
      </c>
      <c r="W85" s="11">
        <v>0.48</v>
      </c>
      <c r="X85" s="14" t="s">
        <v>216</v>
      </c>
    </row>
    <row r="86">
      <c r="A86" s="7" t="s">
        <v>217</v>
      </c>
      <c r="B86" s="8" t="s">
        <v>25</v>
      </c>
      <c r="C86" s="9" t="s">
        <v>26</v>
      </c>
      <c r="D86" s="7" t="s">
        <v>98</v>
      </c>
      <c r="E86" s="9">
        <v>21.0</v>
      </c>
      <c r="F86" s="9">
        <v>2002.0</v>
      </c>
      <c r="G86" s="10">
        <v>28.0</v>
      </c>
      <c r="H86" s="11">
        <v>19.0</v>
      </c>
      <c r="I86" s="15">
        <v>1658.0</v>
      </c>
      <c r="J86" s="11">
        <v>18.4</v>
      </c>
      <c r="K86" s="10">
        <v>3.0</v>
      </c>
      <c r="L86" s="11">
        <v>1.0</v>
      </c>
      <c r="M86" s="11">
        <v>4.0</v>
      </c>
      <c r="N86" s="11">
        <v>3.0</v>
      </c>
      <c r="O86" s="13">
        <v>0.0</v>
      </c>
      <c r="P86" s="13">
        <v>0.0</v>
      </c>
      <c r="Q86" s="11">
        <v>6.0</v>
      </c>
      <c r="R86" s="13">
        <v>0.0</v>
      </c>
      <c r="S86" s="10">
        <v>0.16</v>
      </c>
      <c r="T86" s="11">
        <v>0.05</v>
      </c>
      <c r="U86" s="11">
        <v>0.22</v>
      </c>
      <c r="V86" s="11">
        <v>0.16</v>
      </c>
      <c r="W86" s="11">
        <v>0.22</v>
      </c>
      <c r="X86" s="14" t="s">
        <v>218</v>
      </c>
    </row>
    <row r="87">
      <c r="A87" s="7" t="s">
        <v>219</v>
      </c>
      <c r="B87" s="8" t="s">
        <v>25</v>
      </c>
      <c r="C87" s="9" t="s">
        <v>26</v>
      </c>
      <c r="D87" s="7" t="s">
        <v>58</v>
      </c>
      <c r="E87" s="9">
        <v>23.0</v>
      </c>
      <c r="F87" s="9">
        <v>2000.0</v>
      </c>
      <c r="G87" s="10">
        <v>15.0</v>
      </c>
      <c r="H87" s="11">
        <v>1.0</v>
      </c>
      <c r="I87" s="11">
        <v>262.0</v>
      </c>
      <c r="J87" s="11">
        <v>2.9</v>
      </c>
      <c r="K87" s="12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1">
        <v>2.0</v>
      </c>
      <c r="R87" s="13">
        <v>0.0</v>
      </c>
      <c r="S87" s="12">
        <v>0.0</v>
      </c>
      <c r="T87" s="13">
        <v>0.0</v>
      </c>
      <c r="U87" s="13">
        <v>0.0</v>
      </c>
      <c r="V87" s="13">
        <v>0.0</v>
      </c>
      <c r="W87" s="13">
        <v>0.0</v>
      </c>
      <c r="X87" s="14" t="s">
        <v>220</v>
      </c>
    </row>
    <row r="88">
      <c r="A88" s="7" t="s">
        <v>221</v>
      </c>
      <c r="B88" s="8" t="s">
        <v>70</v>
      </c>
      <c r="C88" s="9" t="s">
        <v>26</v>
      </c>
      <c r="D88" s="7" t="s">
        <v>44</v>
      </c>
      <c r="E88" s="9">
        <v>28.0</v>
      </c>
      <c r="F88" s="9">
        <v>1995.0</v>
      </c>
      <c r="G88" s="10">
        <v>26.0</v>
      </c>
      <c r="H88" s="11">
        <v>6.0</v>
      </c>
      <c r="I88" s="11">
        <v>737.0</v>
      </c>
      <c r="J88" s="11">
        <v>8.2</v>
      </c>
      <c r="K88" s="10">
        <v>1.0</v>
      </c>
      <c r="L88" s="11">
        <v>1.0</v>
      </c>
      <c r="M88" s="11">
        <v>2.0</v>
      </c>
      <c r="N88" s="11">
        <v>1.0</v>
      </c>
      <c r="O88" s="13">
        <v>0.0</v>
      </c>
      <c r="P88" s="13">
        <v>0.0</v>
      </c>
      <c r="Q88" s="11">
        <v>4.0</v>
      </c>
      <c r="R88" s="13">
        <v>0.0</v>
      </c>
      <c r="S88" s="10">
        <v>0.12</v>
      </c>
      <c r="T88" s="11">
        <v>0.12</v>
      </c>
      <c r="U88" s="11">
        <v>0.24</v>
      </c>
      <c r="V88" s="11">
        <v>0.12</v>
      </c>
      <c r="W88" s="11">
        <v>0.24</v>
      </c>
      <c r="X88" s="14" t="s">
        <v>222</v>
      </c>
    </row>
    <row r="89">
      <c r="A89" s="7" t="s">
        <v>223</v>
      </c>
      <c r="B89" s="8" t="s">
        <v>34</v>
      </c>
      <c r="C89" s="9" t="s">
        <v>55</v>
      </c>
      <c r="D89" s="7" t="s">
        <v>36</v>
      </c>
      <c r="E89" s="9">
        <v>22.0</v>
      </c>
      <c r="F89" s="9">
        <v>2001.0</v>
      </c>
      <c r="G89" s="10">
        <v>14.0</v>
      </c>
      <c r="H89" s="11">
        <v>14.0</v>
      </c>
      <c r="I89" s="15">
        <v>1160.0</v>
      </c>
      <c r="J89" s="11">
        <v>12.9</v>
      </c>
      <c r="K89" s="10">
        <v>6.0</v>
      </c>
      <c r="L89" s="11">
        <v>2.0</v>
      </c>
      <c r="M89" s="11">
        <v>8.0</v>
      </c>
      <c r="N89" s="11">
        <v>3.0</v>
      </c>
      <c r="O89" s="11">
        <v>3.0</v>
      </c>
      <c r="P89" s="11">
        <v>3.0</v>
      </c>
      <c r="Q89" s="11">
        <v>4.0</v>
      </c>
      <c r="R89" s="13">
        <v>0.0</v>
      </c>
      <c r="S89" s="10">
        <v>0.47</v>
      </c>
      <c r="T89" s="11">
        <v>0.16</v>
      </c>
      <c r="U89" s="11">
        <v>0.62</v>
      </c>
      <c r="V89" s="11">
        <v>0.23</v>
      </c>
      <c r="W89" s="11">
        <v>0.39</v>
      </c>
      <c r="X89" s="14" t="s">
        <v>224</v>
      </c>
    </row>
    <row r="90">
      <c r="A90" s="7" t="s">
        <v>225</v>
      </c>
      <c r="B90" s="8" t="s">
        <v>34</v>
      </c>
      <c r="C90" s="9" t="s">
        <v>35</v>
      </c>
      <c r="D90" s="7" t="s">
        <v>52</v>
      </c>
      <c r="E90" s="9">
        <v>21.0</v>
      </c>
      <c r="F90" s="9">
        <v>2002.0</v>
      </c>
      <c r="G90" s="10">
        <v>3.0</v>
      </c>
      <c r="H90" s="11">
        <v>2.0</v>
      </c>
      <c r="I90" s="11">
        <v>175.0</v>
      </c>
      <c r="J90" s="11">
        <v>1.9</v>
      </c>
      <c r="K90" s="12">
        <v>0.0</v>
      </c>
      <c r="L90" s="13">
        <v>0.0</v>
      </c>
      <c r="M90" s="13">
        <v>0.0</v>
      </c>
      <c r="N90" s="13">
        <v>0.0</v>
      </c>
      <c r="O90" s="13">
        <v>0.0</v>
      </c>
      <c r="P90" s="13">
        <v>0.0</v>
      </c>
      <c r="Q90" s="11">
        <v>2.0</v>
      </c>
      <c r="R90" s="13">
        <v>0.0</v>
      </c>
      <c r="S90" s="12">
        <v>0.0</v>
      </c>
      <c r="T90" s="13">
        <v>0.0</v>
      </c>
      <c r="U90" s="13">
        <v>0.0</v>
      </c>
      <c r="V90" s="13">
        <v>0.0</v>
      </c>
      <c r="W90" s="13">
        <v>0.0</v>
      </c>
      <c r="X90" s="14" t="s">
        <v>226</v>
      </c>
    </row>
    <row r="91">
      <c r="A91" s="7" t="s">
        <v>227</v>
      </c>
      <c r="B91" s="8" t="s">
        <v>25</v>
      </c>
      <c r="C91" s="9" t="s">
        <v>26</v>
      </c>
      <c r="D91" s="7" t="s">
        <v>44</v>
      </c>
      <c r="E91" s="9">
        <v>28.0</v>
      </c>
      <c r="F91" s="9">
        <v>1995.0</v>
      </c>
      <c r="G91" s="10">
        <v>19.0</v>
      </c>
      <c r="H91" s="11">
        <v>10.0</v>
      </c>
      <c r="I91" s="11">
        <v>967.0</v>
      </c>
      <c r="J91" s="11">
        <v>10.7</v>
      </c>
      <c r="K91" s="12">
        <v>0.0</v>
      </c>
      <c r="L91" s="11">
        <v>2.0</v>
      </c>
      <c r="M91" s="11">
        <v>2.0</v>
      </c>
      <c r="N91" s="13">
        <v>0.0</v>
      </c>
      <c r="O91" s="13">
        <v>0.0</v>
      </c>
      <c r="P91" s="13">
        <v>0.0</v>
      </c>
      <c r="Q91" s="11">
        <v>4.0</v>
      </c>
      <c r="R91" s="13">
        <v>0.0</v>
      </c>
      <c r="S91" s="12">
        <v>0.0</v>
      </c>
      <c r="T91" s="11">
        <v>0.19</v>
      </c>
      <c r="U91" s="11">
        <v>0.19</v>
      </c>
      <c r="V91" s="13">
        <v>0.0</v>
      </c>
      <c r="W91" s="11">
        <v>0.19</v>
      </c>
      <c r="X91" s="14" t="s">
        <v>228</v>
      </c>
    </row>
    <row r="92">
      <c r="A92" s="7" t="s">
        <v>229</v>
      </c>
      <c r="B92" s="8" t="s">
        <v>25</v>
      </c>
      <c r="C92" s="9" t="s">
        <v>26</v>
      </c>
      <c r="D92" s="7" t="s">
        <v>31</v>
      </c>
      <c r="E92" s="9">
        <v>26.0</v>
      </c>
      <c r="F92" s="9">
        <v>1997.0</v>
      </c>
      <c r="G92" s="10">
        <v>30.0</v>
      </c>
      <c r="H92" s="11">
        <v>27.0</v>
      </c>
      <c r="I92" s="15">
        <v>2220.0</v>
      </c>
      <c r="J92" s="11">
        <v>24.7</v>
      </c>
      <c r="K92" s="10">
        <v>4.0</v>
      </c>
      <c r="L92" s="11">
        <v>7.0</v>
      </c>
      <c r="M92" s="11">
        <v>11.0</v>
      </c>
      <c r="N92" s="11">
        <v>4.0</v>
      </c>
      <c r="O92" s="13">
        <v>0.0</v>
      </c>
      <c r="P92" s="11">
        <v>1.0</v>
      </c>
      <c r="Q92" s="11">
        <v>6.0</v>
      </c>
      <c r="R92" s="13">
        <v>0.0</v>
      </c>
      <c r="S92" s="10">
        <v>0.16</v>
      </c>
      <c r="T92" s="11">
        <v>0.28</v>
      </c>
      <c r="U92" s="11">
        <v>0.45</v>
      </c>
      <c r="V92" s="11">
        <v>0.16</v>
      </c>
      <c r="W92" s="11">
        <v>0.45</v>
      </c>
      <c r="X92" s="14" t="s">
        <v>230</v>
      </c>
    </row>
    <row r="93">
      <c r="A93" s="7" t="s">
        <v>231</v>
      </c>
      <c r="B93" s="8" t="s">
        <v>25</v>
      </c>
      <c r="C93" s="9" t="s">
        <v>77</v>
      </c>
      <c r="D93" s="7" t="s">
        <v>128</v>
      </c>
      <c r="E93" s="9">
        <v>24.0</v>
      </c>
      <c r="F93" s="9">
        <v>1999.0</v>
      </c>
      <c r="G93" s="10">
        <v>36.0</v>
      </c>
      <c r="H93" s="11">
        <v>36.0</v>
      </c>
      <c r="I93" s="15">
        <v>3231.0</v>
      </c>
      <c r="J93" s="11">
        <v>35.9</v>
      </c>
      <c r="K93" s="12">
        <v>0.0</v>
      </c>
      <c r="L93" s="13">
        <v>0.0</v>
      </c>
      <c r="M93" s="13">
        <v>0.0</v>
      </c>
      <c r="N93" s="13">
        <v>0.0</v>
      </c>
      <c r="O93" s="13">
        <v>0.0</v>
      </c>
      <c r="P93" s="13">
        <v>0.0</v>
      </c>
      <c r="Q93" s="11">
        <v>2.0</v>
      </c>
      <c r="R93" s="13">
        <v>0.0</v>
      </c>
      <c r="S93" s="12">
        <v>0.0</v>
      </c>
      <c r="T93" s="13">
        <v>0.0</v>
      </c>
      <c r="U93" s="13">
        <v>0.0</v>
      </c>
      <c r="V93" s="13">
        <v>0.0</v>
      </c>
      <c r="W93" s="13">
        <v>0.0</v>
      </c>
      <c r="X93" s="14" t="s">
        <v>232</v>
      </c>
    </row>
    <row r="94">
      <c r="A94" s="7" t="s">
        <v>233</v>
      </c>
      <c r="B94" s="8" t="s">
        <v>25</v>
      </c>
      <c r="C94" s="9" t="s">
        <v>26</v>
      </c>
      <c r="D94" s="7" t="s">
        <v>62</v>
      </c>
      <c r="E94" s="9">
        <v>22.0</v>
      </c>
      <c r="F94" s="9">
        <v>2001.0</v>
      </c>
      <c r="G94" s="10">
        <v>36.0</v>
      </c>
      <c r="H94" s="11">
        <v>33.0</v>
      </c>
      <c r="I94" s="15">
        <v>2646.0</v>
      </c>
      <c r="J94" s="11">
        <v>29.4</v>
      </c>
      <c r="K94" s="10">
        <v>4.0</v>
      </c>
      <c r="L94" s="11">
        <v>1.0</v>
      </c>
      <c r="M94" s="11">
        <v>5.0</v>
      </c>
      <c r="N94" s="11">
        <v>4.0</v>
      </c>
      <c r="O94" s="13">
        <v>0.0</v>
      </c>
      <c r="P94" s="13">
        <v>0.0</v>
      </c>
      <c r="Q94" s="13">
        <v>0.0</v>
      </c>
      <c r="R94" s="13">
        <v>0.0</v>
      </c>
      <c r="S94" s="10">
        <v>0.14</v>
      </c>
      <c r="T94" s="11">
        <v>0.03</v>
      </c>
      <c r="U94" s="11">
        <v>0.17</v>
      </c>
      <c r="V94" s="11">
        <v>0.14</v>
      </c>
      <c r="W94" s="11">
        <v>0.17</v>
      </c>
      <c r="X94" s="14" t="s">
        <v>234</v>
      </c>
    </row>
    <row r="95">
      <c r="A95" s="7" t="s">
        <v>235</v>
      </c>
      <c r="B95" s="8" t="s">
        <v>34</v>
      </c>
      <c r="C95" s="9" t="s">
        <v>87</v>
      </c>
      <c r="D95" s="7" t="s">
        <v>36</v>
      </c>
      <c r="E95" s="9">
        <v>20.0</v>
      </c>
      <c r="F95" s="9">
        <v>2003.0</v>
      </c>
      <c r="G95" s="10">
        <v>14.0</v>
      </c>
      <c r="H95" s="11">
        <v>14.0</v>
      </c>
      <c r="I95" s="15">
        <v>1101.0</v>
      </c>
      <c r="J95" s="11">
        <v>12.2</v>
      </c>
      <c r="K95" s="10">
        <v>1.0</v>
      </c>
      <c r="L95" s="13">
        <v>0.0</v>
      </c>
      <c r="M95" s="11">
        <v>1.0</v>
      </c>
      <c r="N95" s="11">
        <v>1.0</v>
      </c>
      <c r="O95" s="13">
        <v>0.0</v>
      </c>
      <c r="P95" s="13">
        <v>0.0</v>
      </c>
      <c r="Q95" s="11">
        <v>4.0</v>
      </c>
      <c r="R95" s="13">
        <v>0.0</v>
      </c>
      <c r="S95" s="10">
        <v>0.08</v>
      </c>
      <c r="T95" s="13">
        <v>0.0</v>
      </c>
      <c r="U95" s="11">
        <v>0.08</v>
      </c>
      <c r="V95" s="11">
        <v>0.08</v>
      </c>
      <c r="W95" s="11">
        <v>0.08</v>
      </c>
      <c r="X95" s="14" t="s">
        <v>236</v>
      </c>
    </row>
    <row r="96">
      <c r="A96" s="7" t="s">
        <v>237</v>
      </c>
      <c r="B96" s="8" t="s">
        <v>34</v>
      </c>
      <c r="C96" s="9" t="s">
        <v>26</v>
      </c>
      <c r="D96" s="7" t="s">
        <v>128</v>
      </c>
      <c r="E96" s="9">
        <v>23.0</v>
      </c>
      <c r="F96" s="9">
        <v>2001.0</v>
      </c>
      <c r="G96" s="10">
        <v>34.0</v>
      </c>
      <c r="H96" s="11">
        <v>33.0</v>
      </c>
      <c r="I96" s="15">
        <v>2764.0</v>
      </c>
      <c r="J96" s="11">
        <v>30.7</v>
      </c>
      <c r="K96" s="10">
        <v>9.0</v>
      </c>
      <c r="L96" s="11">
        <v>4.0</v>
      </c>
      <c r="M96" s="11">
        <v>13.0</v>
      </c>
      <c r="N96" s="11">
        <v>7.0</v>
      </c>
      <c r="O96" s="11">
        <v>2.0</v>
      </c>
      <c r="P96" s="11">
        <v>2.0</v>
      </c>
      <c r="Q96" s="11">
        <v>7.0</v>
      </c>
      <c r="R96" s="13">
        <v>0.0</v>
      </c>
      <c r="S96" s="10">
        <v>0.29</v>
      </c>
      <c r="T96" s="11">
        <v>0.13</v>
      </c>
      <c r="U96" s="11">
        <v>0.42</v>
      </c>
      <c r="V96" s="11">
        <v>0.23</v>
      </c>
      <c r="W96" s="11">
        <v>0.36</v>
      </c>
      <c r="X96" s="14" t="s">
        <v>238</v>
      </c>
    </row>
    <row r="97">
      <c r="A97" s="7" t="s">
        <v>239</v>
      </c>
      <c r="B97" s="8"/>
      <c r="C97" s="9" t="s">
        <v>26</v>
      </c>
      <c r="D97" s="7" t="s">
        <v>36</v>
      </c>
      <c r="E97" s="9">
        <v>18.0</v>
      </c>
      <c r="F97" s="9">
        <v>2005.0</v>
      </c>
      <c r="G97" s="10">
        <v>1.0</v>
      </c>
      <c r="H97" s="13">
        <v>0.0</v>
      </c>
      <c r="I97" s="11">
        <v>15.0</v>
      </c>
      <c r="J97" s="11">
        <v>0.2</v>
      </c>
      <c r="K97" s="12">
        <v>0.0</v>
      </c>
      <c r="L97" s="13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2">
        <v>0.0</v>
      </c>
      <c r="T97" s="13">
        <v>0.0</v>
      </c>
      <c r="U97" s="13">
        <v>0.0</v>
      </c>
      <c r="V97" s="13">
        <v>0.0</v>
      </c>
      <c r="W97" s="13">
        <v>0.0</v>
      </c>
      <c r="X97" s="14" t="s">
        <v>240</v>
      </c>
    </row>
    <row r="98">
      <c r="A98" s="7" t="s">
        <v>241</v>
      </c>
      <c r="B98" s="8" t="s">
        <v>97</v>
      </c>
      <c r="C98" s="9" t="s">
        <v>55</v>
      </c>
      <c r="D98" s="7" t="s">
        <v>80</v>
      </c>
      <c r="E98" s="9">
        <v>18.0</v>
      </c>
      <c r="F98" s="9">
        <v>2005.0</v>
      </c>
      <c r="G98" s="10">
        <v>25.0</v>
      </c>
      <c r="H98" s="11">
        <v>9.0</v>
      </c>
      <c r="I98" s="11">
        <v>864.0</v>
      </c>
      <c r="J98" s="11">
        <v>9.6</v>
      </c>
      <c r="K98" s="10">
        <v>2.0</v>
      </c>
      <c r="L98" s="11">
        <v>1.0</v>
      </c>
      <c r="M98" s="11">
        <v>3.0</v>
      </c>
      <c r="N98" s="11">
        <v>2.0</v>
      </c>
      <c r="O98" s="13">
        <v>0.0</v>
      </c>
      <c r="P98" s="13">
        <v>0.0</v>
      </c>
      <c r="Q98" s="11">
        <v>5.0</v>
      </c>
      <c r="R98" s="13">
        <v>0.0</v>
      </c>
      <c r="S98" s="10">
        <v>0.21</v>
      </c>
      <c r="T98" s="11">
        <v>0.1</v>
      </c>
      <c r="U98" s="11">
        <v>0.31</v>
      </c>
      <c r="V98" s="11">
        <v>0.21</v>
      </c>
      <c r="W98" s="11">
        <v>0.31</v>
      </c>
      <c r="X98" s="14" t="s">
        <v>242</v>
      </c>
    </row>
    <row r="99">
      <c r="A99" s="7" t="s">
        <v>243</v>
      </c>
      <c r="B99" s="8" t="s">
        <v>25</v>
      </c>
      <c r="C99" s="9" t="s">
        <v>26</v>
      </c>
      <c r="D99" s="7" t="s">
        <v>58</v>
      </c>
      <c r="E99" s="9">
        <v>20.0</v>
      </c>
      <c r="F99" s="9">
        <v>2003.0</v>
      </c>
      <c r="G99" s="10">
        <v>34.0</v>
      </c>
      <c r="H99" s="11">
        <v>17.0</v>
      </c>
      <c r="I99" s="15">
        <v>1822.0</v>
      </c>
      <c r="J99" s="11">
        <v>20.2</v>
      </c>
      <c r="K99" s="10">
        <v>3.0</v>
      </c>
      <c r="L99" s="11">
        <v>2.0</v>
      </c>
      <c r="M99" s="11">
        <v>5.0</v>
      </c>
      <c r="N99" s="11">
        <v>3.0</v>
      </c>
      <c r="O99" s="13">
        <v>0.0</v>
      </c>
      <c r="P99" s="13">
        <v>0.0</v>
      </c>
      <c r="Q99" s="11">
        <v>4.0</v>
      </c>
      <c r="R99" s="13">
        <v>0.0</v>
      </c>
      <c r="S99" s="10">
        <v>0.15</v>
      </c>
      <c r="T99" s="11">
        <v>0.1</v>
      </c>
      <c r="U99" s="11">
        <v>0.25</v>
      </c>
      <c r="V99" s="11">
        <v>0.15</v>
      </c>
      <c r="W99" s="11">
        <v>0.25</v>
      </c>
      <c r="X99" s="14" t="s">
        <v>244</v>
      </c>
    </row>
    <row r="100">
      <c r="A100" s="7" t="s">
        <v>245</v>
      </c>
      <c r="B100" s="8" t="s">
        <v>25</v>
      </c>
      <c r="C100" s="9" t="s">
        <v>26</v>
      </c>
      <c r="D100" s="7" t="s">
        <v>36</v>
      </c>
      <c r="E100" s="9">
        <v>18.0</v>
      </c>
      <c r="F100" s="9">
        <v>2005.0</v>
      </c>
      <c r="G100" s="10">
        <v>1.0</v>
      </c>
      <c r="H100" s="13">
        <v>0.0</v>
      </c>
      <c r="I100" s="11">
        <v>5.0</v>
      </c>
      <c r="J100" s="11">
        <v>0.1</v>
      </c>
      <c r="K100" s="12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2">
        <v>0.0</v>
      </c>
      <c r="T100" s="13">
        <v>0.0</v>
      </c>
      <c r="U100" s="13">
        <v>0.0</v>
      </c>
      <c r="V100" s="13">
        <v>0.0</v>
      </c>
      <c r="W100" s="13">
        <v>0.0</v>
      </c>
      <c r="X100" s="14" t="s">
        <v>246</v>
      </c>
    </row>
    <row r="101">
      <c r="A101" s="7" t="s">
        <v>247</v>
      </c>
      <c r="B101" s="8" t="s">
        <v>25</v>
      </c>
      <c r="C101" s="9" t="s">
        <v>83</v>
      </c>
      <c r="D101" s="7" t="s">
        <v>36</v>
      </c>
      <c r="E101" s="9">
        <v>21.0</v>
      </c>
      <c r="F101" s="9">
        <v>2002.0</v>
      </c>
      <c r="G101" s="10">
        <v>19.0</v>
      </c>
      <c r="H101" s="11">
        <v>19.0</v>
      </c>
      <c r="I101" s="15">
        <v>1637.0</v>
      </c>
      <c r="J101" s="11">
        <v>18.2</v>
      </c>
      <c r="K101" s="10">
        <v>4.0</v>
      </c>
      <c r="L101" s="11">
        <v>2.0</v>
      </c>
      <c r="M101" s="11">
        <v>6.0</v>
      </c>
      <c r="N101" s="11">
        <v>4.0</v>
      </c>
      <c r="O101" s="13">
        <v>0.0</v>
      </c>
      <c r="P101" s="13">
        <v>0.0</v>
      </c>
      <c r="Q101" s="11">
        <v>5.0</v>
      </c>
      <c r="R101" s="13">
        <v>0.0</v>
      </c>
      <c r="S101" s="10">
        <v>0.22</v>
      </c>
      <c r="T101" s="11">
        <v>0.11</v>
      </c>
      <c r="U101" s="11">
        <v>0.33</v>
      </c>
      <c r="V101" s="11">
        <v>0.22</v>
      </c>
      <c r="W101" s="11">
        <v>0.33</v>
      </c>
      <c r="X101" s="14" t="s">
        <v>248</v>
      </c>
    </row>
    <row r="102">
      <c r="A102" s="7" t="s">
        <v>249</v>
      </c>
      <c r="B102" s="8" t="s">
        <v>250</v>
      </c>
      <c r="C102" s="9" t="s">
        <v>47</v>
      </c>
      <c r="D102" s="7" t="s">
        <v>128</v>
      </c>
      <c r="E102" s="9">
        <v>22.0</v>
      </c>
      <c r="F102" s="9">
        <v>2001.0</v>
      </c>
      <c r="G102" s="10">
        <v>21.0</v>
      </c>
      <c r="H102" s="11">
        <v>19.0</v>
      </c>
      <c r="I102" s="15">
        <v>1390.0</v>
      </c>
      <c r="J102" s="11">
        <v>15.4</v>
      </c>
      <c r="K102" s="10">
        <v>4.0</v>
      </c>
      <c r="L102" s="11">
        <v>3.0</v>
      </c>
      <c r="M102" s="11">
        <v>7.0</v>
      </c>
      <c r="N102" s="11">
        <v>4.0</v>
      </c>
      <c r="O102" s="13">
        <v>0.0</v>
      </c>
      <c r="P102" s="13">
        <v>0.0</v>
      </c>
      <c r="Q102" s="11">
        <v>4.0</v>
      </c>
      <c r="R102" s="13">
        <v>0.0</v>
      </c>
      <c r="S102" s="10">
        <v>0.26</v>
      </c>
      <c r="T102" s="11">
        <v>0.19</v>
      </c>
      <c r="U102" s="11">
        <v>0.45</v>
      </c>
      <c r="V102" s="11">
        <v>0.26</v>
      </c>
      <c r="W102" s="11">
        <v>0.45</v>
      </c>
      <c r="X102" s="14" t="s">
        <v>251</v>
      </c>
    </row>
    <row r="103">
      <c r="A103" s="7" t="s">
        <v>252</v>
      </c>
      <c r="B103" s="8" t="s">
        <v>34</v>
      </c>
      <c r="C103" s="9" t="s">
        <v>77</v>
      </c>
      <c r="D103" s="7" t="s">
        <v>80</v>
      </c>
      <c r="E103" s="9">
        <v>19.0</v>
      </c>
      <c r="F103" s="9">
        <v>2004.0</v>
      </c>
      <c r="G103" s="10">
        <v>6.0</v>
      </c>
      <c r="H103" s="11">
        <v>6.0</v>
      </c>
      <c r="I103" s="11">
        <v>540.0</v>
      </c>
      <c r="J103" s="11">
        <v>6.0</v>
      </c>
      <c r="K103" s="12">
        <v>0.0</v>
      </c>
      <c r="L103" s="13">
        <v>0.0</v>
      </c>
      <c r="M103" s="13">
        <v>0.0</v>
      </c>
      <c r="N103" s="13">
        <v>0.0</v>
      </c>
      <c r="O103" s="13">
        <v>0.0</v>
      </c>
      <c r="P103" s="13">
        <v>0.0</v>
      </c>
      <c r="Q103" s="13">
        <v>0.0</v>
      </c>
      <c r="R103" s="13">
        <v>0.0</v>
      </c>
      <c r="S103" s="12">
        <v>0.0</v>
      </c>
      <c r="T103" s="13">
        <v>0.0</v>
      </c>
      <c r="U103" s="13">
        <v>0.0</v>
      </c>
      <c r="V103" s="13">
        <v>0.0</v>
      </c>
      <c r="W103" s="13">
        <v>0.0</v>
      </c>
      <c r="X103" s="14" t="s">
        <v>253</v>
      </c>
    </row>
    <row r="104">
      <c r="A104" s="7" t="s">
        <v>254</v>
      </c>
      <c r="B104" s="8" t="s">
        <v>101</v>
      </c>
      <c r="C104" s="9" t="s">
        <v>55</v>
      </c>
      <c r="D104" s="7" t="s">
        <v>44</v>
      </c>
      <c r="E104" s="9">
        <v>28.0</v>
      </c>
      <c r="F104" s="9">
        <v>1995.0</v>
      </c>
      <c r="G104" s="10">
        <v>21.0</v>
      </c>
      <c r="H104" s="11">
        <v>4.0</v>
      </c>
      <c r="I104" s="11">
        <v>692.0</v>
      </c>
      <c r="J104" s="11">
        <v>7.7</v>
      </c>
      <c r="K104" s="10">
        <v>2.0</v>
      </c>
      <c r="L104" s="11">
        <v>1.0</v>
      </c>
      <c r="M104" s="11">
        <v>3.0</v>
      </c>
      <c r="N104" s="11">
        <v>2.0</v>
      </c>
      <c r="O104" s="13">
        <v>0.0</v>
      </c>
      <c r="P104" s="13">
        <v>0.0</v>
      </c>
      <c r="Q104" s="11">
        <v>9.0</v>
      </c>
      <c r="R104" s="13">
        <v>0.0</v>
      </c>
      <c r="S104" s="10">
        <v>0.26</v>
      </c>
      <c r="T104" s="11">
        <v>0.13</v>
      </c>
      <c r="U104" s="11">
        <v>0.39</v>
      </c>
      <c r="V104" s="11">
        <v>0.26</v>
      </c>
      <c r="W104" s="11">
        <v>0.39</v>
      </c>
      <c r="X104" s="14" t="s">
        <v>255</v>
      </c>
    </row>
    <row r="105">
      <c r="A105" s="7" t="s">
        <v>256</v>
      </c>
      <c r="B105" s="8" t="s">
        <v>25</v>
      </c>
      <c r="C105" s="9" t="s">
        <v>55</v>
      </c>
      <c r="D105" s="7" t="s">
        <v>62</v>
      </c>
      <c r="E105" s="9">
        <v>23.0</v>
      </c>
      <c r="F105" s="9">
        <v>2000.0</v>
      </c>
      <c r="G105" s="10">
        <v>20.0</v>
      </c>
      <c r="H105" s="11">
        <v>2.0</v>
      </c>
      <c r="I105" s="11">
        <v>417.0</v>
      </c>
      <c r="J105" s="11">
        <v>4.6</v>
      </c>
      <c r="K105" s="10">
        <v>1.0</v>
      </c>
      <c r="L105" s="13">
        <v>0.0</v>
      </c>
      <c r="M105" s="11">
        <v>1.0</v>
      </c>
      <c r="N105" s="11">
        <v>1.0</v>
      </c>
      <c r="O105" s="13">
        <v>0.0</v>
      </c>
      <c r="P105" s="11">
        <v>1.0</v>
      </c>
      <c r="Q105" s="11">
        <v>1.0</v>
      </c>
      <c r="R105" s="13">
        <v>0.0</v>
      </c>
      <c r="S105" s="10">
        <v>0.22</v>
      </c>
      <c r="T105" s="13">
        <v>0.0</v>
      </c>
      <c r="U105" s="11">
        <v>0.22</v>
      </c>
      <c r="V105" s="11">
        <v>0.22</v>
      </c>
      <c r="W105" s="11">
        <v>0.22</v>
      </c>
      <c r="X105" s="14" t="s">
        <v>257</v>
      </c>
    </row>
    <row r="106">
      <c r="A106" s="7" t="s">
        <v>258</v>
      </c>
      <c r="B106" s="8" t="s">
        <v>259</v>
      </c>
      <c r="C106" s="9" t="s">
        <v>55</v>
      </c>
      <c r="D106" s="7" t="s">
        <v>36</v>
      </c>
      <c r="E106" s="9">
        <v>24.0</v>
      </c>
      <c r="F106" s="9">
        <v>1999.0</v>
      </c>
      <c r="G106" s="10">
        <v>31.0</v>
      </c>
      <c r="H106" s="11">
        <v>24.0</v>
      </c>
      <c r="I106" s="15">
        <v>2064.0</v>
      </c>
      <c r="J106" s="11">
        <v>22.9</v>
      </c>
      <c r="K106" s="10">
        <v>10.0</v>
      </c>
      <c r="L106" s="11">
        <v>1.0</v>
      </c>
      <c r="M106" s="11">
        <v>11.0</v>
      </c>
      <c r="N106" s="11">
        <v>9.0</v>
      </c>
      <c r="O106" s="11">
        <v>1.0</v>
      </c>
      <c r="P106" s="11">
        <v>1.0</v>
      </c>
      <c r="Q106" s="11">
        <v>6.0</v>
      </c>
      <c r="R106" s="11">
        <v>1.0</v>
      </c>
      <c r="S106" s="10">
        <v>0.44</v>
      </c>
      <c r="T106" s="11">
        <v>0.04</v>
      </c>
      <c r="U106" s="11">
        <v>0.48</v>
      </c>
      <c r="V106" s="11">
        <v>0.39</v>
      </c>
      <c r="W106" s="11">
        <v>0.44</v>
      </c>
      <c r="X106" s="14" t="s">
        <v>260</v>
      </c>
    </row>
    <row r="107">
      <c r="A107" s="7" t="s">
        <v>261</v>
      </c>
      <c r="B107" s="8" t="s">
        <v>25</v>
      </c>
      <c r="C107" s="9" t="s">
        <v>35</v>
      </c>
      <c r="D107" s="7" t="s">
        <v>128</v>
      </c>
      <c r="E107" s="9">
        <v>16.0</v>
      </c>
      <c r="F107" s="9">
        <v>2007.0</v>
      </c>
      <c r="G107" s="10">
        <v>4.0</v>
      </c>
      <c r="H107" s="11">
        <v>4.0</v>
      </c>
      <c r="I107" s="11">
        <v>358.0</v>
      </c>
      <c r="J107" s="11">
        <v>4.0</v>
      </c>
      <c r="K107" s="12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1">
        <v>2.0</v>
      </c>
      <c r="R107" s="13">
        <v>0.0</v>
      </c>
      <c r="S107" s="12">
        <v>0.0</v>
      </c>
      <c r="T107" s="13">
        <v>0.0</v>
      </c>
      <c r="U107" s="13">
        <v>0.0</v>
      </c>
      <c r="V107" s="13">
        <v>0.0</v>
      </c>
      <c r="W107" s="13">
        <v>0.0</v>
      </c>
      <c r="X107" s="14" t="s">
        <v>262</v>
      </c>
    </row>
    <row r="108">
      <c r="A108" s="7" t="s">
        <v>263</v>
      </c>
      <c r="B108" s="8" t="s">
        <v>25</v>
      </c>
      <c r="C108" s="9" t="s">
        <v>83</v>
      </c>
      <c r="D108" s="7" t="s">
        <v>62</v>
      </c>
      <c r="E108" s="9">
        <v>30.0</v>
      </c>
      <c r="F108" s="9">
        <v>1993.0</v>
      </c>
      <c r="G108" s="10">
        <v>21.0</v>
      </c>
      <c r="H108" s="11">
        <v>18.0</v>
      </c>
      <c r="I108" s="15">
        <v>1649.0</v>
      </c>
      <c r="J108" s="11">
        <v>18.3</v>
      </c>
      <c r="K108" s="12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1">
        <v>4.0</v>
      </c>
      <c r="R108" s="13">
        <v>0.0</v>
      </c>
      <c r="S108" s="12">
        <v>0.0</v>
      </c>
      <c r="T108" s="13">
        <v>0.0</v>
      </c>
      <c r="U108" s="13">
        <v>0.0</v>
      </c>
      <c r="V108" s="13">
        <v>0.0</v>
      </c>
      <c r="W108" s="13">
        <v>0.0</v>
      </c>
      <c r="X108" s="14" t="s">
        <v>264</v>
      </c>
    </row>
    <row r="109">
      <c r="A109" s="7" t="s">
        <v>265</v>
      </c>
      <c r="B109" s="8" t="s">
        <v>25</v>
      </c>
      <c r="C109" s="9" t="s">
        <v>26</v>
      </c>
      <c r="D109" s="7" t="s">
        <v>36</v>
      </c>
      <c r="E109" s="9">
        <v>36.0</v>
      </c>
      <c r="F109" s="9">
        <v>1987.0</v>
      </c>
      <c r="G109" s="10">
        <v>22.0</v>
      </c>
      <c r="H109" s="11">
        <v>18.0</v>
      </c>
      <c r="I109" s="15">
        <v>1669.0</v>
      </c>
      <c r="J109" s="11">
        <v>18.5</v>
      </c>
      <c r="K109" s="12">
        <v>0.0</v>
      </c>
      <c r="L109" s="11">
        <v>1.0</v>
      </c>
      <c r="M109" s="11">
        <v>1.0</v>
      </c>
      <c r="N109" s="13">
        <v>0.0</v>
      </c>
      <c r="O109" s="13">
        <v>0.0</v>
      </c>
      <c r="P109" s="13">
        <v>0.0</v>
      </c>
      <c r="Q109" s="11">
        <v>6.0</v>
      </c>
      <c r="R109" s="13">
        <v>0.0</v>
      </c>
      <c r="S109" s="12">
        <v>0.0</v>
      </c>
      <c r="T109" s="11">
        <v>0.05</v>
      </c>
      <c r="U109" s="11">
        <v>0.05</v>
      </c>
      <c r="V109" s="13">
        <v>0.0</v>
      </c>
      <c r="W109" s="11">
        <v>0.05</v>
      </c>
      <c r="X109" s="14" t="s">
        <v>266</v>
      </c>
    </row>
    <row r="110">
      <c r="A110" s="7" t="s">
        <v>267</v>
      </c>
      <c r="B110" s="8" t="s">
        <v>25</v>
      </c>
      <c r="C110" s="9" t="s">
        <v>26</v>
      </c>
      <c r="D110" s="7" t="s">
        <v>31</v>
      </c>
      <c r="E110" s="9">
        <v>29.0</v>
      </c>
      <c r="F110" s="9">
        <v>1995.0</v>
      </c>
      <c r="G110" s="10">
        <v>23.0</v>
      </c>
      <c r="H110" s="11">
        <v>22.0</v>
      </c>
      <c r="I110" s="15">
        <v>1736.0</v>
      </c>
      <c r="J110" s="11">
        <v>19.3</v>
      </c>
      <c r="K110" s="12">
        <v>0.0</v>
      </c>
      <c r="L110" s="11">
        <v>1.0</v>
      </c>
      <c r="M110" s="11">
        <v>1.0</v>
      </c>
      <c r="N110" s="13">
        <v>0.0</v>
      </c>
      <c r="O110" s="13">
        <v>0.0</v>
      </c>
      <c r="P110" s="13">
        <v>0.0</v>
      </c>
      <c r="Q110" s="11">
        <v>6.0</v>
      </c>
      <c r="R110" s="13">
        <v>0.0</v>
      </c>
      <c r="S110" s="12">
        <v>0.0</v>
      </c>
      <c r="T110" s="11">
        <v>0.05</v>
      </c>
      <c r="U110" s="11">
        <v>0.05</v>
      </c>
      <c r="V110" s="13">
        <v>0.0</v>
      </c>
      <c r="W110" s="11">
        <v>0.05</v>
      </c>
      <c r="X110" s="14" t="s">
        <v>268</v>
      </c>
    </row>
    <row r="111">
      <c r="A111" s="7" t="s">
        <v>269</v>
      </c>
      <c r="B111" s="8" t="s">
        <v>25</v>
      </c>
      <c r="C111" s="9" t="s">
        <v>35</v>
      </c>
      <c r="D111" s="7" t="s">
        <v>58</v>
      </c>
      <c r="E111" s="9">
        <v>22.0</v>
      </c>
      <c r="F111" s="9">
        <v>2001.0</v>
      </c>
      <c r="G111" s="10">
        <v>22.0</v>
      </c>
      <c r="H111" s="11">
        <v>22.0</v>
      </c>
      <c r="I111" s="15">
        <v>1980.0</v>
      </c>
      <c r="J111" s="11">
        <v>22.0</v>
      </c>
      <c r="K111" s="10">
        <v>1.0</v>
      </c>
      <c r="L111" s="13">
        <v>0.0</v>
      </c>
      <c r="M111" s="11">
        <v>1.0</v>
      </c>
      <c r="N111" s="11">
        <v>1.0</v>
      </c>
      <c r="O111" s="13">
        <v>0.0</v>
      </c>
      <c r="P111" s="13">
        <v>0.0</v>
      </c>
      <c r="Q111" s="13">
        <v>0.0</v>
      </c>
      <c r="R111" s="13">
        <v>0.0</v>
      </c>
      <c r="S111" s="10">
        <v>0.05</v>
      </c>
      <c r="T111" s="13">
        <v>0.0</v>
      </c>
      <c r="U111" s="11">
        <v>0.05</v>
      </c>
      <c r="V111" s="11">
        <v>0.05</v>
      </c>
      <c r="W111" s="11">
        <v>0.05</v>
      </c>
      <c r="X111" s="14" t="s">
        <v>270</v>
      </c>
    </row>
    <row r="112">
      <c r="A112" s="7" t="s">
        <v>271</v>
      </c>
      <c r="B112" s="8" t="s">
        <v>25</v>
      </c>
      <c r="C112" s="9" t="s">
        <v>55</v>
      </c>
      <c r="D112" s="7" t="s">
        <v>98</v>
      </c>
      <c r="E112" s="9">
        <v>19.0</v>
      </c>
      <c r="F112" s="9">
        <v>2004.0</v>
      </c>
      <c r="G112" s="10">
        <v>13.0</v>
      </c>
      <c r="H112" s="13">
        <v>0.0</v>
      </c>
      <c r="I112" s="11">
        <v>152.0</v>
      </c>
      <c r="J112" s="11">
        <v>1.7</v>
      </c>
      <c r="K112" s="12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2">
        <v>0.0</v>
      </c>
      <c r="T112" s="13">
        <v>0.0</v>
      </c>
      <c r="U112" s="13">
        <v>0.0</v>
      </c>
      <c r="V112" s="13">
        <v>0.0</v>
      </c>
      <c r="W112" s="13">
        <v>0.0</v>
      </c>
      <c r="X112" s="14" t="s">
        <v>272</v>
      </c>
    </row>
    <row r="113">
      <c r="A113" s="7" t="s">
        <v>273</v>
      </c>
      <c r="B113" s="8" t="s">
        <v>34</v>
      </c>
      <c r="C113" s="9" t="s">
        <v>77</v>
      </c>
      <c r="D113" s="7" t="s">
        <v>80</v>
      </c>
      <c r="E113" s="9">
        <v>22.0</v>
      </c>
      <c r="F113" s="9">
        <v>2001.0</v>
      </c>
      <c r="G113" s="10">
        <v>9.0</v>
      </c>
      <c r="H113" s="11">
        <v>9.0</v>
      </c>
      <c r="I113" s="11">
        <v>764.0</v>
      </c>
      <c r="J113" s="11">
        <v>8.5</v>
      </c>
      <c r="K113" s="12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1">
        <v>1.0</v>
      </c>
      <c r="S113" s="12">
        <v>0.0</v>
      </c>
      <c r="T113" s="13">
        <v>0.0</v>
      </c>
      <c r="U113" s="13">
        <v>0.0</v>
      </c>
      <c r="V113" s="13">
        <v>0.0</v>
      </c>
      <c r="W113" s="13">
        <v>0.0</v>
      </c>
      <c r="X113" s="14" t="s">
        <v>274</v>
      </c>
    </row>
    <row r="114">
      <c r="A114" s="7" t="s">
        <v>275</v>
      </c>
      <c r="B114" s="8" t="s">
        <v>25</v>
      </c>
      <c r="C114" s="9" t="s">
        <v>26</v>
      </c>
      <c r="D114" s="7" t="s">
        <v>52</v>
      </c>
      <c r="E114" s="9">
        <v>15.0</v>
      </c>
      <c r="F114" s="9">
        <v>2008.0</v>
      </c>
      <c r="G114" s="10">
        <v>1.0</v>
      </c>
      <c r="H114" s="13">
        <v>0.0</v>
      </c>
      <c r="I114" s="11">
        <v>2.0</v>
      </c>
      <c r="J114" s="13">
        <v>0.0</v>
      </c>
      <c r="K114" s="12">
        <v>0.0</v>
      </c>
      <c r="L114" s="13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0.0</v>
      </c>
      <c r="R114" s="13">
        <v>0.0</v>
      </c>
      <c r="S114" s="12">
        <v>0.0</v>
      </c>
      <c r="T114" s="13">
        <v>0.0</v>
      </c>
      <c r="U114" s="13">
        <v>0.0</v>
      </c>
      <c r="V114" s="13">
        <v>0.0</v>
      </c>
      <c r="W114" s="13">
        <v>0.0</v>
      </c>
      <c r="X114" s="14" t="s">
        <v>276</v>
      </c>
    </row>
    <row r="115">
      <c r="A115" s="7" t="s">
        <v>277</v>
      </c>
      <c r="B115" s="8" t="s">
        <v>25</v>
      </c>
      <c r="C115" s="9" t="s">
        <v>47</v>
      </c>
      <c r="D115" s="7" t="s">
        <v>31</v>
      </c>
      <c r="E115" s="9">
        <v>30.0</v>
      </c>
      <c r="F115" s="9">
        <v>1993.0</v>
      </c>
      <c r="G115" s="10">
        <v>27.0</v>
      </c>
      <c r="H115" s="11">
        <v>18.0</v>
      </c>
      <c r="I115" s="15">
        <v>1667.0</v>
      </c>
      <c r="J115" s="11">
        <v>18.5</v>
      </c>
      <c r="K115" s="10">
        <v>4.0</v>
      </c>
      <c r="L115" s="11">
        <v>4.0</v>
      </c>
      <c r="M115" s="11">
        <v>8.0</v>
      </c>
      <c r="N115" s="11">
        <v>4.0</v>
      </c>
      <c r="O115" s="13">
        <v>0.0</v>
      </c>
      <c r="P115" s="11">
        <v>1.0</v>
      </c>
      <c r="Q115" s="11">
        <v>6.0</v>
      </c>
      <c r="R115" s="13">
        <v>0.0</v>
      </c>
      <c r="S115" s="10">
        <v>0.22</v>
      </c>
      <c r="T115" s="11">
        <v>0.22</v>
      </c>
      <c r="U115" s="11">
        <v>0.43</v>
      </c>
      <c r="V115" s="11">
        <v>0.22</v>
      </c>
      <c r="W115" s="11">
        <v>0.43</v>
      </c>
      <c r="X115" s="14" t="s">
        <v>278</v>
      </c>
    </row>
    <row r="116">
      <c r="A116" s="7" t="s">
        <v>279</v>
      </c>
      <c r="B116" s="8" t="s">
        <v>34</v>
      </c>
      <c r="C116" s="9" t="s">
        <v>35</v>
      </c>
      <c r="D116" s="7" t="s">
        <v>98</v>
      </c>
      <c r="E116" s="9">
        <v>22.0</v>
      </c>
      <c r="F116" s="9">
        <v>2001.0</v>
      </c>
      <c r="G116" s="10">
        <v>36.0</v>
      </c>
      <c r="H116" s="11">
        <v>34.0</v>
      </c>
      <c r="I116" s="15">
        <v>3075.0</v>
      </c>
      <c r="J116" s="11">
        <v>34.2</v>
      </c>
      <c r="K116" s="12">
        <v>0.0</v>
      </c>
      <c r="L116" s="11">
        <v>3.0</v>
      </c>
      <c r="M116" s="11">
        <v>3.0</v>
      </c>
      <c r="N116" s="13">
        <v>0.0</v>
      </c>
      <c r="O116" s="13">
        <v>0.0</v>
      </c>
      <c r="P116" s="13">
        <v>0.0</v>
      </c>
      <c r="Q116" s="11">
        <v>7.0</v>
      </c>
      <c r="R116" s="13">
        <v>0.0</v>
      </c>
      <c r="S116" s="12">
        <v>0.0</v>
      </c>
      <c r="T116" s="11">
        <v>0.09</v>
      </c>
      <c r="U116" s="11">
        <v>0.09</v>
      </c>
      <c r="V116" s="13">
        <v>0.0</v>
      </c>
      <c r="W116" s="11">
        <v>0.09</v>
      </c>
      <c r="X116" s="14" t="s">
        <v>280</v>
      </c>
    </row>
    <row r="117">
      <c r="A117" s="7" t="s">
        <v>281</v>
      </c>
      <c r="B117" s="8" t="s">
        <v>25</v>
      </c>
      <c r="C117" s="9" t="s">
        <v>83</v>
      </c>
      <c r="D117" s="7" t="s">
        <v>62</v>
      </c>
      <c r="E117" s="9">
        <v>33.0</v>
      </c>
      <c r="F117" s="9">
        <v>1991.0</v>
      </c>
      <c r="G117" s="10">
        <v>10.0</v>
      </c>
      <c r="H117" s="11">
        <v>8.0</v>
      </c>
      <c r="I117" s="11">
        <v>749.0</v>
      </c>
      <c r="J117" s="11">
        <v>8.3</v>
      </c>
      <c r="K117" s="12">
        <v>0.0</v>
      </c>
      <c r="L117" s="13">
        <v>0.0</v>
      </c>
      <c r="M117" s="13">
        <v>0.0</v>
      </c>
      <c r="N117" s="13">
        <v>0.0</v>
      </c>
      <c r="O117" s="13">
        <v>0.0</v>
      </c>
      <c r="P117" s="13">
        <v>0.0</v>
      </c>
      <c r="Q117" s="11">
        <v>5.0</v>
      </c>
      <c r="R117" s="13">
        <v>0.0</v>
      </c>
      <c r="S117" s="12">
        <v>0.0</v>
      </c>
      <c r="T117" s="13">
        <v>0.0</v>
      </c>
      <c r="U117" s="13">
        <v>0.0</v>
      </c>
      <c r="V117" s="13">
        <v>0.0</v>
      </c>
      <c r="W117" s="13">
        <v>0.0</v>
      </c>
      <c r="X117" s="14" t="s">
        <v>282</v>
      </c>
    </row>
    <row r="118">
      <c r="A118" s="7" t="s">
        <v>283</v>
      </c>
      <c r="B118" s="8" t="s">
        <v>34</v>
      </c>
      <c r="C118" s="9" t="s">
        <v>30</v>
      </c>
      <c r="D118" s="7" t="s">
        <v>58</v>
      </c>
      <c r="E118" s="9">
        <v>21.0</v>
      </c>
      <c r="F118" s="9">
        <v>2002.0</v>
      </c>
      <c r="G118" s="10">
        <v>13.0</v>
      </c>
      <c r="H118" s="11">
        <v>7.0</v>
      </c>
      <c r="I118" s="11">
        <v>638.0</v>
      </c>
      <c r="J118" s="11">
        <v>7.1</v>
      </c>
      <c r="K118" s="10">
        <v>1.0</v>
      </c>
      <c r="L118" s="11">
        <v>1.0</v>
      </c>
      <c r="M118" s="11">
        <v>2.0</v>
      </c>
      <c r="N118" s="11">
        <v>1.0</v>
      </c>
      <c r="O118" s="13">
        <v>0.0</v>
      </c>
      <c r="P118" s="13">
        <v>0.0</v>
      </c>
      <c r="Q118" s="11">
        <v>3.0</v>
      </c>
      <c r="R118" s="13">
        <v>0.0</v>
      </c>
      <c r="S118" s="10">
        <v>0.14</v>
      </c>
      <c r="T118" s="11">
        <v>0.14</v>
      </c>
      <c r="U118" s="11">
        <v>0.28</v>
      </c>
      <c r="V118" s="11">
        <v>0.14</v>
      </c>
      <c r="W118" s="11">
        <v>0.28</v>
      </c>
      <c r="X118" s="14" t="s">
        <v>284</v>
      </c>
    </row>
    <row r="119">
      <c r="A119" s="7" t="s">
        <v>285</v>
      </c>
      <c r="B119" s="8" t="s">
        <v>34</v>
      </c>
      <c r="C119" s="9" t="s">
        <v>26</v>
      </c>
      <c r="D119" s="7" t="s">
        <v>98</v>
      </c>
      <c r="E119" s="9">
        <v>23.0</v>
      </c>
      <c r="F119" s="9">
        <v>2001.0</v>
      </c>
      <c r="G119" s="10">
        <v>13.0</v>
      </c>
      <c r="H119" s="11">
        <v>8.0</v>
      </c>
      <c r="I119" s="11">
        <v>692.0</v>
      </c>
      <c r="J119" s="11">
        <v>7.7</v>
      </c>
      <c r="K119" s="12">
        <v>0.0</v>
      </c>
      <c r="L119" s="13">
        <v>0.0</v>
      </c>
      <c r="M119" s="13">
        <v>0.0</v>
      </c>
      <c r="N119" s="13">
        <v>0.0</v>
      </c>
      <c r="O119" s="13">
        <v>0.0</v>
      </c>
      <c r="P119" s="13">
        <v>0.0</v>
      </c>
      <c r="Q119" s="11">
        <v>2.0</v>
      </c>
      <c r="R119" s="13">
        <v>0.0</v>
      </c>
      <c r="S119" s="12">
        <v>0.0</v>
      </c>
      <c r="T119" s="13">
        <v>0.0</v>
      </c>
      <c r="U119" s="13">
        <v>0.0</v>
      </c>
      <c r="V119" s="13">
        <v>0.0</v>
      </c>
      <c r="W119" s="13">
        <v>0.0</v>
      </c>
      <c r="X119" s="14" t="s">
        <v>286</v>
      </c>
    </row>
    <row r="120">
      <c r="A120" s="7" t="s">
        <v>287</v>
      </c>
      <c r="B120" s="8" t="s">
        <v>34</v>
      </c>
      <c r="C120" s="9" t="s">
        <v>35</v>
      </c>
      <c r="D120" s="7" t="s">
        <v>36</v>
      </c>
      <c r="E120" s="9">
        <v>20.0</v>
      </c>
      <c r="F120" s="9">
        <v>2003.0</v>
      </c>
      <c r="G120" s="10">
        <v>17.0</v>
      </c>
      <c r="H120" s="11">
        <v>17.0</v>
      </c>
      <c r="I120" s="15">
        <v>1530.0</v>
      </c>
      <c r="J120" s="11">
        <v>17.0</v>
      </c>
      <c r="K120" s="10">
        <v>1.0</v>
      </c>
      <c r="L120" s="13">
        <v>0.0</v>
      </c>
      <c r="M120" s="11">
        <v>1.0</v>
      </c>
      <c r="N120" s="11">
        <v>1.0</v>
      </c>
      <c r="O120" s="13">
        <v>0.0</v>
      </c>
      <c r="P120" s="13">
        <v>0.0</v>
      </c>
      <c r="Q120" s="11">
        <v>2.0</v>
      </c>
      <c r="R120" s="13">
        <v>0.0</v>
      </c>
      <c r="S120" s="10">
        <v>0.06</v>
      </c>
      <c r="T120" s="13">
        <v>0.0</v>
      </c>
      <c r="U120" s="11">
        <v>0.06</v>
      </c>
      <c r="V120" s="11">
        <v>0.06</v>
      </c>
      <c r="W120" s="11">
        <v>0.06</v>
      </c>
      <c r="X120" s="14" t="s">
        <v>288</v>
      </c>
    </row>
    <row r="121">
      <c r="A121" s="7" t="s">
        <v>287</v>
      </c>
      <c r="B121" s="8" t="s">
        <v>34</v>
      </c>
      <c r="C121" s="9" t="s">
        <v>35</v>
      </c>
      <c r="D121" s="7" t="s">
        <v>80</v>
      </c>
      <c r="E121" s="9">
        <v>20.0</v>
      </c>
      <c r="F121" s="9">
        <v>2003.0</v>
      </c>
      <c r="G121" s="10">
        <v>9.0</v>
      </c>
      <c r="H121" s="11">
        <v>9.0</v>
      </c>
      <c r="I121" s="11">
        <v>794.0</v>
      </c>
      <c r="J121" s="11">
        <v>8.8</v>
      </c>
      <c r="K121" s="12">
        <v>0.0</v>
      </c>
      <c r="L121" s="11">
        <v>1.0</v>
      </c>
      <c r="M121" s="11">
        <v>1.0</v>
      </c>
      <c r="N121" s="13">
        <v>0.0</v>
      </c>
      <c r="O121" s="13">
        <v>0.0</v>
      </c>
      <c r="P121" s="13">
        <v>0.0</v>
      </c>
      <c r="Q121" s="11">
        <v>1.0</v>
      </c>
      <c r="R121" s="11">
        <v>1.0</v>
      </c>
      <c r="S121" s="12">
        <v>0.0</v>
      </c>
      <c r="T121" s="11">
        <v>0.11</v>
      </c>
      <c r="U121" s="11">
        <v>0.11</v>
      </c>
      <c r="V121" s="13">
        <v>0.0</v>
      </c>
      <c r="W121" s="11">
        <v>0.11</v>
      </c>
      <c r="X121" s="14" t="s">
        <v>289</v>
      </c>
    </row>
    <row r="122">
      <c r="A122" s="7" t="s">
        <v>290</v>
      </c>
      <c r="B122" s="8" t="s">
        <v>34</v>
      </c>
      <c r="C122" s="9" t="s">
        <v>83</v>
      </c>
      <c r="D122" s="7" t="s">
        <v>80</v>
      </c>
      <c r="E122" s="9">
        <v>21.0</v>
      </c>
      <c r="F122" s="9">
        <v>2002.0</v>
      </c>
      <c r="G122" s="10">
        <v>16.0</v>
      </c>
      <c r="H122" s="11">
        <v>10.0</v>
      </c>
      <c r="I122" s="15">
        <v>1000.0</v>
      </c>
      <c r="J122" s="11">
        <v>11.1</v>
      </c>
      <c r="K122" s="12">
        <v>0.0</v>
      </c>
      <c r="L122" s="13">
        <v>0.0</v>
      </c>
      <c r="M122" s="13">
        <v>0.0</v>
      </c>
      <c r="N122" s="13">
        <v>0.0</v>
      </c>
      <c r="O122" s="13">
        <v>0.0</v>
      </c>
      <c r="P122" s="13">
        <v>0.0</v>
      </c>
      <c r="Q122" s="11">
        <v>5.0</v>
      </c>
      <c r="R122" s="13">
        <v>0.0</v>
      </c>
      <c r="S122" s="12">
        <v>0.0</v>
      </c>
      <c r="T122" s="13">
        <v>0.0</v>
      </c>
      <c r="U122" s="13">
        <v>0.0</v>
      </c>
      <c r="V122" s="13">
        <v>0.0</v>
      </c>
      <c r="W122" s="13">
        <v>0.0</v>
      </c>
      <c r="X122" s="14" t="s">
        <v>291</v>
      </c>
    </row>
    <row r="123">
      <c r="A123" s="7" t="s">
        <v>292</v>
      </c>
      <c r="B123" s="8" t="s">
        <v>25</v>
      </c>
      <c r="C123" s="9" t="s">
        <v>47</v>
      </c>
      <c r="D123" s="7" t="s">
        <v>31</v>
      </c>
      <c r="E123" s="9">
        <v>27.0</v>
      </c>
      <c r="F123" s="9">
        <v>1996.0</v>
      </c>
      <c r="G123" s="10">
        <v>20.0</v>
      </c>
      <c r="H123" s="11">
        <v>14.0</v>
      </c>
      <c r="I123" s="15">
        <v>1231.0</v>
      </c>
      <c r="J123" s="11">
        <v>13.7</v>
      </c>
      <c r="K123" s="10">
        <v>1.0</v>
      </c>
      <c r="L123" s="11">
        <v>4.0</v>
      </c>
      <c r="M123" s="11">
        <v>5.0</v>
      </c>
      <c r="N123" s="11">
        <v>1.0</v>
      </c>
      <c r="O123" s="13">
        <v>0.0</v>
      </c>
      <c r="P123" s="13">
        <v>0.0</v>
      </c>
      <c r="Q123" s="11">
        <v>2.0</v>
      </c>
      <c r="R123" s="13">
        <v>0.0</v>
      </c>
      <c r="S123" s="10">
        <v>0.07</v>
      </c>
      <c r="T123" s="11">
        <v>0.29</v>
      </c>
      <c r="U123" s="11">
        <v>0.37</v>
      </c>
      <c r="V123" s="11">
        <v>0.07</v>
      </c>
      <c r="W123" s="11">
        <v>0.37</v>
      </c>
      <c r="X123" s="14" t="s">
        <v>293</v>
      </c>
    </row>
    <row r="124">
      <c r="A124" s="7" t="s">
        <v>294</v>
      </c>
      <c r="B124" s="8" t="s">
        <v>25</v>
      </c>
      <c r="C124" s="9" t="s">
        <v>87</v>
      </c>
      <c r="D124" s="7" t="s">
        <v>128</v>
      </c>
      <c r="E124" s="9">
        <v>20.0</v>
      </c>
      <c r="F124" s="9">
        <v>2003.0</v>
      </c>
      <c r="G124" s="10">
        <v>11.0</v>
      </c>
      <c r="H124" s="11">
        <v>7.0</v>
      </c>
      <c r="I124" s="11">
        <v>630.0</v>
      </c>
      <c r="J124" s="11">
        <v>7.0</v>
      </c>
      <c r="K124" s="12">
        <v>0.0</v>
      </c>
      <c r="L124" s="11">
        <v>1.0</v>
      </c>
      <c r="M124" s="11">
        <v>1.0</v>
      </c>
      <c r="N124" s="13">
        <v>0.0</v>
      </c>
      <c r="O124" s="13">
        <v>0.0</v>
      </c>
      <c r="P124" s="13">
        <v>0.0</v>
      </c>
      <c r="Q124" s="11">
        <v>3.0</v>
      </c>
      <c r="R124" s="11">
        <v>1.0</v>
      </c>
      <c r="S124" s="12">
        <v>0.0</v>
      </c>
      <c r="T124" s="11">
        <v>0.14</v>
      </c>
      <c r="U124" s="11">
        <v>0.14</v>
      </c>
      <c r="V124" s="13">
        <v>0.0</v>
      </c>
      <c r="W124" s="11">
        <v>0.14</v>
      </c>
      <c r="X124" s="14" t="s">
        <v>295</v>
      </c>
    </row>
    <row r="125">
      <c r="A125" s="7" t="s">
        <v>296</v>
      </c>
      <c r="B125" s="8" t="s">
        <v>25</v>
      </c>
      <c r="C125" s="9" t="s">
        <v>35</v>
      </c>
      <c r="D125" s="7" t="s">
        <v>36</v>
      </c>
      <c r="E125" s="9">
        <v>25.0</v>
      </c>
      <c r="F125" s="9">
        <v>1999.0</v>
      </c>
      <c r="G125" s="10">
        <v>26.0</v>
      </c>
      <c r="H125" s="11">
        <v>20.0</v>
      </c>
      <c r="I125" s="15">
        <v>1943.0</v>
      </c>
      <c r="J125" s="11">
        <v>21.6</v>
      </c>
      <c r="K125" s="10">
        <v>1.0</v>
      </c>
      <c r="L125" s="13">
        <v>0.0</v>
      </c>
      <c r="M125" s="11">
        <v>1.0</v>
      </c>
      <c r="N125" s="11">
        <v>1.0</v>
      </c>
      <c r="O125" s="13">
        <v>0.0</v>
      </c>
      <c r="P125" s="13">
        <v>0.0</v>
      </c>
      <c r="Q125" s="11">
        <v>6.0</v>
      </c>
      <c r="R125" s="11">
        <v>1.0</v>
      </c>
      <c r="S125" s="10">
        <v>0.05</v>
      </c>
      <c r="T125" s="13">
        <v>0.0</v>
      </c>
      <c r="U125" s="11">
        <v>0.05</v>
      </c>
      <c r="V125" s="11">
        <v>0.05</v>
      </c>
      <c r="W125" s="11">
        <v>0.05</v>
      </c>
      <c r="X125" s="14" t="s">
        <v>297</v>
      </c>
    </row>
    <row r="126">
      <c r="A126" s="7" t="s">
        <v>298</v>
      </c>
      <c r="B126" s="8" t="s">
        <v>34</v>
      </c>
      <c r="C126" s="9" t="s">
        <v>35</v>
      </c>
      <c r="D126" s="7" t="s">
        <v>52</v>
      </c>
      <c r="E126" s="9">
        <v>25.0</v>
      </c>
      <c r="F126" s="9">
        <v>1998.0</v>
      </c>
      <c r="G126" s="10">
        <v>7.0</v>
      </c>
      <c r="H126" s="11">
        <v>1.0</v>
      </c>
      <c r="I126" s="11">
        <v>197.0</v>
      </c>
      <c r="J126" s="11">
        <v>2.2</v>
      </c>
      <c r="K126" s="12">
        <v>0.0</v>
      </c>
      <c r="L126" s="11">
        <v>1.0</v>
      </c>
      <c r="M126" s="11">
        <v>1.0</v>
      </c>
      <c r="N126" s="13">
        <v>0.0</v>
      </c>
      <c r="O126" s="13">
        <v>0.0</v>
      </c>
      <c r="P126" s="13">
        <v>0.0</v>
      </c>
      <c r="Q126" s="11">
        <v>2.0</v>
      </c>
      <c r="R126" s="13">
        <v>0.0</v>
      </c>
      <c r="S126" s="12">
        <v>0.0</v>
      </c>
      <c r="T126" s="11">
        <v>0.46</v>
      </c>
      <c r="U126" s="11">
        <v>0.46</v>
      </c>
      <c r="V126" s="13">
        <v>0.0</v>
      </c>
      <c r="W126" s="11">
        <v>0.46</v>
      </c>
      <c r="X126" s="14" t="s">
        <v>299</v>
      </c>
    </row>
    <row r="127">
      <c r="A127" s="7" t="s">
        <v>300</v>
      </c>
      <c r="B127" s="8" t="s">
        <v>25</v>
      </c>
      <c r="C127" s="9" t="s">
        <v>26</v>
      </c>
      <c r="D127" s="7" t="s">
        <v>58</v>
      </c>
      <c r="E127" s="9">
        <v>19.0</v>
      </c>
      <c r="F127" s="9">
        <v>2004.0</v>
      </c>
      <c r="G127" s="10">
        <v>6.0</v>
      </c>
      <c r="H127" s="13">
        <v>0.0</v>
      </c>
      <c r="I127" s="11">
        <v>28.0</v>
      </c>
      <c r="J127" s="11">
        <v>0.3</v>
      </c>
      <c r="K127" s="12">
        <v>0.0</v>
      </c>
      <c r="L127" s="13">
        <v>0.0</v>
      </c>
      <c r="M127" s="13">
        <v>0.0</v>
      </c>
      <c r="N127" s="13">
        <v>0.0</v>
      </c>
      <c r="O127" s="13">
        <v>0.0</v>
      </c>
      <c r="P127" s="13">
        <v>0.0</v>
      </c>
      <c r="Q127" s="13">
        <v>0.0</v>
      </c>
      <c r="R127" s="13">
        <v>0.0</v>
      </c>
      <c r="S127" s="12">
        <v>0.0</v>
      </c>
      <c r="T127" s="13">
        <v>0.0</v>
      </c>
      <c r="U127" s="13">
        <v>0.0</v>
      </c>
      <c r="V127" s="13">
        <v>0.0</v>
      </c>
      <c r="W127" s="13">
        <v>0.0</v>
      </c>
      <c r="X127" s="14" t="s">
        <v>301</v>
      </c>
    </row>
    <row r="128">
      <c r="A128" s="7" t="s">
        <v>300</v>
      </c>
      <c r="B128" s="8" t="s">
        <v>25</v>
      </c>
      <c r="C128" s="9" t="s">
        <v>26</v>
      </c>
      <c r="D128" s="7" t="s">
        <v>80</v>
      </c>
      <c r="E128" s="9">
        <v>19.0</v>
      </c>
      <c r="F128" s="9">
        <v>2004.0</v>
      </c>
      <c r="G128" s="10">
        <v>12.0</v>
      </c>
      <c r="H128" s="11">
        <v>8.0</v>
      </c>
      <c r="I128" s="11">
        <v>637.0</v>
      </c>
      <c r="J128" s="11">
        <v>7.1</v>
      </c>
      <c r="K128" s="10">
        <v>1.0</v>
      </c>
      <c r="L128" s="11">
        <v>1.0</v>
      </c>
      <c r="M128" s="11">
        <v>2.0</v>
      </c>
      <c r="N128" s="11">
        <v>1.0</v>
      </c>
      <c r="O128" s="13">
        <v>0.0</v>
      </c>
      <c r="P128" s="13">
        <v>0.0</v>
      </c>
      <c r="Q128" s="11">
        <v>1.0</v>
      </c>
      <c r="R128" s="13">
        <v>0.0</v>
      </c>
      <c r="S128" s="10">
        <v>0.14</v>
      </c>
      <c r="T128" s="11">
        <v>0.14</v>
      </c>
      <c r="U128" s="11">
        <v>0.28</v>
      </c>
      <c r="V128" s="11">
        <v>0.14</v>
      </c>
      <c r="W128" s="11">
        <v>0.28</v>
      </c>
      <c r="X128" s="14" t="s">
        <v>302</v>
      </c>
    </row>
    <row r="129">
      <c r="A129" s="7" t="s">
        <v>303</v>
      </c>
      <c r="B129" s="8" t="s">
        <v>25</v>
      </c>
      <c r="C129" s="9" t="s">
        <v>35</v>
      </c>
      <c r="D129" s="7" t="s">
        <v>44</v>
      </c>
      <c r="E129" s="9">
        <v>32.0</v>
      </c>
      <c r="F129" s="9">
        <v>1991.0</v>
      </c>
      <c r="G129" s="10">
        <v>9.0</v>
      </c>
      <c r="H129" s="11">
        <v>7.0</v>
      </c>
      <c r="I129" s="11">
        <v>636.0</v>
      </c>
      <c r="J129" s="11">
        <v>7.1</v>
      </c>
      <c r="K129" s="12">
        <v>0.0</v>
      </c>
      <c r="L129" s="13">
        <v>0.0</v>
      </c>
      <c r="M129" s="13">
        <v>0.0</v>
      </c>
      <c r="N129" s="13">
        <v>0.0</v>
      </c>
      <c r="O129" s="13">
        <v>0.0</v>
      </c>
      <c r="P129" s="13">
        <v>0.0</v>
      </c>
      <c r="Q129" s="11">
        <v>1.0</v>
      </c>
      <c r="R129" s="13">
        <v>0.0</v>
      </c>
      <c r="S129" s="12">
        <v>0.0</v>
      </c>
      <c r="T129" s="13">
        <v>0.0</v>
      </c>
      <c r="U129" s="13">
        <v>0.0</v>
      </c>
      <c r="V129" s="13">
        <v>0.0</v>
      </c>
      <c r="W129" s="13">
        <v>0.0</v>
      </c>
      <c r="X129" s="14" t="s">
        <v>304</v>
      </c>
    </row>
    <row r="130">
      <c r="A130" s="7" t="s">
        <v>305</v>
      </c>
      <c r="B130" s="8" t="s">
        <v>25</v>
      </c>
      <c r="C130" s="9" t="s">
        <v>47</v>
      </c>
      <c r="D130" s="7" t="s">
        <v>27</v>
      </c>
      <c r="E130" s="9">
        <v>27.0</v>
      </c>
      <c r="F130" s="9">
        <v>1996.0</v>
      </c>
      <c r="G130" s="10">
        <v>31.0</v>
      </c>
      <c r="H130" s="11">
        <v>23.0</v>
      </c>
      <c r="I130" s="15">
        <v>1844.0</v>
      </c>
      <c r="J130" s="11">
        <v>20.5</v>
      </c>
      <c r="K130" s="10">
        <v>7.0</v>
      </c>
      <c r="L130" s="11">
        <v>3.0</v>
      </c>
      <c r="M130" s="11">
        <v>10.0</v>
      </c>
      <c r="N130" s="11">
        <v>7.0</v>
      </c>
      <c r="O130" s="13">
        <v>0.0</v>
      </c>
      <c r="P130" s="13">
        <v>0.0</v>
      </c>
      <c r="Q130" s="11">
        <v>3.0</v>
      </c>
      <c r="R130" s="13">
        <v>0.0</v>
      </c>
      <c r="S130" s="10">
        <v>0.34</v>
      </c>
      <c r="T130" s="11">
        <v>0.15</v>
      </c>
      <c r="U130" s="11">
        <v>0.49</v>
      </c>
      <c r="V130" s="11">
        <v>0.34</v>
      </c>
      <c r="W130" s="11">
        <v>0.49</v>
      </c>
      <c r="X130" s="14" t="s">
        <v>306</v>
      </c>
    </row>
    <row r="131">
      <c r="A131" s="7" t="s">
        <v>307</v>
      </c>
      <c r="B131" s="8" t="s">
        <v>34</v>
      </c>
      <c r="C131" s="9" t="s">
        <v>30</v>
      </c>
      <c r="D131" s="7" t="s">
        <v>44</v>
      </c>
      <c r="E131" s="9">
        <v>27.0</v>
      </c>
      <c r="F131" s="9">
        <v>1996.0</v>
      </c>
      <c r="G131" s="10">
        <v>27.0</v>
      </c>
      <c r="H131" s="11">
        <v>19.0</v>
      </c>
      <c r="I131" s="15">
        <v>1793.0</v>
      </c>
      <c r="J131" s="11">
        <v>19.9</v>
      </c>
      <c r="K131" s="10">
        <v>5.0</v>
      </c>
      <c r="L131" s="11">
        <v>2.0</v>
      </c>
      <c r="M131" s="11">
        <v>7.0</v>
      </c>
      <c r="N131" s="11">
        <v>5.0</v>
      </c>
      <c r="O131" s="13">
        <v>0.0</v>
      </c>
      <c r="P131" s="11">
        <v>1.0</v>
      </c>
      <c r="Q131" s="11">
        <v>1.0</v>
      </c>
      <c r="R131" s="13">
        <v>0.0</v>
      </c>
      <c r="S131" s="10">
        <v>0.25</v>
      </c>
      <c r="T131" s="11">
        <v>0.1</v>
      </c>
      <c r="U131" s="11">
        <v>0.35</v>
      </c>
      <c r="V131" s="11">
        <v>0.25</v>
      </c>
      <c r="W131" s="11">
        <v>0.35</v>
      </c>
      <c r="X131" s="14" t="s">
        <v>308</v>
      </c>
    </row>
    <row r="132">
      <c r="A132" s="7" t="s">
        <v>309</v>
      </c>
      <c r="B132" s="8" t="s">
        <v>25</v>
      </c>
      <c r="C132" s="9" t="s">
        <v>35</v>
      </c>
      <c r="D132" s="7" t="s">
        <v>36</v>
      </c>
      <c r="E132" s="9">
        <v>23.0</v>
      </c>
      <c r="F132" s="9">
        <v>2000.0</v>
      </c>
      <c r="G132" s="10">
        <v>12.0</v>
      </c>
      <c r="H132" s="11">
        <v>12.0</v>
      </c>
      <c r="I132" s="15">
        <v>1031.0</v>
      </c>
      <c r="J132" s="11">
        <v>11.5</v>
      </c>
      <c r="K132" s="12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1">
        <v>3.0</v>
      </c>
      <c r="R132" s="13">
        <v>0.0</v>
      </c>
      <c r="S132" s="12">
        <v>0.0</v>
      </c>
      <c r="T132" s="13">
        <v>0.0</v>
      </c>
      <c r="U132" s="13">
        <v>0.0</v>
      </c>
      <c r="V132" s="13">
        <v>0.0</v>
      </c>
      <c r="W132" s="13">
        <v>0.0</v>
      </c>
      <c r="X132" s="14" t="s">
        <v>310</v>
      </c>
    </row>
    <row r="133">
      <c r="A133" s="7" t="s">
        <v>311</v>
      </c>
      <c r="B133" s="8" t="e">
        <v>#VALUE!</v>
      </c>
      <c r="C133" s="9" t="s">
        <v>26</v>
      </c>
      <c r="D133" s="7" t="s">
        <v>36</v>
      </c>
      <c r="E133" s="16"/>
      <c r="F133" s="16"/>
      <c r="G133" s="10">
        <v>1.0</v>
      </c>
      <c r="H133" s="13">
        <v>0.0</v>
      </c>
      <c r="I133" s="11">
        <v>20.0</v>
      </c>
      <c r="J133" s="11">
        <v>0.2</v>
      </c>
      <c r="K133" s="12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0.0</v>
      </c>
      <c r="S133" s="12">
        <v>0.0</v>
      </c>
      <c r="T133" s="13">
        <v>0.0</v>
      </c>
      <c r="U133" s="13">
        <v>0.0</v>
      </c>
      <c r="V133" s="13">
        <v>0.0</v>
      </c>
      <c r="W133" s="13">
        <v>0.0</v>
      </c>
      <c r="X133" s="14" t="s">
        <v>312</v>
      </c>
    </row>
    <row r="134">
      <c r="A134" s="7" t="s">
        <v>313</v>
      </c>
      <c r="B134" s="8" t="s">
        <v>25</v>
      </c>
      <c r="C134" s="9" t="s">
        <v>47</v>
      </c>
      <c r="D134" s="7" t="s">
        <v>44</v>
      </c>
      <c r="E134" s="9">
        <v>23.0</v>
      </c>
      <c r="F134" s="9">
        <v>2001.0</v>
      </c>
      <c r="G134" s="10">
        <v>34.0</v>
      </c>
      <c r="H134" s="11">
        <v>26.0</v>
      </c>
      <c r="I134" s="15">
        <v>2295.0</v>
      </c>
      <c r="J134" s="11">
        <v>25.5</v>
      </c>
      <c r="K134" s="10">
        <v>4.0</v>
      </c>
      <c r="L134" s="11">
        <v>1.0</v>
      </c>
      <c r="M134" s="11">
        <v>5.0</v>
      </c>
      <c r="N134" s="11">
        <v>4.0</v>
      </c>
      <c r="O134" s="13">
        <v>0.0</v>
      </c>
      <c r="P134" s="13">
        <v>0.0</v>
      </c>
      <c r="Q134" s="11">
        <v>7.0</v>
      </c>
      <c r="R134" s="13">
        <v>0.0</v>
      </c>
      <c r="S134" s="10">
        <v>0.16</v>
      </c>
      <c r="T134" s="11">
        <v>0.04</v>
      </c>
      <c r="U134" s="11">
        <v>0.2</v>
      </c>
      <c r="V134" s="11">
        <v>0.16</v>
      </c>
      <c r="W134" s="11">
        <v>0.2</v>
      </c>
      <c r="X134" s="14" t="s">
        <v>314</v>
      </c>
    </row>
    <row r="135">
      <c r="A135" s="7" t="s">
        <v>315</v>
      </c>
      <c r="B135" s="8" t="s">
        <v>70</v>
      </c>
      <c r="C135" s="9" t="s">
        <v>55</v>
      </c>
      <c r="D135" s="7" t="s">
        <v>80</v>
      </c>
      <c r="E135" s="9">
        <v>24.0</v>
      </c>
      <c r="F135" s="9">
        <v>1999.0</v>
      </c>
      <c r="G135" s="10">
        <v>31.0</v>
      </c>
      <c r="H135" s="11">
        <v>24.0</v>
      </c>
      <c r="I135" s="15">
        <v>2079.0</v>
      </c>
      <c r="J135" s="11">
        <v>23.1</v>
      </c>
      <c r="K135" s="10">
        <v>6.0</v>
      </c>
      <c r="L135" s="11">
        <v>1.0</v>
      </c>
      <c r="M135" s="11">
        <v>7.0</v>
      </c>
      <c r="N135" s="11">
        <v>5.0</v>
      </c>
      <c r="O135" s="11">
        <v>1.0</v>
      </c>
      <c r="P135" s="11">
        <v>1.0</v>
      </c>
      <c r="Q135" s="11">
        <v>5.0</v>
      </c>
      <c r="R135" s="13">
        <v>0.0</v>
      </c>
      <c r="S135" s="10">
        <v>0.26</v>
      </c>
      <c r="T135" s="11">
        <v>0.04</v>
      </c>
      <c r="U135" s="11">
        <v>0.3</v>
      </c>
      <c r="V135" s="11">
        <v>0.22</v>
      </c>
      <c r="W135" s="11">
        <v>0.26</v>
      </c>
      <c r="X135" s="14" t="s">
        <v>316</v>
      </c>
    </row>
    <row r="136">
      <c r="A136" s="7" t="s">
        <v>317</v>
      </c>
      <c r="B136" s="8" t="s">
        <v>25</v>
      </c>
      <c r="C136" s="9" t="s">
        <v>26</v>
      </c>
      <c r="D136" s="7" t="s">
        <v>44</v>
      </c>
      <c r="E136" s="9">
        <v>18.0</v>
      </c>
      <c r="F136" s="9">
        <v>2005.0</v>
      </c>
      <c r="G136" s="10">
        <v>11.0</v>
      </c>
      <c r="H136" s="11">
        <v>8.0</v>
      </c>
      <c r="I136" s="11">
        <v>682.0</v>
      </c>
      <c r="J136" s="11">
        <v>7.6</v>
      </c>
      <c r="K136" s="12">
        <v>0.0</v>
      </c>
      <c r="L136" s="13">
        <v>0.0</v>
      </c>
      <c r="M136" s="13">
        <v>0.0</v>
      </c>
      <c r="N136" s="13">
        <v>0.0</v>
      </c>
      <c r="O136" s="13">
        <v>0.0</v>
      </c>
      <c r="P136" s="13">
        <v>0.0</v>
      </c>
      <c r="Q136" s="11">
        <v>2.0</v>
      </c>
      <c r="R136" s="13">
        <v>0.0</v>
      </c>
      <c r="S136" s="12">
        <v>0.0</v>
      </c>
      <c r="T136" s="13">
        <v>0.0</v>
      </c>
      <c r="U136" s="13">
        <v>0.0</v>
      </c>
      <c r="V136" s="13">
        <v>0.0</v>
      </c>
      <c r="W136" s="13">
        <v>0.0</v>
      </c>
      <c r="X136" s="14" t="s">
        <v>318</v>
      </c>
    </row>
    <row r="137">
      <c r="A137" s="7" t="s">
        <v>319</v>
      </c>
      <c r="B137" s="8" t="s">
        <v>25</v>
      </c>
      <c r="C137" s="9" t="s">
        <v>77</v>
      </c>
      <c r="D137" s="7" t="s">
        <v>44</v>
      </c>
      <c r="E137" s="9">
        <v>26.0</v>
      </c>
      <c r="F137" s="9">
        <v>1997.0</v>
      </c>
      <c r="G137" s="10">
        <v>2.0</v>
      </c>
      <c r="H137" s="11">
        <v>2.0</v>
      </c>
      <c r="I137" s="11">
        <v>180.0</v>
      </c>
      <c r="J137" s="11">
        <v>2.0</v>
      </c>
      <c r="K137" s="12">
        <v>0.0</v>
      </c>
      <c r="L137" s="13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0.0</v>
      </c>
      <c r="S137" s="12">
        <v>0.0</v>
      </c>
      <c r="T137" s="13">
        <v>0.0</v>
      </c>
      <c r="U137" s="13">
        <v>0.0</v>
      </c>
      <c r="V137" s="13">
        <v>0.0</v>
      </c>
      <c r="W137" s="13">
        <v>0.0</v>
      </c>
      <c r="X137" s="14" t="s">
        <v>320</v>
      </c>
    </row>
    <row r="138">
      <c r="A138" s="7" t="s">
        <v>321</v>
      </c>
      <c r="B138" s="8" t="s">
        <v>25</v>
      </c>
      <c r="C138" s="9" t="s">
        <v>26</v>
      </c>
      <c r="D138" s="7" t="s">
        <v>27</v>
      </c>
      <c r="E138" s="9">
        <v>25.0</v>
      </c>
      <c r="F138" s="9">
        <v>1998.0</v>
      </c>
      <c r="G138" s="10">
        <v>34.0</v>
      </c>
      <c r="H138" s="11">
        <v>33.0</v>
      </c>
      <c r="I138" s="15">
        <v>2940.0</v>
      </c>
      <c r="J138" s="11">
        <v>32.7</v>
      </c>
      <c r="K138" s="10">
        <v>2.0</v>
      </c>
      <c r="L138" s="11">
        <v>1.0</v>
      </c>
      <c r="M138" s="11">
        <v>3.0</v>
      </c>
      <c r="N138" s="11">
        <v>2.0</v>
      </c>
      <c r="O138" s="13">
        <v>0.0</v>
      </c>
      <c r="P138" s="13">
        <v>0.0</v>
      </c>
      <c r="Q138" s="11">
        <v>12.0</v>
      </c>
      <c r="R138" s="13">
        <v>0.0</v>
      </c>
      <c r="S138" s="10">
        <v>0.06</v>
      </c>
      <c r="T138" s="11">
        <v>0.03</v>
      </c>
      <c r="U138" s="11">
        <v>0.09</v>
      </c>
      <c r="V138" s="11">
        <v>0.06</v>
      </c>
      <c r="W138" s="11">
        <v>0.09</v>
      </c>
      <c r="X138" s="14" t="s">
        <v>322</v>
      </c>
    </row>
    <row r="139">
      <c r="A139" s="7" t="s">
        <v>323</v>
      </c>
      <c r="B139" s="8" t="s">
        <v>70</v>
      </c>
      <c r="C139" s="9" t="s">
        <v>35</v>
      </c>
      <c r="D139" s="7" t="s">
        <v>80</v>
      </c>
      <c r="E139" s="9">
        <v>22.0</v>
      </c>
      <c r="F139" s="9">
        <v>2001.0</v>
      </c>
      <c r="G139" s="10">
        <v>3.0</v>
      </c>
      <c r="H139" s="11">
        <v>3.0</v>
      </c>
      <c r="I139" s="11">
        <v>216.0</v>
      </c>
      <c r="J139" s="11">
        <v>2.4</v>
      </c>
      <c r="K139" s="12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2">
        <v>0.0</v>
      </c>
      <c r="T139" s="13">
        <v>0.0</v>
      </c>
      <c r="U139" s="13">
        <v>0.0</v>
      </c>
      <c r="V139" s="13">
        <v>0.0</v>
      </c>
      <c r="W139" s="13">
        <v>0.0</v>
      </c>
      <c r="X139" s="14" t="s">
        <v>324</v>
      </c>
    </row>
    <row r="140">
      <c r="A140" s="7" t="s">
        <v>325</v>
      </c>
      <c r="B140" s="8" t="s">
        <v>25</v>
      </c>
      <c r="C140" s="9" t="s">
        <v>47</v>
      </c>
      <c r="D140" s="7" t="s">
        <v>27</v>
      </c>
      <c r="E140" s="9">
        <v>26.0</v>
      </c>
      <c r="F140" s="9">
        <v>1997.0</v>
      </c>
      <c r="G140" s="10">
        <v>21.0</v>
      </c>
      <c r="H140" s="11">
        <v>5.0</v>
      </c>
      <c r="I140" s="11">
        <v>624.0</v>
      </c>
      <c r="J140" s="11">
        <v>6.9</v>
      </c>
      <c r="K140" s="10">
        <v>1.0</v>
      </c>
      <c r="L140" s="11">
        <v>1.0</v>
      </c>
      <c r="M140" s="11">
        <v>2.0</v>
      </c>
      <c r="N140" s="11">
        <v>1.0</v>
      </c>
      <c r="O140" s="13">
        <v>0.0</v>
      </c>
      <c r="P140" s="13">
        <v>0.0</v>
      </c>
      <c r="Q140" s="13">
        <v>0.0</v>
      </c>
      <c r="R140" s="13">
        <v>0.0</v>
      </c>
      <c r="S140" s="10">
        <v>0.14</v>
      </c>
      <c r="T140" s="11">
        <v>0.14</v>
      </c>
      <c r="U140" s="11">
        <v>0.29</v>
      </c>
      <c r="V140" s="11">
        <v>0.14</v>
      </c>
      <c r="W140" s="11">
        <v>0.29</v>
      </c>
      <c r="X140" s="14" t="s">
        <v>326</v>
      </c>
    </row>
    <row r="141">
      <c r="A141" s="7" t="s">
        <v>327</v>
      </c>
      <c r="B141" s="8" t="s">
        <v>328</v>
      </c>
      <c r="C141" s="9" t="s">
        <v>35</v>
      </c>
      <c r="D141" s="7" t="s">
        <v>62</v>
      </c>
      <c r="E141" s="9">
        <v>27.0</v>
      </c>
      <c r="F141" s="9">
        <v>1996.0</v>
      </c>
      <c r="G141" s="10">
        <v>27.0</v>
      </c>
      <c r="H141" s="11">
        <v>23.0</v>
      </c>
      <c r="I141" s="15">
        <v>2093.0</v>
      </c>
      <c r="J141" s="11">
        <v>23.3</v>
      </c>
      <c r="K141" s="12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1">
        <v>2.0</v>
      </c>
      <c r="R141" s="13">
        <v>0.0</v>
      </c>
      <c r="S141" s="12">
        <v>0.0</v>
      </c>
      <c r="T141" s="13">
        <v>0.0</v>
      </c>
      <c r="U141" s="13">
        <v>0.0</v>
      </c>
      <c r="V141" s="13">
        <v>0.0</v>
      </c>
      <c r="W141" s="13">
        <v>0.0</v>
      </c>
      <c r="X141" s="14" t="s">
        <v>329</v>
      </c>
    </row>
    <row r="142">
      <c r="A142" s="7" t="s">
        <v>330</v>
      </c>
      <c r="B142" s="8" t="s">
        <v>331</v>
      </c>
      <c r="C142" s="9" t="s">
        <v>77</v>
      </c>
      <c r="D142" s="7" t="s">
        <v>36</v>
      </c>
      <c r="E142" s="9">
        <v>28.0</v>
      </c>
      <c r="F142" s="9">
        <v>1995.0</v>
      </c>
      <c r="G142" s="10">
        <v>7.0</v>
      </c>
      <c r="H142" s="11">
        <v>7.0</v>
      </c>
      <c r="I142" s="11">
        <v>613.0</v>
      </c>
      <c r="J142" s="11">
        <v>6.8</v>
      </c>
      <c r="K142" s="12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1">
        <v>1.0</v>
      </c>
      <c r="S142" s="12">
        <v>0.0</v>
      </c>
      <c r="T142" s="13">
        <v>0.0</v>
      </c>
      <c r="U142" s="13">
        <v>0.0</v>
      </c>
      <c r="V142" s="13">
        <v>0.0</v>
      </c>
      <c r="W142" s="13">
        <v>0.0</v>
      </c>
      <c r="X142" s="14" t="s">
        <v>332</v>
      </c>
    </row>
    <row r="143">
      <c r="A143" s="7" t="s">
        <v>333</v>
      </c>
      <c r="B143" s="8" t="s">
        <v>25</v>
      </c>
      <c r="C143" s="9" t="s">
        <v>35</v>
      </c>
      <c r="D143" s="7" t="s">
        <v>44</v>
      </c>
      <c r="E143" s="9">
        <v>20.0</v>
      </c>
      <c r="F143" s="9">
        <v>2003.0</v>
      </c>
      <c r="G143" s="10">
        <v>24.0</v>
      </c>
      <c r="H143" s="11">
        <v>18.0</v>
      </c>
      <c r="I143" s="15">
        <v>1669.0</v>
      </c>
      <c r="J143" s="11">
        <v>18.5</v>
      </c>
      <c r="K143" s="10">
        <v>1.0</v>
      </c>
      <c r="L143" s="13">
        <v>0.0</v>
      </c>
      <c r="M143" s="11">
        <v>1.0</v>
      </c>
      <c r="N143" s="11">
        <v>1.0</v>
      </c>
      <c r="O143" s="13">
        <v>0.0</v>
      </c>
      <c r="P143" s="13">
        <v>0.0</v>
      </c>
      <c r="Q143" s="11">
        <v>4.0</v>
      </c>
      <c r="R143" s="13">
        <v>0.0</v>
      </c>
      <c r="S143" s="10">
        <v>0.05</v>
      </c>
      <c r="T143" s="13">
        <v>0.0</v>
      </c>
      <c r="U143" s="11">
        <v>0.05</v>
      </c>
      <c r="V143" s="11">
        <v>0.05</v>
      </c>
      <c r="W143" s="11">
        <v>0.05</v>
      </c>
      <c r="X143" s="14" t="s">
        <v>334</v>
      </c>
    </row>
    <row r="144">
      <c r="A144" s="7" t="s">
        <v>335</v>
      </c>
      <c r="B144" s="8" t="s">
        <v>25</v>
      </c>
      <c r="C144" s="9" t="s">
        <v>26</v>
      </c>
      <c r="D144" s="7" t="s">
        <v>62</v>
      </c>
      <c r="E144" s="9">
        <v>33.0</v>
      </c>
      <c r="F144" s="9">
        <v>1991.0</v>
      </c>
      <c r="G144" s="10">
        <v>15.0</v>
      </c>
      <c r="H144" s="11">
        <v>15.0</v>
      </c>
      <c r="I144" s="15">
        <v>1342.0</v>
      </c>
      <c r="J144" s="11">
        <v>14.9</v>
      </c>
      <c r="K144" s="10">
        <v>2.0</v>
      </c>
      <c r="L144" s="13">
        <v>0.0</v>
      </c>
      <c r="M144" s="11">
        <v>2.0</v>
      </c>
      <c r="N144" s="11">
        <v>2.0</v>
      </c>
      <c r="O144" s="13">
        <v>0.0</v>
      </c>
      <c r="P144" s="13">
        <v>0.0</v>
      </c>
      <c r="Q144" s="13">
        <v>0.0</v>
      </c>
      <c r="R144" s="13">
        <v>0.0</v>
      </c>
      <c r="S144" s="10">
        <v>0.13</v>
      </c>
      <c r="T144" s="13">
        <v>0.0</v>
      </c>
      <c r="U144" s="11">
        <v>0.13</v>
      </c>
      <c r="V144" s="11">
        <v>0.13</v>
      </c>
      <c r="W144" s="11">
        <v>0.13</v>
      </c>
      <c r="X144" s="14" t="s">
        <v>336</v>
      </c>
    </row>
    <row r="145">
      <c r="A145" s="7" t="s">
        <v>337</v>
      </c>
      <c r="B145" s="8" t="s">
        <v>25</v>
      </c>
      <c r="C145" s="9" t="s">
        <v>35</v>
      </c>
      <c r="D145" s="7" t="s">
        <v>27</v>
      </c>
      <c r="E145" s="9">
        <v>24.0</v>
      </c>
      <c r="F145" s="9">
        <v>2000.0</v>
      </c>
      <c r="G145" s="10">
        <v>32.0</v>
      </c>
      <c r="H145" s="11">
        <v>32.0</v>
      </c>
      <c r="I145" s="15">
        <v>2779.0</v>
      </c>
      <c r="J145" s="11">
        <v>30.9</v>
      </c>
      <c r="K145" s="10">
        <v>4.0</v>
      </c>
      <c r="L145" s="11">
        <v>2.0</v>
      </c>
      <c r="M145" s="11">
        <v>6.0</v>
      </c>
      <c r="N145" s="11">
        <v>4.0</v>
      </c>
      <c r="O145" s="13">
        <v>0.0</v>
      </c>
      <c r="P145" s="13">
        <v>0.0</v>
      </c>
      <c r="Q145" s="11">
        <v>6.0</v>
      </c>
      <c r="R145" s="13">
        <v>0.0</v>
      </c>
      <c r="S145" s="10">
        <v>0.13</v>
      </c>
      <c r="T145" s="11">
        <v>0.06</v>
      </c>
      <c r="U145" s="11">
        <v>0.19</v>
      </c>
      <c r="V145" s="11">
        <v>0.13</v>
      </c>
      <c r="W145" s="11">
        <v>0.19</v>
      </c>
      <c r="X145" s="14" t="s">
        <v>338</v>
      </c>
    </row>
    <row r="146">
      <c r="A146" s="7" t="s">
        <v>339</v>
      </c>
      <c r="B146" s="8" t="s">
        <v>25</v>
      </c>
      <c r="C146" s="9" t="s">
        <v>35</v>
      </c>
      <c r="D146" s="7" t="s">
        <v>128</v>
      </c>
      <c r="E146" s="9">
        <v>24.0</v>
      </c>
      <c r="F146" s="9">
        <v>1999.0</v>
      </c>
      <c r="G146" s="10">
        <v>2.0</v>
      </c>
      <c r="H146" s="11">
        <v>1.0</v>
      </c>
      <c r="I146" s="11">
        <v>74.0</v>
      </c>
      <c r="J146" s="11">
        <v>0.8</v>
      </c>
      <c r="K146" s="12">
        <v>0.0</v>
      </c>
      <c r="L146" s="13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0.0</v>
      </c>
      <c r="R146" s="13">
        <v>0.0</v>
      </c>
      <c r="S146" s="12">
        <v>0.0</v>
      </c>
      <c r="T146" s="13">
        <v>0.0</v>
      </c>
      <c r="U146" s="13">
        <v>0.0</v>
      </c>
      <c r="V146" s="13">
        <v>0.0</v>
      </c>
      <c r="W146" s="13">
        <v>0.0</v>
      </c>
      <c r="X146" s="14" t="s">
        <v>340</v>
      </c>
    </row>
    <row r="147">
      <c r="A147" s="7" t="s">
        <v>341</v>
      </c>
      <c r="B147" s="8" t="s">
        <v>25</v>
      </c>
      <c r="C147" s="9" t="s">
        <v>30</v>
      </c>
      <c r="D147" s="7" t="s">
        <v>58</v>
      </c>
      <c r="E147" s="9">
        <v>25.0</v>
      </c>
      <c r="F147" s="9">
        <v>1999.0</v>
      </c>
      <c r="G147" s="10">
        <v>30.0</v>
      </c>
      <c r="H147" s="11">
        <v>20.0</v>
      </c>
      <c r="I147" s="15">
        <v>1605.0</v>
      </c>
      <c r="J147" s="11">
        <v>17.8</v>
      </c>
      <c r="K147" s="10">
        <v>4.0</v>
      </c>
      <c r="L147" s="11">
        <v>3.0</v>
      </c>
      <c r="M147" s="11">
        <v>7.0</v>
      </c>
      <c r="N147" s="11">
        <v>4.0</v>
      </c>
      <c r="O147" s="13">
        <v>0.0</v>
      </c>
      <c r="P147" s="13">
        <v>0.0</v>
      </c>
      <c r="Q147" s="11">
        <v>9.0</v>
      </c>
      <c r="R147" s="13">
        <v>0.0</v>
      </c>
      <c r="S147" s="10">
        <v>0.22</v>
      </c>
      <c r="T147" s="11">
        <v>0.17</v>
      </c>
      <c r="U147" s="11">
        <v>0.39</v>
      </c>
      <c r="V147" s="11">
        <v>0.22</v>
      </c>
      <c r="W147" s="11">
        <v>0.39</v>
      </c>
      <c r="X147" s="14" t="s">
        <v>342</v>
      </c>
    </row>
    <row r="148">
      <c r="A148" s="7" t="s">
        <v>343</v>
      </c>
      <c r="B148" s="8" t="s">
        <v>25</v>
      </c>
      <c r="C148" s="9" t="s">
        <v>83</v>
      </c>
      <c r="D148" s="7" t="s">
        <v>80</v>
      </c>
      <c r="E148" s="9">
        <v>30.0</v>
      </c>
      <c r="F148" s="9">
        <v>1993.0</v>
      </c>
      <c r="G148" s="10">
        <v>28.0</v>
      </c>
      <c r="H148" s="11">
        <v>24.0</v>
      </c>
      <c r="I148" s="15">
        <v>2124.0</v>
      </c>
      <c r="J148" s="11">
        <v>23.6</v>
      </c>
      <c r="K148" s="10">
        <v>2.0</v>
      </c>
      <c r="L148" s="11">
        <v>1.0</v>
      </c>
      <c r="M148" s="11">
        <v>3.0</v>
      </c>
      <c r="N148" s="11">
        <v>2.0</v>
      </c>
      <c r="O148" s="13">
        <v>0.0</v>
      </c>
      <c r="P148" s="13">
        <v>0.0</v>
      </c>
      <c r="Q148" s="11">
        <v>4.0</v>
      </c>
      <c r="R148" s="13">
        <v>0.0</v>
      </c>
      <c r="S148" s="10">
        <v>0.08</v>
      </c>
      <c r="T148" s="11">
        <v>0.04</v>
      </c>
      <c r="U148" s="11">
        <v>0.13</v>
      </c>
      <c r="V148" s="11">
        <v>0.08</v>
      </c>
      <c r="W148" s="11">
        <v>0.13</v>
      </c>
      <c r="X148" s="14" t="s">
        <v>344</v>
      </c>
    </row>
    <row r="149">
      <c r="A149" s="7" t="s">
        <v>345</v>
      </c>
      <c r="B149" s="8" t="s">
        <v>25</v>
      </c>
      <c r="C149" s="9" t="s">
        <v>47</v>
      </c>
      <c r="D149" s="7" t="s">
        <v>58</v>
      </c>
      <c r="E149" s="9">
        <v>30.0</v>
      </c>
      <c r="F149" s="9">
        <v>1993.0</v>
      </c>
      <c r="G149" s="10">
        <v>24.0</v>
      </c>
      <c r="H149" s="11">
        <v>12.0</v>
      </c>
      <c r="I149" s="15">
        <v>1004.0</v>
      </c>
      <c r="J149" s="11">
        <v>11.2</v>
      </c>
      <c r="K149" s="10">
        <v>1.0</v>
      </c>
      <c r="L149" s="13">
        <v>0.0</v>
      </c>
      <c r="M149" s="11">
        <v>1.0</v>
      </c>
      <c r="N149" s="11">
        <v>1.0</v>
      </c>
      <c r="O149" s="13">
        <v>0.0</v>
      </c>
      <c r="P149" s="13">
        <v>0.0</v>
      </c>
      <c r="Q149" s="11">
        <v>7.0</v>
      </c>
      <c r="R149" s="13">
        <v>0.0</v>
      </c>
      <c r="S149" s="10">
        <v>0.09</v>
      </c>
      <c r="T149" s="13">
        <v>0.0</v>
      </c>
      <c r="U149" s="11">
        <v>0.09</v>
      </c>
      <c r="V149" s="11">
        <v>0.09</v>
      </c>
      <c r="W149" s="11">
        <v>0.09</v>
      </c>
      <c r="X149" s="14" t="s">
        <v>346</v>
      </c>
    </row>
    <row r="150">
      <c r="A150" s="7" t="s">
        <v>345</v>
      </c>
      <c r="B150" s="8" t="s">
        <v>25</v>
      </c>
      <c r="C150" s="9" t="s">
        <v>26</v>
      </c>
      <c r="D150" s="7" t="s">
        <v>31</v>
      </c>
      <c r="E150" s="9">
        <v>18.0</v>
      </c>
      <c r="F150" s="9">
        <v>2006.0</v>
      </c>
      <c r="G150" s="10">
        <v>1.0</v>
      </c>
      <c r="H150" s="13">
        <v>0.0</v>
      </c>
      <c r="I150" s="11">
        <v>16.0</v>
      </c>
      <c r="J150" s="11">
        <v>0.2</v>
      </c>
      <c r="K150" s="12">
        <v>0.0</v>
      </c>
      <c r="L150" s="13">
        <v>0.0</v>
      </c>
      <c r="M150" s="13">
        <v>0.0</v>
      </c>
      <c r="N150" s="13">
        <v>0.0</v>
      </c>
      <c r="O150" s="13">
        <v>0.0</v>
      </c>
      <c r="P150" s="13">
        <v>0.0</v>
      </c>
      <c r="Q150" s="13">
        <v>0.0</v>
      </c>
      <c r="R150" s="13">
        <v>0.0</v>
      </c>
      <c r="S150" s="12">
        <v>0.0</v>
      </c>
      <c r="T150" s="13">
        <v>0.0</v>
      </c>
      <c r="U150" s="13">
        <v>0.0</v>
      </c>
      <c r="V150" s="13">
        <v>0.0</v>
      </c>
      <c r="W150" s="13">
        <v>0.0</v>
      </c>
      <c r="X150" s="14" t="s">
        <v>347</v>
      </c>
    </row>
    <row r="151">
      <c r="A151" s="7" t="s">
        <v>348</v>
      </c>
      <c r="B151" s="8" t="s">
        <v>25</v>
      </c>
      <c r="C151" s="9" t="s">
        <v>35</v>
      </c>
      <c r="D151" s="7" t="s">
        <v>128</v>
      </c>
      <c r="E151" s="9">
        <v>25.0</v>
      </c>
      <c r="F151" s="9">
        <v>1998.0</v>
      </c>
      <c r="G151" s="10">
        <v>30.0</v>
      </c>
      <c r="H151" s="11">
        <v>30.0</v>
      </c>
      <c r="I151" s="15">
        <v>2650.0</v>
      </c>
      <c r="J151" s="11">
        <v>29.4</v>
      </c>
      <c r="K151" s="12">
        <v>0.0</v>
      </c>
      <c r="L151" s="11">
        <v>2.0</v>
      </c>
      <c r="M151" s="11">
        <v>2.0</v>
      </c>
      <c r="N151" s="13">
        <v>0.0</v>
      </c>
      <c r="O151" s="13">
        <v>0.0</v>
      </c>
      <c r="P151" s="13">
        <v>0.0</v>
      </c>
      <c r="Q151" s="11">
        <v>8.0</v>
      </c>
      <c r="R151" s="11">
        <v>1.0</v>
      </c>
      <c r="S151" s="12">
        <v>0.0</v>
      </c>
      <c r="T151" s="11">
        <v>0.07</v>
      </c>
      <c r="U151" s="11">
        <v>0.07</v>
      </c>
      <c r="V151" s="13">
        <v>0.0</v>
      </c>
      <c r="W151" s="11">
        <v>0.07</v>
      </c>
      <c r="X151" s="14" t="s">
        <v>349</v>
      </c>
    </row>
    <row r="152">
      <c r="A152" s="7" t="s">
        <v>350</v>
      </c>
      <c r="B152" s="8" t="s">
        <v>25</v>
      </c>
      <c r="C152" s="9" t="s">
        <v>55</v>
      </c>
      <c r="D152" s="7" t="s">
        <v>31</v>
      </c>
      <c r="E152" s="9">
        <v>20.0</v>
      </c>
      <c r="F152" s="9">
        <v>2003.0</v>
      </c>
      <c r="G152" s="10">
        <v>29.0</v>
      </c>
      <c r="H152" s="11">
        <v>19.0</v>
      </c>
      <c r="I152" s="15">
        <v>1706.0</v>
      </c>
      <c r="J152" s="11">
        <v>19.0</v>
      </c>
      <c r="K152" s="10">
        <v>13.0</v>
      </c>
      <c r="L152" s="11">
        <v>2.0</v>
      </c>
      <c r="M152" s="11">
        <v>15.0</v>
      </c>
      <c r="N152" s="11">
        <v>13.0</v>
      </c>
      <c r="O152" s="13">
        <v>0.0</v>
      </c>
      <c r="P152" s="13">
        <v>0.0</v>
      </c>
      <c r="Q152" s="11">
        <v>5.0</v>
      </c>
      <c r="R152" s="13">
        <v>0.0</v>
      </c>
      <c r="S152" s="10">
        <v>0.69</v>
      </c>
      <c r="T152" s="11">
        <v>0.11</v>
      </c>
      <c r="U152" s="11">
        <v>0.79</v>
      </c>
      <c r="V152" s="11">
        <v>0.69</v>
      </c>
      <c r="W152" s="11">
        <v>0.79</v>
      </c>
      <c r="X152" s="14" t="s">
        <v>351</v>
      </c>
    </row>
    <row r="153">
      <c r="A153" s="7" t="s">
        <v>352</v>
      </c>
      <c r="B153" s="8" t="s">
        <v>25</v>
      </c>
      <c r="C153" s="9" t="s">
        <v>26</v>
      </c>
      <c r="D153" s="7" t="s">
        <v>58</v>
      </c>
      <c r="E153" s="9">
        <v>25.0</v>
      </c>
      <c r="F153" s="9">
        <v>1998.0</v>
      </c>
      <c r="G153" s="10">
        <v>31.0</v>
      </c>
      <c r="H153" s="11">
        <v>29.0</v>
      </c>
      <c r="I153" s="15">
        <v>2517.0</v>
      </c>
      <c r="J153" s="11">
        <v>28.0</v>
      </c>
      <c r="K153" s="12">
        <v>0.0</v>
      </c>
      <c r="L153" s="11">
        <v>1.0</v>
      </c>
      <c r="M153" s="11">
        <v>1.0</v>
      </c>
      <c r="N153" s="13">
        <v>0.0</v>
      </c>
      <c r="O153" s="13">
        <v>0.0</v>
      </c>
      <c r="P153" s="13">
        <v>0.0</v>
      </c>
      <c r="Q153" s="11">
        <v>7.0</v>
      </c>
      <c r="R153" s="13">
        <v>0.0</v>
      </c>
      <c r="S153" s="12">
        <v>0.0</v>
      </c>
      <c r="T153" s="11">
        <v>0.04</v>
      </c>
      <c r="U153" s="11">
        <v>0.04</v>
      </c>
      <c r="V153" s="13">
        <v>0.0</v>
      </c>
      <c r="W153" s="11">
        <v>0.04</v>
      </c>
      <c r="X153" s="14" t="s">
        <v>353</v>
      </c>
    </row>
    <row r="154">
      <c r="A154" s="7" t="s">
        <v>354</v>
      </c>
      <c r="B154" s="8" t="s">
        <v>34</v>
      </c>
      <c r="C154" s="9" t="s">
        <v>87</v>
      </c>
      <c r="D154" s="7" t="s">
        <v>44</v>
      </c>
      <c r="E154" s="9">
        <v>28.0</v>
      </c>
      <c r="F154" s="9">
        <v>1995.0</v>
      </c>
      <c r="G154" s="10">
        <v>29.0</v>
      </c>
      <c r="H154" s="11">
        <v>28.0</v>
      </c>
      <c r="I154" s="15">
        <v>2328.0</v>
      </c>
      <c r="J154" s="11">
        <v>25.9</v>
      </c>
      <c r="K154" s="10">
        <v>3.0</v>
      </c>
      <c r="L154" s="11">
        <v>1.0</v>
      </c>
      <c r="M154" s="11">
        <v>4.0</v>
      </c>
      <c r="N154" s="11">
        <v>1.0</v>
      </c>
      <c r="O154" s="11">
        <v>2.0</v>
      </c>
      <c r="P154" s="11">
        <v>3.0</v>
      </c>
      <c r="Q154" s="11">
        <v>11.0</v>
      </c>
      <c r="R154" s="13">
        <v>0.0</v>
      </c>
      <c r="S154" s="10">
        <v>0.12</v>
      </c>
      <c r="T154" s="11">
        <v>0.04</v>
      </c>
      <c r="U154" s="11">
        <v>0.15</v>
      </c>
      <c r="V154" s="11">
        <v>0.04</v>
      </c>
      <c r="W154" s="11">
        <v>0.08</v>
      </c>
      <c r="X154" s="14" t="s">
        <v>355</v>
      </c>
    </row>
    <row r="155">
      <c r="A155" s="7" t="s">
        <v>356</v>
      </c>
      <c r="B155" s="8" t="s">
        <v>25</v>
      </c>
      <c r="C155" s="9" t="s">
        <v>26</v>
      </c>
      <c r="D155" s="7" t="s">
        <v>52</v>
      </c>
      <c r="E155" s="9">
        <v>23.0</v>
      </c>
      <c r="F155" s="9">
        <v>2001.0</v>
      </c>
      <c r="G155" s="10">
        <v>9.0</v>
      </c>
      <c r="H155" s="11">
        <v>6.0</v>
      </c>
      <c r="I155" s="11">
        <v>492.0</v>
      </c>
      <c r="J155" s="11">
        <v>5.5</v>
      </c>
      <c r="K155" s="12">
        <v>0.0</v>
      </c>
      <c r="L155" s="13">
        <v>0.0</v>
      </c>
      <c r="M155" s="13">
        <v>0.0</v>
      </c>
      <c r="N155" s="13">
        <v>0.0</v>
      </c>
      <c r="O155" s="13">
        <v>0.0</v>
      </c>
      <c r="P155" s="13">
        <v>0.0</v>
      </c>
      <c r="Q155" s="13">
        <v>0.0</v>
      </c>
      <c r="R155" s="13">
        <v>0.0</v>
      </c>
      <c r="S155" s="12">
        <v>0.0</v>
      </c>
      <c r="T155" s="13">
        <v>0.0</v>
      </c>
      <c r="U155" s="13">
        <v>0.0</v>
      </c>
      <c r="V155" s="13">
        <v>0.0</v>
      </c>
      <c r="W155" s="13">
        <v>0.0</v>
      </c>
      <c r="X155" s="14" t="s">
        <v>357</v>
      </c>
    </row>
    <row r="156">
      <c r="A156" s="7" t="s">
        <v>358</v>
      </c>
      <c r="B156" s="8" t="s">
        <v>359</v>
      </c>
      <c r="C156" s="9" t="s">
        <v>77</v>
      </c>
      <c r="D156" s="7" t="s">
        <v>27</v>
      </c>
      <c r="E156" s="9">
        <v>23.0</v>
      </c>
      <c r="F156" s="9">
        <v>2000.0</v>
      </c>
      <c r="G156" s="10">
        <v>12.0</v>
      </c>
      <c r="H156" s="11">
        <v>12.0</v>
      </c>
      <c r="I156" s="15">
        <v>1080.0</v>
      </c>
      <c r="J156" s="11">
        <v>12.0</v>
      </c>
      <c r="K156" s="12">
        <v>0.0</v>
      </c>
      <c r="L156" s="13">
        <v>0.0</v>
      </c>
      <c r="M156" s="13">
        <v>0.0</v>
      </c>
      <c r="N156" s="13">
        <v>0.0</v>
      </c>
      <c r="O156" s="13">
        <v>0.0</v>
      </c>
      <c r="P156" s="13">
        <v>0.0</v>
      </c>
      <c r="Q156" s="13">
        <v>0.0</v>
      </c>
      <c r="R156" s="13">
        <v>0.0</v>
      </c>
      <c r="S156" s="12">
        <v>0.0</v>
      </c>
      <c r="T156" s="13">
        <v>0.0</v>
      </c>
      <c r="U156" s="13">
        <v>0.0</v>
      </c>
      <c r="V156" s="13">
        <v>0.0</v>
      </c>
      <c r="W156" s="13">
        <v>0.0</v>
      </c>
      <c r="X156" s="14" t="s">
        <v>360</v>
      </c>
    </row>
    <row r="157">
      <c r="A157" s="7" t="s">
        <v>361</v>
      </c>
      <c r="B157" s="8" t="s">
        <v>362</v>
      </c>
      <c r="C157" s="9" t="s">
        <v>35</v>
      </c>
      <c r="D157" s="7" t="s">
        <v>98</v>
      </c>
      <c r="E157" s="9">
        <v>20.0</v>
      </c>
      <c r="F157" s="9">
        <v>2003.0</v>
      </c>
      <c r="G157" s="10">
        <v>4.0</v>
      </c>
      <c r="H157" s="11">
        <v>1.0</v>
      </c>
      <c r="I157" s="11">
        <v>164.0</v>
      </c>
      <c r="J157" s="11">
        <v>1.8</v>
      </c>
      <c r="K157" s="12">
        <v>0.0</v>
      </c>
      <c r="L157" s="13">
        <v>0.0</v>
      </c>
      <c r="M157" s="13">
        <v>0.0</v>
      </c>
      <c r="N157" s="13">
        <v>0.0</v>
      </c>
      <c r="O157" s="13">
        <v>0.0</v>
      </c>
      <c r="P157" s="13">
        <v>0.0</v>
      </c>
      <c r="Q157" s="13">
        <v>0.0</v>
      </c>
      <c r="R157" s="13">
        <v>0.0</v>
      </c>
      <c r="S157" s="12">
        <v>0.0</v>
      </c>
      <c r="T157" s="13">
        <v>0.0</v>
      </c>
      <c r="U157" s="13">
        <v>0.0</v>
      </c>
      <c r="V157" s="13">
        <v>0.0</v>
      </c>
      <c r="W157" s="13">
        <v>0.0</v>
      </c>
      <c r="X157" s="14" t="s">
        <v>363</v>
      </c>
    </row>
    <row r="158">
      <c r="A158" s="7" t="s">
        <v>364</v>
      </c>
      <c r="B158" s="8" t="s">
        <v>70</v>
      </c>
      <c r="C158" s="9" t="s">
        <v>55</v>
      </c>
      <c r="D158" s="7" t="s">
        <v>80</v>
      </c>
      <c r="E158" s="9">
        <v>19.0</v>
      </c>
      <c r="F158" s="9">
        <v>2004.0</v>
      </c>
      <c r="G158" s="10">
        <v>1.0</v>
      </c>
      <c r="H158" s="13">
        <v>0.0</v>
      </c>
      <c r="I158" s="11">
        <v>16.0</v>
      </c>
      <c r="J158" s="11">
        <v>0.2</v>
      </c>
      <c r="K158" s="12">
        <v>0.0</v>
      </c>
      <c r="L158" s="13">
        <v>0.0</v>
      </c>
      <c r="M158" s="13">
        <v>0.0</v>
      </c>
      <c r="N158" s="13">
        <v>0.0</v>
      </c>
      <c r="O158" s="13">
        <v>0.0</v>
      </c>
      <c r="P158" s="13">
        <v>0.0</v>
      </c>
      <c r="Q158" s="11">
        <v>1.0</v>
      </c>
      <c r="R158" s="13">
        <v>0.0</v>
      </c>
      <c r="S158" s="12">
        <v>0.0</v>
      </c>
      <c r="T158" s="13">
        <v>0.0</v>
      </c>
      <c r="U158" s="13">
        <v>0.0</v>
      </c>
      <c r="V158" s="13">
        <v>0.0</v>
      </c>
      <c r="W158" s="13">
        <v>0.0</v>
      </c>
      <c r="X158" s="14" t="s">
        <v>365</v>
      </c>
    </row>
    <row r="159">
      <c r="A159" s="7" t="s">
        <v>366</v>
      </c>
      <c r="B159" s="8" t="s">
        <v>25</v>
      </c>
      <c r="C159" s="9" t="s">
        <v>83</v>
      </c>
      <c r="D159" s="7" t="s">
        <v>31</v>
      </c>
      <c r="E159" s="9">
        <v>22.0</v>
      </c>
      <c r="F159" s="9">
        <v>2001.0</v>
      </c>
      <c r="G159" s="10">
        <v>35.0</v>
      </c>
      <c r="H159" s="11">
        <v>28.0</v>
      </c>
      <c r="I159" s="15">
        <v>2408.0</v>
      </c>
      <c r="J159" s="11">
        <v>26.8</v>
      </c>
      <c r="K159" s="10">
        <v>1.0</v>
      </c>
      <c r="L159" s="13">
        <v>0.0</v>
      </c>
      <c r="M159" s="11">
        <v>1.0</v>
      </c>
      <c r="N159" s="11">
        <v>1.0</v>
      </c>
      <c r="O159" s="13">
        <v>0.0</v>
      </c>
      <c r="P159" s="13">
        <v>0.0</v>
      </c>
      <c r="Q159" s="11">
        <v>8.0</v>
      </c>
      <c r="R159" s="13">
        <v>0.0</v>
      </c>
      <c r="S159" s="10">
        <v>0.04</v>
      </c>
      <c r="T159" s="13">
        <v>0.0</v>
      </c>
      <c r="U159" s="11">
        <v>0.04</v>
      </c>
      <c r="V159" s="11">
        <v>0.04</v>
      </c>
      <c r="W159" s="11">
        <v>0.04</v>
      </c>
      <c r="X159" s="14" t="s">
        <v>367</v>
      </c>
    </row>
    <row r="160">
      <c r="A160" s="7" t="s">
        <v>368</v>
      </c>
      <c r="B160" s="8" t="s">
        <v>34</v>
      </c>
      <c r="C160" s="9" t="s">
        <v>55</v>
      </c>
      <c r="D160" s="7" t="s">
        <v>62</v>
      </c>
      <c r="E160" s="9">
        <v>29.0</v>
      </c>
      <c r="F160" s="9">
        <v>1994.0</v>
      </c>
      <c r="G160" s="10">
        <v>4.0</v>
      </c>
      <c r="H160" s="13">
        <v>0.0</v>
      </c>
      <c r="I160" s="11">
        <v>23.0</v>
      </c>
      <c r="J160" s="11">
        <v>0.3</v>
      </c>
      <c r="K160" s="12">
        <v>0.0</v>
      </c>
      <c r="L160" s="13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12">
        <v>0.0</v>
      </c>
      <c r="T160" s="13">
        <v>0.0</v>
      </c>
      <c r="U160" s="13">
        <v>0.0</v>
      </c>
      <c r="V160" s="13">
        <v>0.0</v>
      </c>
      <c r="W160" s="13">
        <v>0.0</v>
      </c>
      <c r="X160" s="14" t="s">
        <v>369</v>
      </c>
    </row>
    <row r="161">
      <c r="A161" s="7" t="s">
        <v>370</v>
      </c>
      <c r="B161" s="8" t="s">
        <v>101</v>
      </c>
      <c r="C161" s="9" t="s">
        <v>77</v>
      </c>
      <c r="D161" s="7" t="s">
        <v>44</v>
      </c>
      <c r="E161" s="9">
        <v>24.0</v>
      </c>
      <c r="F161" s="9">
        <v>1999.0</v>
      </c>
      <c r="G161" s="10">
        <v>34.0</v>
      </c>
      <c r="H161" s="11">
        <v>34.0</v>
      </c>
      <c r="I161" s="15">
        <v>3060.0</v>
      </c>
      <c r="J161" s="11">
        <v>34.0</v>
      </c>
      <c r="K161" s="12">
        <v>0.0</v>
      </c>
      <c r="L161" s="13">
        <v>0.0</v>
      </c>
      <c r="M161" s="13">
        <v>0.0</v>
      </c>
      <c r="N161" s="13">
        <v>0.0</v>
      </c>
      <c r="O161" s="13">
        <v>0.0</v>
      </c>
      <c r="P161" s="13">
        <v>0.0</v>
      </c>
      <c r="Q161" s="11">
        <v>1.0</v>
      </c>
      <c r="R161" s="13">
        <v>0.0</v>
      </c>
      <c r="S161" s="12">
        <v>0.0</v>
      </c>
      <c r="T161" s="13">
        <v>0.0</v>
      </c>
      <c r="U161" s="13">
        <v>0.0</v>
      </c>
      <c r="V161" s="13">
        <v>0.0</v>
      </c>
      <c r="W161" s="13">
        <v>0.0</v>
      </c>
      <c r="X161" s="14" t="s">
        <v>371</v>
      </c>
    </row>
    <row r="162">
      <c r="A162" s="7" t="s">
        <v>372</v>
      </c>
      <c r="B162" s="8" t="s">
        <v>101</v>
      </c>
      <c r="C162" s="9" t="s">
        <v>35</v>
      </c>
      <c r="D162" s="7" t="s">
        <v>98</v>
      </c>
      <c r="E162" s="9">
        <v>22.0</v>
      </c>
      <c r="F162" s="9">
        <v>2001.0</v>
      </c>
      <c r="G162" s="10">
        <v>30.0</v>
      </c>
      <c r="H162" s="11">
        <v>26.0</v>
      </c>
      <c r="I162" s="15">
        <v>2301.0</v>
      </c>
      <c r="J162" s="11">
        <v>25.6</v>
      </c>
      <c r="K162" s="12">
        <v>0.0</v>
      </c>
      <c r="L162" s="13">
        <v>0.0</v>
      </c>
      <c r="M162" s="13">
        <v>0.0</v>
      </c>
      <c r="N162" s="13">
        <v>0.0</v>
      </c>
      <c r="O162" s="13">
        <v>0.0</v>
      </c>
      <c r="P162" s="13">
        <v>0.0</v>
      </c>
      <c r="Q162" s="11">
        <v>7.0</v>
      </c>
      <c r="R162" s="13">
        <v>0.0</v>
      </c>
      <c r="S162" s="12">
        <v>0.0</v>
      </c>
      <c r="T162" s="13">
        <v>0.0</v>
      </c>
      <c r="U162" s="13">
        <v>0.0</v>
      </c>
      <c r="V162" s="13">
        <v>0.0</v>
      </c>
      <c r="W162" s="13">
        <v>0.0</v>
      </c>
      <c r="X162" s="14" t="s">
        <v>373</v>
      </c>
    </row>
    <row r="163">
      <c r="A163" s="7" t="s">
        <v>374</v>
      </c>
      <c r="B163" s="8" t="s">
        <v>101</v>
      </c>
      <c r="C163" s="9" t="s">
        <v>26</v>
      </c>
      <c r="D163" s="7" t="s">
        <v>98</v>
      </c>
      <c r="E163" s="9">
        <v>21.0</v>
      </c>
      <c r="F163" s="9">
        <v>2003.0</v>
      </c>
      <c r="G163" s="10">
        <v>1.0</v>
      </c>
      <c r="H163" s="13">
        <v>0.0</v>
      </c>
      <c r="I163" s="11">
        <v>6.0</v>
      </c>
      <c r="J163" s="11">
        <v>0.1</v>
      </c>
      <c r="K163" s="12">
        <v>0.0</v>
      </c>
      <c r="L163" s="13">
        <v>0.0</v>
      </c>
      <c r="M163" s="13">
        <v>0.0</v>
      </c>
      <c r="N163" s="13">
        <v>0.0</v>
      </c>
      <c r="O163" s="13">
        <v>0.0</v>
      </c>
      <c r="P163" s="13">
        <v>0.0</v>
      </c>
      <c r="Q163" s="11">
        <v>1.0</v>
      </c>
      <c r="R163" s="13">
        <v>0.0</v>
      </c>
      <c r="S163" s="12">
        <v>0.0</v>
      </c>
      <c r="T163" s="13">
        <v>0.0</v>
      </c>
      <c r="U163" s="13">
        <v>0.0</v>
      </c>
      <c r="V163" s="13">
        <v>0.0</v>
      </c>
      <c r="W163" s="13">
        <v>0.0</v>
      </c>
      <c r="X163" s="14" t="s">
        <v>375</v>
      </c>
    </row>
    <row r="164">
      <c r="A164" s="7" t="s">
        <v>376</v>
      </c>
      <c r="B164" s="8" t="s">
        <v>25</v>
      </c>
      <c r="C164" s="9" t="s">
        <v>30</v>
      </c>
      <c r="D164" s="7" t="s">
        <v>128</v>
      </c>
      <c r="E164" s="9">
        <v>20.0</v>
      </c>
      <c r="F164" s="9">
        <v>2003.0</v>
      </c>
      <c r="G164" s="10">
        <v>26.0</v>
      </c>
      <c r="H164" s="11">
        <v>7.0</v>
      </c>
      <c r="I164" s="11">
        <v>883.0</v>
      </c>
      <c r="J164" s="11">
        <v>9.8</v>
      </c>
      <c r="K164" s="10">
        <v>1.0</v>
      </c>
      <c r="L164" s="13">
        <v>0.0</v>
      </c>
      <c r="M164" s="11">
        <v>1.0</v>
      </c>
      <c r="N164" s="11">
        <v>1.0</v>
      </c>
      <c r="O164" s="13">
        <v>0.0</v>
      </c>
      <c r="P164" s="13">
        <v>0.0</v>
      </c>
      <c r="Q164" s="11">
        <v>3.0</v>
      </c>
      <c r="R164" s="13">
        <v>0.0</v>
      </c>
      <c r="S164" s="10">
        <v>0.1</v>
      </c>
      <c r="T164" s="13">
        <v>0.0</v>
      </c>
      <c r="U164" s="11">
        <v>0.1</v>
      </c>
      <c r="V164" s="11">
        <v>0.1</v>
      </c>
      <c r="W164" s="11">
        <v>0.1</v>
      </c>
      <c r="X164" s="14" t="s">
        <v>377</v>
      </c>
    </row>
    <row r="165">
      <c r="A165" s="7" t="s">
        <v>378</v>
      </c>
      <c r="B165" s="8" t="s">
        <v>25</v>
      </c>
      <c r="C165" s="9" t="s">
        <v>35</v>
      </c>
      <c r="D165" s="7" t="s">
        <v>58</v>
      </c>
      <c r="E165" s="9">
        <v>22.0</v>
      </c>
      <c r="F165" s="9">
        <v>2001.0</v>
      </c>
      <c r="G165" s="10">
        <v>33.0</v>
      </c>
      <c r="H165" s="11">
        <v>22.0</v>
      </c>
      <c r="I165" s="15">
        <v>2156.0</v>
      </c>
      <c r="J165" s="11">
        <v>24.0</v>
      </c>
      <c r="K165" s="12">
        <v>0.0</v>
      </c>
      <c r="L165" s="13">
        <v>0.0</v>
      </c>
      <c r="M165" s="13">
        <v>0.0</v>
      </c>
      <c r="N165" s="13">
        <v>0.0</v>
      </c>
      <c r="O165" s="13">
        <v>0.0</v>
      </c>
      <c r="P165" s="13">
        <v>0.0</v>
      </c>
      <c r="Q165" s="11">
        <v>3.0</v>
      </c>
      <c r="R165" s="13">
        <v>0.0</v>
      </c>
      <c r="S165" s="12">
        <v>0.0</v>
      </c>
      <c r="T165" s="13">
        <v>0.0</v>
      </c>
      <c r="U165" s="13">
        <v>0.0</v>
      </c>
      <c r="V165" s="13">
        <v>0.0</v>
      </c>
      <c r="W165" s="13">
        <v>0.0</v>
      </c>
      <c r="X165" s="14" t="s">
        <v>379</v>
      </c>
    </row>
    <row r="166">
      <c r="A166" s="7" t="s">
        <v>380</v>
      </c>
      <c r="B166" s="8" t="s">
        <v>25</v>
      </c>
      <c r="C166" s="9" t="s">
        <v>47</v>
      </c>
      <c r="D166" s="7" t="s">
        <v>62</v>
      </c>
      <c r="E166" s="9">
        <v>24.0</v>
      </c>
      <c r="F166" s="9">
        <v>1999.0</v>
      </c>
      <c r="G166" s="10">
        <v>30.0</v>
      </c>
      <c r="H166" s="11">
        <v>21.0</v>
      </c>
      <c r="I166" s="15">
        <v>1678.0</v>
      </c>
      <c r="J166" s="11">
        <v>18.6</v>
      </c>
      <c r="K166" s="12">
        <v>0.0</v>
      </c>
      <c r="L166" s="11">
        <v>4.0</v>
      </c>
      <c r="M166" s="11">
        <v>4.0</v>
      </c>
      <c r="N166" s="13">
        <v>0.0</v>
      </c>
      <c r="O166" s="13">
        <v>0.0</v>
      </c>
      <c r="P166" s="13">
        <v>0.0</v>
      </c>
      <c r="Q166" s="11">
        <v>4.0</v>
      </c>
      <c r="R166" s="11">
        <v>1.0</v>
      </c>
      <c r="S166" s="12">
        <v>0.0</v>
      </c>
      <c r="T166" s="11">
        <v>0.21</v>
      </c>
      <c r="U166" s="11">
        <v>0.21</v>
      </c>
      <c r="V166" s="13">
        <v>0.0</v>
      </c>
      <c r="W166" s="11">
        <v>0.21</v>
      </c>
      <c r="X166" s="14" t="s">
        <v>381</v>
      </c>
    </row>
    <row r="167">
      <c r="A167" s="7" t="s">
        <v>382</v>
      </c>
      <c r="B167" s="8" t="s">
        <v>25</v>
      </c>
      <c r="C167" s="9" t="s">
        <v>26</v>
      </c>
      <c r="D167" s="7" t="s">
        <v>58</v>
      </c>
      <c r="E167" s="9">
        <v>33.0</v>
      </c>
      <c r="F167" s="9">
        <v>1990.0</v>
      </c>
      <c r="G167" s="10">
        <v>2.0</v>
      </c>
      <c r="H167" s="13">
        <v>0.0</v>
      </c>
      <c r="I167" s="11">
        <v>18.0</v>
      </c>
      <c r="J167" s="11">
        <v>0.2</v>
      </c>
      <c r="K167" s="12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1">
        <v>1.0</v>
      </c>
      <c r="R167" s="13">
        <v>0.0</v>
      </c>
      <c r="S167" s="12">
        <v>0.0</v>
      </c>
      <c r="T167" s="13">
        <v>0.0</v>
      </c>
      <c r="U167" s="13">
        <v>0.0</v>
      </c>
      <c r="V167" s="13">
        <v>0.0</v>
      </c>
      <c r="W167" s="13">
        <v>0.0</v>
      </c>
      <c r="X167" s="14" t="s">
        <v>383</v>
      </c>
    </row>
    <row r="168">
      <c r="A168" s="7" t="s">
        <v>384</v>
      </c>
      <c r="B168" s="8" t="s">
        <v>25</v>
      </c>
      <c r="C168" s="9" t="s">
        <v>47</v>
      </c>
      <c r="D168" s="7" t="s">
        <v>27</v>
      </c>
      <c r="E168" s="9">
        <v>21.0</v>
      </c>
      <c r="F168" s="9">
        <v>2002.0</v>
      </c>
      <c r="G168" s="10">
        <v>33.0</v>
      </c>
      <c r="H168" s="11">
        <v>20.0</v>
      </c>
      <c r="I168" s="15">
        <v>1875.0</v>
      </c>
      <c r="J168" s="11">
        <v>20.8</v>
      </c>
      <c r="K168" s="12">
        <v>0.0</v>
      </c>
      <c r="L168" s="11">
        <v>1.0</v>
      </c>
      <c r="M168" s="11">
        <v>1.0</v>
      </c>
      <c r="N168" s="13">
        <v>0.0</v>
      </c>
      <c r="O168" s="13">
        <v>0.0</v>
      </c>
      <c r="P168" s="13">
        <v>0.0</v>
      </c>
      <c r="Q168" s="11">
        <v>2.0</v>
      </c>
      <c r="R168" s="13">
        <v>0.0</v>
      </c>
      <c r="S168" s="12">
        <v>0.0</v>
      </c>
      <c r="T168" s="11">
        <v>0.05</v>
      </c>
      <c r="U168" s="11">
        <v>0.05</v>
      </c>
      <c r="V168" s="13">
        <v>0.0</v>
      </c>
      <c r="W168" s="11">
        <v>0.05</v>
      </c>
      <c r="X168" s="14" t="s">
        <v>385</v>
      </c>
    </row>
    <row r="169">
      <c r="A169" s="7" t="s">
        <v>386</v>
      </c>
      <c r="B169" s="8" t="s">
        <v>70</v>
      </c>
      <c r="C169" s="9" t="s">
        <v>35</v>
      </c>
      <c r="D169" s="7" t="s">
        <v>27</v>
      </c>
      <c r="E169" s="9">
        <v>23.0</v>
      </c>
      <c r="F169" s="9">
        <v>2000.0</v>
      </c>
      <c r="G169" s="10">
        <v>8.0</v>
      </c>
      <c r="H169" s="11">
        <v>4.0</v>
      </c>
      <c r="I169" s="11">
        <v>406.0</v>
      </c>
      <c r="J169" s="11">
        <v>4.5</v>
      </c>
      <c r="K169" s="12">
        <v>0.0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12">
        <v>0.0</v>
      </c>
      <c r="T169" s="13">
        <v>0.0</v>
      </c>
      <c r="U169" s="13">
        <v>0.0</v>
      </c>
      <c r="V169" s="13">
        <v>0.0</v>
      </c>
      <c r="W169" s="13">
        <v>0.0</v>
      </c>
      <c r="X169" s="14" t="s">
        <v>387</v>
      </c>
    </row>
    <row r="170">
      <c r="A170" s="7" t="s">
        <v>388</v>
      </c>
      <c r="B170" s="8" t="s">
        <v>25</v>
      </c>
      <c r="C170" s="9" t="s">
        <v>35</v>
      </c>
      <c r="D170" s="7" t="s">
        <v>62</v>
      </c>
      <c r="E170" s="9">
        <v>25.0</v>
      </c>
      <c r="F170" s="9">
        <v>1998.0</v>
      </c>
      <c r="G170" s="10">
        <v>35.0</v>
      </c>
      <c r="H170" s="11">
        <v>35.0</v>
      </c>
      <c r="I170" s="15">
        <v>3111.0</v>
      </c>
      <c r="J170" s="11">
        <v>34.6</v>
      </c>
      <c r="K170" s="10">
        <v>1.0</v>
      </c>
      <c r="L170" s="13">
        <v>0.0</v>
      </c>
      <c r="M170" s="11">
        <v>1.0</v>
      </c>
      <c r="N170" s="11">
        <v>1.0</v>
      </c>
      <c r="O170" s="13">
        <v>0.0</v>
      </c>
      <c r="P170" s="13">
        <v>0.0</v>
      </c>
      <c r="Q170" s="11">
        <v>4.0</v>
      </c>
      <c r="R170" s="13">
        <v>0.0</v>
      </c>
      <c r="S170" s="10">
        <v>0.03</v>
      </c>
      <c r="T170" s="13">
        <v>0.0</v>
      </c>
      <c r="U170" s="11">
        <v>0.03</v>
      </c>
      <c r="V170" s="11">
        <v>0.03</v>
      </c>
      <c r="W170" s="11">
        <v>0.03</v>
      </c>
      <c r="X170" s="14" t="s">
        <v>389</v>
      </c>
    </row>
    <row r="171">
      <c r="A171" s="7" t="s">
        <v>390</v>
      </c>
      <c r="B171" s="8" t="s">
        <v>25</v>
      </c>
      <c r="C171" s="9" t="s">
        <v>55</v>
      </c>
      <c r="D171" s="7" t="s">
        <v>36</v>
      </c>
      <c r="E171" s="9">
        <v>18.0</v>
      </c>
      <c r="F171" s="9">
        <v>2005.0</v>
      </c>
      <c r="G171" s="10">
        <v>15.0</v>
      </c>
      <c r="H171" s="13">
        <v>0.0</v>
      </c>
      <c r="I171" s="11">
        <v>231.0</v>
      </c>
      <c r="J171" s="11">
        <v>2.6</v>
      </c>
      <c r="K171" s="12">
        <v>0.0</v>
      </c>
      <c r="L171" s="13">
        <v>0.0</v>
      </c>
      <c r="M171" s="13">
        <v>0.0</v>
      </c>
      <c r="N171" s="13">
        <v>0.0</v>
      </c>
      <c r="O171" s="13">
        <v>0.0</v>
      </c>
      <c r="P171" s="13">
        <v>0.0</v>
      </c>
      <c r="Q171" s="11">
        <v>1.0</v>
      </c>
      <c r="R171" s="13">
        <v>0.0</v>
      </c>
      <c r="S171" s="12">
        <v>0.0</v>
      </c>
      <c r="T171" s="13">
        <v>0.0</v>
      </c>
      <c r="U171" s="13">
        <v>0.0</v>
      </c>
      <c r="V171" s="13">
        <v>0.0</v>
      </c>
      <c r="W171" s="13">
        <v>0.0</v>
      </c>
      <c r="X171" s="14" t="s">
        <v>391</v>
      </c>
    </row>
    <row r="172">
      <c r="A172" s="7" t="s">
        <v>392</v>
      </c>
      <c r="B172" s="8" t="s">
        <v>393</v>
      </c>
      <c r="C172" s="9" t="s">
        <v>87</v>
      </c>
      <c r="D172" s="7" t="s">
        <v>80</v>
      </c>
      <c r="E172" s="9">
        <v>24.0</v>
      </c>
      <c r="F172" s="9">
        <v>2000.0</v>
      </c>
      <c r="G172" s="10">
        <v>14.0</v>
      </c>
      <c r="H172" s="11">
        <v>9.0</v>
      </c>
      <c r="I172" s="11">
        <v>836.0</v>
      </c>
      <c r="J172" s="11">
        <v>9.3</v>
      </c>
      <c r="K172" s="12">
        <v>0.0</v>
      </c>
      <c r="L172" s="13">
        <v>0.0</v>
      </c>
      <c r="M172" s="13">
        <v>0.0</v>
      </c>
      <c r="N172" s="13">
        <v>0.0</v>
      </c>
      <c r="O172" s="13">
        <v>0.0</v>
      </c>
      <c r="P172" s="13">
        <v>0.0</v>
      </c>
      <c r="Q172" s="11">
        <v>3.0</v>
      </c>
      <c r="R172" s="13">
        <v>0.0</v>
      </c>
      <c r="S172" s="12">
        <v>0.0</v>
      </c>
      <c r="T172" s="13">
        <v>0.0</v>
      </c>
      <c r="U172" s="13">
        <v>0.0</v>
      </c>
      <c r="V172" s="13">
        <v>0.0</v>
      </c>
      <c r="W172" s="13">
        <v>0.0</v>
      </c>
      <c r="X172" s="14" t="s">
        <v>394</v>
      </c>
    </row>
    <row r="173">
      <c r="A173" s="7" t="s">
        <v>395</v>
      </c>
      <c r="B173" s="8" t="s">
        <v>25</v>
      </c>
      <c r="C173" s="9" t="s">
        <v>26</v>
      </c>
      <c r="D173" s="7" t="s">
        <v>62</v>
      </c>
      <c r="E173" s="9">
        <v>17.0</v>
      </c>
      <c r="F173" s="9">
        <v>2007.0</v>
      </c>
      <c r="G173" s="10">
        <v>1.0</v>
      </c>
      <c r="H173" s="13">
        <v>0.0</v>
      </c>
      <c r="I173" s="11">
        <v>1.0</v>
      </c>
      <c r="J173" s="13">
        <v>0.0</v>
      </c>
      <c r="K173" s="12">
        <v>0.0</v>
      </c>
      <c r="L173" s="13">
        <v>0.0</v>
      </c>
      <c r="M173" s="13">
        <v>0.0</v>
      </c>
      <c r="N173" s="13">
        <v>0.0</v>
      </c>
      <c r="O173" s="13">
        <v>0.0</v>
      </c>
      <c r="P173" s="13">
        <v>0.0</v>
      </c>
      <c r="Q173" s="13">
        <v>0.0</v>
      </c>
      <c r="R173" s="13">
        <v>0.0</v>
      </c>
      <c r="S173" s="12">
        <v>0.0</v>
      </c>
      <c r="T173" s="13">
        <v>0.0</v>
      </c>
      <c r="U173" s="13">
        <v>0.0</v>
      </c>
      <c r="V173" s="13">
        <v>0.0</v>
      </c>
      <c r="W173" s="13">
        <v>0.0</v>
      </c>
      <c r="X173" s="14" t="s">
        <v>396</v>
      </c>
    </row>
    <row r="174">
      <c r="A174" s="7" t="s">
        <v>397</v>
      </c>
      <c r="B174" s="8" t="s">
        <v>25</v>
      </c>
      <c r="C174" s="9" t="s">
        <v>26</v>
      </c>
      <c r="D174" s="7" t="s">
        <v>128</v>
      </c>
      <c r="E174" s="9">
        <v>16.0</v>
      </c>
      <c r="F174" s="9">
        <v>2008.0</v>
      </c>
      <c r="G174" s="10">
        <v>5.0</v>
      </c>
      <c r="H174" s="13">
        <v>0.0</v>
      </c>
      <c r="I174" s="11">
        <v>39.0</v>
      </c>
      <c r="J174" s="11">
        <v>0.4</v>
      </c>
      <c r="K174" s="12">
        <v>0.0</v>
      </c>
      <c r="L174" s="13">
        <v>0.0</v>
      </c>
      <c r="M174" s="13">
        <v>0.0</v>
      </c>
      <c r="N174" s="13">
        <v>0.0</v>
      </c>
      <c r="O174" s="13">
        <v>0.0</v>
      </c>
      <c r="P174" s="13">
        <v>0.0</v>
      </c>
      <c r="Q174" s="11">
        <v>1.0</v>
      </c>
      <c r="R174" s="13">
        <v>0.0</v>
      </c>
      <c r="S174" s="12">
        <v>0.0</v>
      </c>
      <c r="T174" s="13">
        <v>0.0</v>
      </c>
      <c r="U174" s="13">
        <v>0.0</v>
      </c>
      <c r="V174" s="13">
        <v>0.0</v>
      </c>
      <c r="W174" s="13">
        <v>0.0</v>
      </c>
      <c r="X174" s="14" t="s">
        <v>398</v>
      </c>
    </row>
    <row r="175">
      <c r="A175" s="7" t="s">
        <v>399</v>
      </c>
      <c r="B175" s="8" t="s">
        <v>25</v>
      </c>
      <c r="C175" s="9" t="s">
        <v>35</v>
      </c>
      <c r="D175" s="7" t="s">
        <v>31</v>
      </c>
      <c r="E175" s="9">
        <v>31.0</v>
      </c>
      <c r="F175" s="9">
        <v>1992.0</v>
      </c>
      <c r="G175" s="10">
        <v>18.0</v>
      </c>
      <c r="H175" s="11">
        <v>15.0</v>
      </c>
      <c r="I175" s="15">
        <v>1360.0</v>
      </c>
      <c r="J175" s="11">
        <v>15.1</v>
      </c>
      <c r="K175" s="12">
        <v>0.0</v>
      </c>
      <c r="L175" s="13">
        <v>0.0</v>
      </c>
      <c r="M175" s="13">
        <v>0.0</v>
      </c>
      <c r="N175" s="13">
        <v>0.0</v>
      </c>
      <c r="O175" s="13">
        <v>0.0</v>
      </c>
      <c r="P175" s="13">
        <v>0.0</v>
      </c>
      <c r="Q175" s="11">
        <v>5.0</v>
      </c>
      <c r="R175" s="11">
        <v>1.0</v>
      </c>
      <c r="S175" s="12">
        <v>0.0</v>
      </c>
      <c r="T175" s="13">
        <v>0.0</v>
      </c>
      <c r="U175" s="13">
        <v>0.0</v>
      </c>
      <c r="V175" s="13">
        <v>0.0</v>
      </c>
      <c r="W175" s="13">
        <v>0.0</v>
      </c>
      <c r="X175" s="14" t="s">
        <v>400</v>
      </c>
    </row>
    <row r="176">
      <c r="A176" s="7" t="s">
        <v>401</v>
      </c>
      <c r="B176" s="8" t="s">
        <v>25</v>
      </c>
      <c r="C176" s="9" t="s">
        <v>77</v>
      </c>
      <c r="D176" s="7" t="s">
        <v>31</v>
      </c>
      <c r="E176" s="9">
        <v>31.0</v>
      </c>
      <c r="F176" s="9">
        <v>1993.0</v>
      </c>
      <c r="G176" s="10">
        <v>1.0</v>
      </c>
      <c r="H176" s="11">
        <v>1.0</v>
      </c>
      <c r="I176" s="11">
        <v>90.0</v>
      </c>
      <c r="J176" s="11">
        <v>1.0</v>
      </c>
      <c r="K176" s="12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0.0</v>
      </c>
      <c r="Q176" s="11">
        <v>1.0</v>
      </c>
      <c r="R176" s="13">
        <v>0.0</v>
      </c>
      <c r="S176" s="12">
        <v>0.0</v>
      </c>
      <c r="T176" s="13">
        <v>0.0</v>
      </c>
      <c r="U176" s="13">
        <v>0.0</v>
      </c>
      <c r="V176" s="13">
        <v>0.0</v>
      </c>
      <c r="W176" s="13">
        <v>0.0</v>
      </c>
      <c r="X176" s="14" t="s">
        <v>402</v>
      </c>
    </row>
    <row r="177">
      <c r="A177" s="7" t="s">
        <v>403</v>
      </c>
      <c r="B177" s="8" t="s">
        <v>25</v>
      </c>
      <c r="C177" s="9" t="s">
        <v>83</v>
      </c>
      <c r="D177" s="7" t="s">
        <v>44</v>
      </c>
      <c r="E177" s="9">
        <v>20.0</v>
      </c>
      <c r="F177" s="9">
        <v>2003.0</v>
      </c>
      <c r="G177" s="10">
        <v>7.0</v>
      </c>
      <c r="H177" s="11">
        <v>6.0</v>
      </c>
      <c r="I177" s="11">
        <v>528.0</v>
      </c>
      <c r="J177" s="11">
        <v>5.9</v>
      </c>
      <c r="K177" s="12">
        <v>0.0</v>
      </c>
      <c r="L177" s="13">
        <v>0.0</v>
      </c>
      <c r="M177" s="13">
        <v>0.0</v>
      </c>
      <c r="N177" s="13">
        <v>0.0</v>
      </c>
      <c r="O177" s="13">
        <v>0.0</v>
      </c>
      <c r="P177" s="13">
        <v>0.0</v>
      </c>
      <c r="Q177" s="11">
        <v>4.0</v>
      </c>
      <c r="R177" s="11">
        <v>1.0</v>
      </c>
      <c r="S177" s="12">
        <v>0.0</v>
      </c>
      <c r="T177" s="13">
        <v>0.0</v>
      </c>
      <c r="U177" s="13">
        <v>0.0</v>
      </c>
      <c r="V177" s="13">
        <v>0.0</v>
      </c>
      <c r="W177" s="13">
        <v>0.0</v>
      </c>
      <c r="X177" s="14" t="s">
        <v>404</v>
      </c>
    </row>
    <row r="178">
      <c r="A178" s="7" t="s">
        <v>405</v>
      </c>
      <c r="B178" s="8" t="s">
        <v>25</v>
      </c>
      <c r="C178" s="9" t="s">
        <v>55</v>
      </c>
      <c r="D178" s="7" t="s">
        <v>62</v>
      </c>
      <c r="E178" s="9">
        <v>21.0</v>
      </c>
      <c r="F178" s="9">
        <v>2002.0</v>
      </c>
      <c r="G178" s="10">
        <v>9.0</v>
      </c>
      <c r="H178" s="13">
        <v>0.0</v>
      </c>
      <c r="I178" s="11">
        <v>90.0</v>
      </c>
      <c r="J178" s="11">
        <v>1.0</v>
      </c>
      <c r="K178" s="12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0.0</v>
      </c>
      <c r="R178" s="13">
        <v>0.0</v>
      </c>
      <c r="S178" s="12">
        <v>0.0</v>
      </c>
      <c r="T178" s="13">
        <v>0.0</v>
      </c>
      <c r="U178" s="13">
        <v>0.0</v>
      </c>
      <c r="V178" s="13">
        <v>0.0</v>
      </c>
      <c r="W178" s="13">
        <v>0.0</v>
      </c>
      <c r="X178" s="14" t="s">
        <v>406</v>
      </c>
    </row>
    <row r="179">
      <c r="A179" s="7" t="s">
        <v>407</v>
      </c>
      <c r="B179" s="8" t="s">
        <v>250</v>
      </c>
      <c r="C179" s="9" t="s">
        <v>77</v>
      </c>
      <c r="D179" s="7" t="s">
        <v>31</v>
      </c>
      <c r="E179" s="9">
        <v>26.0</v>
      </c>
      <c r="F179" s="9">
        <v>1997.0</v>
      </c>
      <c r="G179" s="10">
        <v>35.0</v>
      </c>
      <c r="H179" s="11">
        <v>35.0</v>
      </c>
      <c r="I179" s="15">
        <v>3150.0</v>
      </c>
      <c r="J179" s="11">
        <v>35.0</v>
      </c>
      <c r="K179" s="12">
        <v>0.0</v>
      </c>
      <c r="L179" s="13">
        <v>0.0</v>
      </c>
      <c r="M179" s="13">
        <v>0.0</v>
      </c>
      <c r="N179" s="13">
        <v>0.0</v>
      </c>
      <c r="O179" s="13">
        <v>0.0</v>
      </c>
      <c r="P179" s="13">
        <v>0.0</v>
      </c>
      <c r="Q179" s="11">
        <v>4.0</v>
      </c>
      <c r="R179" s="13">
        <v>0.0</v>
      </c>
      <c r="S179" s="12">
        <v>0.0</v>
      </c>
      <c r="T179" s="13">
        <v>0.0</v>
      </c>
      <c r="U179" s="13">
        <v>0.0</v>
      </c>
      <c r="V179" s="13">
        <v>0.0</v>
      </c>
      <c r="W179" s="13">
        <v>0.0</v>
      </c>
      <c r="X179" s="14" t="s">
        <v>408</v>
      </c>
    </row>
    <row r="180">
      <c r="A180" s="7" t="s">
        <v>409</v>
      </c>
      <c r="B180" s="8" t="s">
        <v>25</v>
      </c>
      <c r="C180" s="9" t="s">
        <v>35</v>
      </c>
      <c r="D180" s="7" t="s">
        <v>58</v>
      </c>
      <c r="E180" s="9">
        <v>18.0</v>
      </c>
      <c r="F180" s="9">
        <v>2005.0</v>
      </c>
      <c r="G180" s="10">
        <v>2.0</v>
      </c>
      <c r="H180" s="11">
        <v>1.0</v>
      </c>
      <c r="I180" s="11">
        <v>60.0</v>
      </c>
      <c r="J180" s="11">
        <v>0.7</v>
      </c>
      <c r="K180" s="12">
        <v>0.0</v>
      </c>
      <c r="L180" s="13">
        <v>0.0</v>
      </c>
      <c r="M180" s="13">
        <v>0.0</v>
      </c>
      <c r="N180" s="13">
        <v>0.0</v>
      </c>
      <c r="O180" s="13">
        <v>0.0</v>
      </c>
      <c r="P180" s="13">
        <v>0.0</v>
      </c>
      <c r="Q180" s="13">
        <v>0.0</v>
      </c>
      <c r="R180" s="13">
        <v>0.0</v>
      </c>
      <c r="S180" s="12">
        <v>0.0</v>
      </c>
      <c r="T180" s="13">
        <v>0.0</v>
      </c>
      <c r="U180" s="13">
        <v>0.0</v>
      </c>
      <c r="V180" s="13">
        <v>0.0</v>
      </c>
      <c r="W180" s="13">
        <v>0.0</v>
      </c>
      <c r="X180" s="14" t="s">
        <v>410</v>
      </c>
    </row>
    <row r="181">
      <c r="A181" s="7" t="s">
        <v>411</v>
      </c>
      <c r="B181" s="8" t="s">
        <v>70</v>
      </c>
      <c r="C181" s="9" t="s">
        <v>47</v>
      </c>
      <c r="D181" s="7" t="s">
        <v>58</v>
      </c>
      <c r="E181" s="9">
        <v>24.0</v>
      </c>
      <c r="F181" s="9">
        <v>1999.0</v>
      </c>
      <c r="G181" s="10">
        <v>31.0</v>
      </c>
      <c r="H181" s="11">
        <v>22.0</v>
      </c>
      <c r="I181" s="15">
        <v>1982.0</v>
      </c>
      <c r="J181" s="11">
        <v>22.0</v>
      </c>
      <c r="K181" s="10">
        <v>2.0</v>
      </c>
      <c r="L181" s="11">
        <v>1.0</v>
      </c>
      <c r="M181" s="11">
        <v>3.0</v>
      </c>
      <c r="N181" s="11">
        <v>2.0</v>
      </c>
      <c r="O181" s="13">
        <v>0.0</v>
      </c>
      <c r="P181" s="13">
        <v>0.0</v>
      </c>
      <c r="Q181" s="11">
        <v>5.0</v>
      </c>
      <c r="R181" s="13">
        <v>0.0</v>
      </c>
      <c r="S181" s="10">
        <v>0.09</v>
      </c>
      <c r="T181" s="11">
        <v>0.05</v>
      </c>
      <c r="U181" s="11">
        <v>0.14</v>
      </c>
      <c r="V181" s="11">
        <v>0.09</v>
      </c>
      <c r="W181" s="11">
        <v>0.14</v>
      </c>
      <c r="X181" s="14" t="s">
        <v>412</v>
      </c>
    </row>
    <row r="182">
      <c r="A182" s="7" t="s">
        <v>413</v>
      </c>
      <c r="B182" s="8" t="s">
        <v>70</v>
      </c>
      <c r="C182" s="9" t="s">
        <v>35</v>
      </c>
      <c r="D182" s="7" t="s">
        <v>44</v>
      </c>
      <c r="E182" s="9">
        <v>27.0</v>
      </c>
      <c r="F182" s="9">
        <v>1996.0</v>
      </c>
      <c r="G182" s="10">
        <v>9.0</v>
      </c>
      <c r="H182" s="11">
        <v>8.0</v>
      </c>
      <c r="I182" s="11">
        <v>732.0</v>
      </c>
      <c r="J182" s="11">
        <v>8.1</v>
      </c>
      <c r="K182" s="12">
        <v>0.0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1">
        <v>1.0</v>
      </c>
      <c r="R182" s="13">
        <v>0.0</v>
      </c>
      <c r="S182" s="12">
        <v>0.0</v>
      </c>
      <c r="T182" s="13">
        <v>0.0</v>
      </c>
      <c r="U182" s="13">
        <v>0.0</v>
      </c>
      <c r="V182" s="13">
        <v>0.0</v>
      </c>
      <c r="W182" s="13">
        <v>0.0</v>
      </c>
      <c r="X182" s="14" t="s">
        <v>414</v>
      </c>
    </row>
    <row r="183">
      <c r="A183" s="7" t="s">
        <v>415</v>
      </c>
      <c r="B183" s="8" t="s">
        <v>416</v>
      </c>
      <c r="C183" s="9" t="s">
        <v>35</v>
      </c>
      <c r="D183" s="7" t="s">
        <v>80</v>
      </c>
      <c r="E183" s="9">
        <v>23.0</v>
      </c>
      <c r="F183" s="9">
        <v>2000.0</v>
      </c>
      <c r="G183" s="10">
        <v>5.0</v>
      </c>
      <c r="H183" s="11">
        <v>3.0</v>
      </c>
      <c r="I183" s="11">
        <v>353.0</v>
      </c>
      <c r="J183" s="11">
        <v>3.9</v>
      </c>
      <c r="K183" s="12">
        <v>0.0</v>
      </c>
      <c r="L183" s="13">
        <v>0.0</v>
      </c>
      <c r="M183" s="13">
        <v>0.0</v>
      </c>
      <c r="N183" s="13">
        <v>0.0</v>
      </c>
      <c r="O183" s="13">
        <v>0.0</v>
      </c>
      <c r="P183" s="13">
        <v>0.0</v>
      </c>
      <c r="Q183" s="11">
        <v>2.0</v>
      </c>
      <c r="R183" s="13">
        <v>0.0</v>
      </c>
      <c r="S183" s="12">
        <v>0.0</v>
      </c>
      <c r="T183" s="13">
        <v>0.0</v>
      </c>
      <c r="U183" s="13">
        <v>0.0</v>
      </c>
      <c r="V183" s="13">
        <v>0.0</v>
      </c>
      <c r="W183" s="13">
        <v>0.0</v>
      </c>
      <c r="X183" s="14" t="s">
        <v>417</v>
      </c>
    </row>
    <row r="184">
      <c r="A184" s="7" t="s">
        <v>418</v>
      </c>
      <c r="B184" s="8" t="s">
        <v>34</v>
      </c>
      <c r="C184" s="9" t="s">
        <v>77</v>
      </c>
      <c r="D184" s="7" t="s">
        <v>98</v>
      </c>
      <c r="E184" s="9">
        <v>25.0</v>
      </c>
      <c r="F184" s="9">
        <v>1998.0</v>
      </c>
      <c r="G184" s="10">
        <v>6.0</v>
      </c>
      <c r="H184" s="11">
        <v>6.0</v>
      </c>
      <c r="I184" s="11">
        <v>540.0</v>
      </c>
      <c r="J184" s="11">
        <v>6.0</v>
      </c>
      <c r="K184" s="12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12">
        <v>0.0</v>
      </c>
      <c r="T184" s="13">
        <v>0.0</v>
      </c>
      <c r="U184" s="13">
        <v>0.0</v>
      </c>
      <c r="V184" s="13">
        <v>0.0</v>
      </c>
      <c r="W184" s="13">
        <v>0.0</v>
      </c>
      <c r="X184" s="14" t="s">
        <v>419</v>
      </c>
    </row>
    <row r="185">
      <c r="A185" s="7" t="s">
        <v>420</v>
      </c>
      <c r="B185" s="8" t="s">
        <v>43</v>
      </c>
      <c r="C185" s="9" t="s">
        <v>77</v>
      </c>
      <c r="D185" s="7" t="s">
        <v>36</v>
      </c>
      <c r="E185" s="9">
        <v>27.0</v>
      </c>
      <c r="F185" s="9">
        <v>1996.0</v>
      </c>
      <c r="G185" s="10">
        <v>12.0</v>
      </c>
      <c r="H185" s="11">
        <v>12.0</v>
      </c>
      <c r="I185" s="15">
        <v>1035.0</v>
      </c>
      <c r="J185" s="11">
        <v>11.5</v>
      </c>
      <c r="K185" s="12">
        <v>0.0</v>
      </c>
      <c r="L185" s="13">
        <v>0.0</v>
      </c>
      <c r="M185" s="13">
        <v>0.0</v>
      </c>
      <c r="N185" s="13">
        <v>0.0</v>
      </c>
      <c r="O185" s="13">
        <v>0.0</v>
      </c>
      <c r="P185" s="13">
        <v>0.0</v>
      </c>
      <c r="Q185" s="11">
        <v>3.0</v>
      </c>
      <c r="R185" s="13">
        <v>0.0</v>
      </c>
      <c r="S185" s="12">
        <v>0.0</v>
      </c>
      <c r="T185" s="13">
        <v>0.0</v>
      </c>
      <c r="U185" s="13">
        <v>0.0</v>
      </c>
      <c r="V185" s="13">
        <v>0.0</v>
      </c>
      <c r="W185" s="13">
        <v>0.0</v>
      </c>
      <c r="X185" s="14" t="s">
        <v>421</v>
      </c>
    </row>
    <row r="186">
      <c r="A186" s="7" t="s">
        <v>422</v>
      </c>
      <c r="B186" s="8" t="s">
        <v>25</v>
      </c>
      <c r="C186" s="9" t="s">
        <v>83</v>
      </c>
      <c r="D186" s="7" t="s">
        <v>36</v>
      </c>
      <c r="E186" s="9">
        <v>24.0</v>
      </c>
      <c r="F186" s="9">
        <v>1999.0</v>
      </c>
      <c r="G186" s="10">
        <v>30.0</v>
      </c>
      <c r="H186" s="11">
        <v>28.0</v>
      </c>
      <c r="I186" s="15">
        <v>2351.0</v>
      </c>
      <c r="J186" s="11">
        <v>26.1</v>
      </c>
      <c r="K186" s="12">
        <v>0.0</v>
      </c>
      <c r="L186" s="11">
        <v>1.0</v>
      </c>
      <c r="M186" s="11">
        <v>1.0</v>
      </c>
      <c r="N186" s="13">
        <v>0.0</v>
      </c>
      <c r="O186" s="13">
        <v>0.0</v>
      </c>
      <c r="P186" s="13">
        <v>0.0</v>
      </c>
      <c r="Q186" s="11">
        <v>7.0</v>
      </c>
      <c r="R186" s="11">
        <v>2.0</v>
      </c>
      <c r="S186" s="12">
        <v>0.0</v>
      </c>
      <c r="T186" s="11">
        <v>0.04</v>
      </c>
      <c r="U186" s="11">
        <v>0.04</v>
      </c>
      <c r="V186" s="13">
        <v>0.0</v>
      </c>
      <c r="W186" s="11">
        <v>0.04</v>
      </c>
      <c r="X186" s="14" t="s">
        <v>423</v>
      </c>
    </row>
    <row r="187">
      <c r="A187" s="7" t="s">
        <v>424</v>
      </c>
      <c r="B187" s="8" t="s">
        <v>34</v>
      </c>
      <c r="C187" s="9" t="s">
        <v>35</v>
      </c>
      <c r="D187" s="7" t="s">
        <v>44</v>
      </c>
      <c r="E187" s="9">
        <v>20.0</v>
      </c>
      <c r="F187" s="9">
        <v>2003.0</v>
      </c>
      <c r="G187" s="10">
        <v>10.0</v>
      </c>
      <c r="H187" s="11">
        <v>8.0</v>
      </c>
      <c r="I187" s="11">
        <v>727.0</v>
      </c>
      <c r="J187" s="11">
        <v>8.1</v>
      </c>
      <c r="K187" s="12">
        <v>0.0</v>
      </c>
      <c r="L187" s="11">
        <v>1.0</v>
      </c>
      <c r="M187" s="11">
        <v>1.0</v>
      </c>
      <c r="N187" s="13">
        <v>0.0</v>
      </c>
      <c r="O187" s="13">
        <v>0.0</v>
      </c>
      <c r="P187" s="13">
        <v>0.0</v>
      </c>
      <c r="Q187" s="13">
        <v>0.0</v>
      </c>
      <c r="R187" s="13">
        <v>0.0</v>
      </c>
      <c r="S187" s="12">
        <v>0.0</v>
      </c>
      <c r="T187" s="11">
        <v>0.12</v>
      </c>
      <c r="U187" s="11">
        <v>0.12</v>
      </c>
      <c r="V187" s="13">
        <v>0.0</v>
      </c>
      <c r="W187" s="11">
        <v>0.12</v>
      </c>
      <c r="X187" s="14" t="s">
        <v>425</v>
      </c>
    </row>
    <row r="188">
      <c r="A188" s="7" t="s">
        <v>426</v>
      </c>
      <c r="B188" s="8" t="s">
        <v>25</v>
      </c>
      <c r="C188" s="9" t="s">
        <v>35</v>
      </c>
      <c r="D188" s="7" t="s">
        <v>80</v>
      </c>
      <c r="E188" s="9">
        <v>16.0</v>
      </c>
      <c r="F188" s="9">
        <v>2007.0</v>
      </c>
      <c r="G188" s="10">
        <v>2.0</v>
      </c>
      <c r="H188" s="13">
        <v>0.0</v>
      </c>
      <c r="I188" s="11">
        <v>31.0</v>
      </c>
      <c r="J188" s="11">
        <v>0.3</v>
      </c>
      <c r="K188" s="12">
        <v>0.0</v>
      </c>
      <c r="L188" s="13">
        <v>0.0</v>
      </c>
      <c r="M188" s="13">
        <v>0.0</v>
      </c>
      <c r="N188" s="13">
        <v>0.0</v>
      </c>
      <c r="O188" s="13">
        <v>0.0</v>
      </c>
      <c r="P188" s="13">
        <v>0.0</v>
      </c>
      <c r="Q188" s="13">
        <v>0.0</v>
      </c>
      <c r="R188" s="13">
        <v>0.0</v>
      </c>
      <c r="S188" s="12">
        <v>0.0</v>
      </c>
      <c r="T188" s="13">
        <v>0.0</v>
      </c>
      <c r="U188" s="13">
        <v>0.0</v>
      </c>
      <c r="V188" s="13">
        <v>0.0</v>
      </c>
      <c r="W188" s="13">
        <v>0.0</v>
      </c>
      <c r="X188" s="14" t="s">
        <v>427</v>
      </c>
    </row>
    <row r="189">
      <c r="A189" s="7" t="s">
        <v>428</v>
      </c>
      <c r="B189" s="8" t="s">
        <v>25</v>
      </c>
      <c r="C189" s="9" t="s">
        <v>30</v>
      </c>
      <c r="D189" s="7" t="s">
        <v>128</v>
      </c>
      <c r="E189" s="9">
        <v>19.0</v>
      </c>
      <c r="F189" s="9">
        <v>2004.0</v>
      </c>
      <c r="G189" s="10">
        <v>11.0</v>
      </c>
      <c r="H189" s="11">
        <v>4.0</v>
      </c>
      <c r="I189" s="11">
        <v>464.0</v>
      </c>
      <c r="J189" s="11">
        <v>5.2</v>
      </c>
      <c r="K189" s="10">
        <v>2.0</v>
      </c>
      <c r="L189" s="13">
        <v>0.0</v>
      </c>
      <c r="M189" s="11">
        <v>2.0</v>
      </c>
      <c r="N189" s="11">
        <v>2.0</v>
      </c>
      <c r="O189" s="13">
        <v>0.0</v>
      </c>
      <c r="P189" s="13">
        <v>0.0</v>
      </c>
      <c r="Q189" s="11">
        <v>3.0</v>
      </c>
      <c r="R189" s="11">
        <v>1.0</v>
      </c>
      <c r="S189" s="10">
        <v>0.39</v>
      </c>
      <c r="T189" s="13">
        <v>0.0</v>
      </c>
      <c r="U189" s="11">
        <v>0.39</v>
      </c>
      <c r="V189" s="11">
        <v>0.39</v>
      </c>
      <c r="W189" s="11">
        <v>0.39</v>
      </c>
      <c r="X189" s="14" t="s">
        <v>429</v>
      </c>
    </row>
    <row r="190">
      <c r="A190" s="7" t="s">
        <v>430</v>
      </c>
      <c r="B190" s="8" t="s">
        <v>25</v>
      </c>
      <c r="C190" s="9" t="s">
        <v>35</v>
      </c>
      <c r="D190" s="7" t="s">
        <v>27</v>
      </c>
      <c r="E190" s="9">
        <v>21.0</v>
      </c>
      <c r="F190" s="9">
        <v>2002.0</v>
      </c>
      <c r="G190" s="10">
        <v>28.0</v>
      </c>
      <c r="H190" s="11">
        <v>25.0</v>
      </c>
      <c r="I190" s="15">
        <v>2205.0</v>
      </c>
      <c r="J190" s="11">
        <v>24.5</v>
      </c>
      <c r="K190" s="10">
        <v>3.0</v>
      </c>
      <c r="L190" s="13">
        <v>0.0</v>
      </c>
      <c r="M190" s="11">
        <v>3.0</v>
      </c>
      <c r="N190" s="11">
        <v>3.0</v>
      </c>
      <c r="O190" s="13">
        <v>0.0</v>
      </c>
      <c r="P190" s="13">
        <v>0.0</v>
      </c>
      <c r="Q190" s="11">
        <v>4.0</v>
      </c>
      <c r="R190" s="13">
        <v>0.0</v>
      </c>
      <c r="S190" s="10">
        <v>0.12</v>
      </c>
      <c r="T190" s="13">
        <v>0.0</v>
      </c>
      <c r="U190" s="11">
        <v>0.12</v>
      </c>
      <c r="V190" s="11">
        <v>0.12</v>
      </c>
      <c r="W190" s="11">
        <v>0.12</v>
      </c>
      <c r="X190" s="14" t="s">
        <v>431</v>
      </c>
    </row>
    <row r="191">
      <c r="A191" s="7" t="s">
        <v>432</v>
      </c>
      <c r="B191" s="8" t="s">
        <v>34</v>
      </c>
      <c r="C191" s="9" t="s">
        <v>26</v>
      </c>
      <c r="D191" s="7" t="s">
        <v>98</v>
      </c>
      <c r="E191" s="9">
        <v>21.0</v>
      </c>
      <c r="F191" s="9">
        <v>2002.0</v>
      </c>
      <c r="G191" s="10">
        <v>17.0</v>
      </c>
      <c r="H191" s="11">
        <v>14.0</v>
      </c>
      <c r="I191" s="15">
        <v>1114.0</v>
      </c>
      <c r="J191" s="11">
        <v>12.4</v>
      </c>
      <c r="K191" s="10">
        <v>6.0</v>
      </c>
      <c r="L191" s="11">
        <v>1.0</v>
      </c>
      <c r="M191" s="11">
        <v>7.0</v>
      </c>
      <c r="N191" s="11">
        <v>6.0</v>
      </c>
      <c r="O191" s="13">
        <v>0.0</v>
      </c>
      <c r="P191" s="13">
        <v>0.0</v>
      </c>
      <c r="Q191" s="11">
        <v>3.0</v>
      </c>
      <c r="R191" s="13">
        <v>0.0</v>
      </c>
      <c r="S191" s="10">
        <v>0.48</v>
      </c>
      <c r="T191" s="11">
        <v>0.08</v>
      </c>
      <c r="U191" s="11">
        <v>0.57</v>
      </c>
      <c r="V191" s="11">
        <v>0.48</v>
      </c>
      <c r="W191" s="11">
        <v>0.57</v>
      </c>
      <c r="X191" s="14" t="s">
        <v>433</v>
      </c>
    </row>
    <row r="192">
      <c r="A192" s="7" t="s">
        <v>434</v>
      </c>
      <c r="B192" s="8" t="s">
        <v>70</v>
      </c>
      <c r="C192" s="9" t="s">
        <v>30</v>
      </c>
      <c r="D192" s="7" t="s">
        <v>31</v>
      </c>
      <c r="E192" s="9">
        <v>31.0</v>
      </c>
      <c r="F192" s="9">
        <v>1992.0</v>
      </c>
      <c r="G192" s="10">
        <v>10.0</v>
      </c>
      <c r="H192" s="11">
        <v>5.0</v>
      </c>
      <c r="I192" s="11">
        <v>427.0</v>
      </c>
      <c r="J192" s="11">
        <v>4.7</v>
      </c>
      <c r="K192" s="10">
        <v>1.0</v>
      </c>
      <c r="L192" s="13">
        <v>0.0</v>
      </c>
      <c r="M192" s="11">
        <v>1.0</v>
      </c>
      <c r="N192" s="11">
        <v>1.0</v>
      </c>
      <c r="O192" s="13">
        <v>0.0</v>
      </c>
      <c r="P192" s="13">
        <v>0.0</v>
      </c>
      <c r="Q192" s="11">
        <v>1.0</v>
      </c>
      <c r="R192" s="13">
        <v>0.0</v>
      </c>
      <c r="S192" s="10">
        <v>0.21</v>
      </c>
      <c r="T192" s="13">
        <v>0.0</v>
      </c>
      <c r="U192" s="11">
        <v>0.21</v>
      </c>
      <c r="V192" s="11">
        <v>0.21</v>
      </c>
      <c r="W192" s="11">
        <v>0.21</v>
      </c>
      <c r="X192" s="14" t="s">
        <v>435</v>
      </c>
    </row>
    <row r="193">
      <c r="A193" s="7" t="s">
        <v>436</v>
      </c>
      <c r="B193" s="8" t="s">
        <v>437</v>
      </c>
      <c r="C193" s="9" t="s">
        <v>77</v>
      </c>
      <c r="D193" s="7" t="s">
        <v>27</v>
      </c>
      <c r="E193" s="9">
        <v>21.0</v>
      </c>
      <c r="F193" s="9">
        <v>2002.0</v>
      </c>
      <c r="G193" s="10">
        <v>4.0</v>
      </c>
      <c r="H193" s="11">
        <v>4.0</v>
      </c>
      <c r="I193" s="11">
        <v>360.0</v>
      </c>
      <c r="J193" s="11">
        <v>4.0</v>
      </c>
      <c r="K193" s="12">
        <v>0.0</v>
      </c>
      <c r="L193" s="13">
        <v>0.0</v>
      </c>
      <c r="M193" s="13">
        <v>0.0</v>
      </c>
      <c r="N193" s="13">
        <v>0.0</v>
      </c>
      <c r="O193" s="13">
        <v>0.0</v>
      </c>
      <c r="P193" s="13">
        <v>0.0</v>
      </c>
      <c r="Q193" s="11">
        <v>2.0</v>
      </c>
      <c r="R193" s="13">
        <v>0.0</v>
      </c>
      <c r="S193" s="12">
        <v>0.0</v>
      </c>
      <c r="T193" s="13">
        <v>0.0</v>
      </c>
      <c r="U193" s="13">
        <v>0.0</v>
      </c>
      <c r="V193" s="13">
        <v>0.0</v>
      </c>
      <c r="W193" s="13">
        <v>0.0</v>
      </c>
      <c r="X193" s="14" t="s">
        <v>438</v>
      </c>
    </row>
    <row r="194">
      <c r="A194" s="7" t="s">
        <v>439</v>
      </c>
      <c r="B194" s="8" t="s">
        <v>25</v>
      </c>
      <c r="C194" s="9" t="s">
        <v>35</v>
      </c>
      <c r="D194" s="7" t="s">
        <v>52</v>
      </c>
      <c r="E194" s="9">
        <v>32.0</v>
      </c>
      <c r="F194" s="9">
        <v>1991.0</v>
      </c>
      <c r="G194" s="10">
        <v>32.0</v>
      </c>
      <c r="H194" s="11">
        <v>32.0</v>
      </c>
      <c r="I194" s="15">
        <v>2766.0</v>
      </c>
      <c r="J194" s="11">
        <v>30.7</v>
      </c>
      <c r="K194" s="10">
        <v>1.0</v>
      </c>
      <c r="L194" s="11">
        <v>2.0</v>
      </c>
      <c r="M194" s="11">
        <v>3.0</v>
      </c>
      <c r="N194" s="11">
        <v>1.0</v>
      </c>
      <c r="O194" s="13">
        <v>0.0</v>
      </c>
      <c r="P194" s="13">
        <v>0.0</v>
      </c>
      <c r="Q194" s="11">
        <v>10.0</v>
      </c>
      <c r="R194" s="13">
        <v>0.0</v>
      </c>
      <c r="S194" s="10">
        <v>0.03</v>
      </c>
      <c r="T194" s="11">
        <v>0.07</v>
      </c>
      <c r="U194" s="11">
        <v>0.1</v>
      </c>
      <c r="V194" s="11">
        <v>0.03</v>
      </c>
      <c r="W194" s="11">
        <v>0.1</v>
      </c>
      <c r="X194" s="14" t="s">
        <v>440</v>
      </c>
    </row>
    <row r="195">
      <c r="A195" s="7" t="s">
        <v>441</v>
      </c>
      <c r="B195" s="8" t="s">
        <v>25</v>
      </c>
      <c r="C195" s="9" t="s">
        <v>26</v>
      </c>
      <c r="D195" s="7" t="s">
        <v>58</v>
      </c>
      <c r="E195" s="9">
        <v>26.0</v>
      </c>
      <c r="F195" s="9">
        <v>1997.0</v>
      </c>
      <c r="G195" s="10">
        <v>31.0</v>
      </c>
      <c r="H195" s="11">
        <v>31.0</v>
      </c>
      <c r="I195" s="15">
        <v>2510.0</v>
      </c>
      <c r="J195" s="11">
        <v>27.9</v>
      </c>
      <c r="K195" s="10">
        <v>2.0</v>
      </c>
      <c r="L195" s="11">
        <v>1.0</v>
      </c>
      <c r="M195" s="11">
        <v>3.0</v>
      </c>
      <c r="N195" s="11">
        <v>2.0</v>
      </c>
      <c r="O195" s="13">
        <v>0.0</v>
      </c>
      <c r="P195" s="13">
        <v>0.0</v>
      </c>
      <c r="Q195" s="11">
        <v>15.0</v>
      </c>
      <c r="R195" s="13">
        <v>0.0</v>
      </c>
      <c r="S195" s="10">
        <v>0.07</v>
      </c>
      <c r="T195" s="11">
        <v>0.04</v>
      </c>
      <c r="U195" s="11">
        <v>0.11</v>
      </c>
      <c r="V195" s="11">
        <v>0.07</v>
      </c>
      <c r="W195" s="11">
        <v>0.11</v>
      </c>
      <c r="X195" s="14" t="s">
        <v>442</v>
      </c>
    </row>
    <row r="196">
      <c r="A196" s="7" t="s">
        <v>443</v>
      </c>
      <c r="B196" s="8"/>
      <c r="C196" s="9" t="s">
        <v>55</v>
      </c>
      <c r="D196" s="7" t="s">
        <v>58</v>
      </c>
      <c r="E196" s="16"/>
      <c r="F196" s="16"/>
      <c r="G196" s="10">
        <v>1.0</v>
      </c>
      <c r="H196" s="13">
        <v>0.0</v>
      </c>
      <c r="I196" s="11">
        <v>4.0</v>
      </c>
      <c r="J196" s="13">
        <v>0.0</v>
      </c>
      <c r="K196" s="12">
        <v>0.0</v>
      </c>
      <c r="L196" s="13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2">
        <v>0.0</v>
      </c>
      <c r="T196" s="13">
        <v>0.0</v>
      </c>
      <c r="U196" s="13">
        <v>0.0</v>
      </c>
      <c r="V196" s="13">
        <v>0.0</v>
      </c>
      <c r="W196" s="13">
        <v>0.0</v>
      </c>
      <c r="X196" s="14" t="s">
        <v>444</v>
      </c>
    </row>
    <row r="197">
      <c r="A197" s="7" t="s">
        <v>445</v>
      </c>
      <c r="B197" s="8" t="s">
        <v>446</v>
      </c>
      <c r="C197" s="9" t="s">
        <v>26</v>
      </c>
      <c r="D197" s="7" t="s">
        <v>31</v>
      </c>
      <c r="E197" s="9">
        <v>24.0</v>
      </c>
      <c r="F197" s="9">
        <v>1999.0</v>
      </c>
      <c r="G197" s="10">
        <v>25.0</v>
      </c>
      <c r="H197" s="11">
        <v>16.0</v>
      </c>
      <c r="I197" s="15">
        <v>1604.0</v>
      </c>
      <c r="J197" s="11">
        <v>17.8</v>
      </c>
      <c r="K197" s="10">
        <v>1.0</v>
      </c>
      <c r="L197" s="11">
        <v>2.0</v>
      </c>
      <c r="M197" s="11">
        <v>3.0</v>
      </c>
      <c r="N197" s="11">
        <v>1.0</v>
      </c>
      <c r="O197" s="13">
        <v>0.0</v>
      </c>
      <c r="P197" s="13">
        <v>0.0</v>
      </c>
      <c r="Q197" s="11">
        <v>6.0</v>
      </c>
      <c r="R197" s="13">
        <v>0.0</v>
      </c>
      <c r="S197" s="10">
        <v>0.06</v>
      </c>
      <c r="T197" s="11">
        <v>0.11</v>
      </c>
      <c r="U197" s="11">
        <v>0.17</v>
      </c>
      <c r="V197" s="11">
        <v>0.06</v>
      </c>
      <c r="W197" s="11">
        <v>0.17</v>
      </c>
      <c r="X197" s="14" t="s">
        <v>447</v>
      </c>
    </row>
    <row r="198">
      <c r="A198" s="7" t="s">
        <v>448</v>
      </c>
      <c r="B198" s="8" t="s">
        <v>449</v>
      </c>
      <c r="C198" s="9" t="s">
        <v>26</v>
      </c>
      <c r="D198" s="7" t="s">
        <v>44</v>
      </c>
      <c r="E198" s="9">
        <v>17.0</v>
      </c>
      <c r="F198" s="9">
        <v>2006.0</v>
      </c>
      <c r="G198" s="10">
        <v>1.0</v>
      </c>
      <c r="H198" s="13">
        <v>0.0</v>
      </c>
      <c r="I198" s="11">
        <v>11.0</v>
      </c>
      <c r="J198" s="11">
        <v>0.1</v>
      </c>
      <c r="K198" s="12">
        <v>0.0</v>
      </c>
      <c r="L198" s="13">
        <v>0.0</v>
      </c>
      <c r="M198" s="13">
        <v>0.0</v>
      </c>
      <c r="N198" s="13">
        <v>0.0</v>
      </c>
      <c r="O198" s="13">
        <v>0.0</v>
      </c>
      <c r="P198" s="13">
        <v>0.0</v>
      </c>
      <c r="Q198" s="13">
        <v>0.0</v>
      </c>
      <c r="R198" s="13">
        <v>0.0</v>
      </c>
      <c r="S198" s="12">
        <v>0.0</v>
      </c>
      <c r="T198" s="13">
        <v>0.0</v>
      </c>
      <c r="U198" s="13">
        <v>0.0</v>
      </c>
      <c r="V198" s="13">
        <v>0.0</v>
      </c>
      <c r="W198" s="13">
        <v>0.0</v>
      </c>
      <c r="X198" s="14" t="s">
        <v>450</v>
      </c>
    </row>
    <row r="199">
      <c r="A199" s="7" t="s">
        <v>451</v>
      </c>
      <c r="B199" s="8" t="s">
        <v>446</v>
      </c>
      <c r="C199" s="9" t="s">
        <v>87</v>
      </c>
      <c r="D199" s="7" t="s">
        <v>44</v>
      </c>
      <c r="E199" s="9">
        <v>26.0</v>
      </c>
      <c r="F199" s="9">
        <v>1997.0</v>
      </c>
      <c r="G199" s="10">
        <v>20.0</v>
      </c>
      <c r="H199" s="11">
        <v>14.0</v>
      </c>
      <c r="I199" s="15">
        <v>1203.0</v>
      </c>
      <c r="J199" s="11">
        <v>13.4</v>
      </c>
      <c r="K199" s="12">
        <v>0.0</v>
      </c>
      <c r="L199" s="13">
        <v>0.0</v>
      </c>
      <c r="M199" s="13">
        <v>0.0</v>
      </c>
      <c r="N199" s="13">
        <v>0.0</v>
      </c>
      <c r="O199" s="13">
        <v>0.0</v>
      </c>
      <c r="P199" s="13">
        <v>0.0</v>
      </c>
      <c r="Q199" s="11">
        <v>4.0</v>
      </c>
      <c r="R199" s="13">
        <v>0.0</v>
      </c>
      <c r="S199" s="12">
        <v>0.0</v>
      </c>
      <c r="T199" s="13">
        <v>0.0</v>
      </c>
      <c r="U199" s="13">
        <v>0.0</v>
      </c>
      <c r="V199" s="13">
        <v>0.0</v>
      </c>
      <c r="W199" s="13">
        <v>0.0</v>
      </c>
      <c r="X199" s="14" t="s">
        <v>452</v>
      </c>
    </row>
    <row r="200">
      <c r="A200" s="7" t="s">
        <v>453</v>
      </c>
      <c r="B200" s="8" t="s">
        <v>25</v>
      </c>
      <c r="C200" s="9" t="s">
        <v>30</v>
      </c>
      <c r="D200" s="7" t="s">
        <v>27</v>
      </c>
      <c r="E200" s="9">
        <v>16.0</v>
      </c>
      <c r="F200" s="9">
        <v>2007.0</v>
      </c>
      <c r="G200" s="10">
        <v>31.0</v>
      </c>
      <c r="H200" s="11">
        <v>14.0</v>
      </c>
      <c r="I200" s="15">
        <v>1471.0</v>
      </c>
      <c r="J200" s="11">
        <v>16.3</v>
      </c>
      <c r="K200" s="10">
        <v>6.0</v>
      </c>
      <c r="L200" s="11">
        <v>1.0</v>
      </c>
      <c r="M200" s="11">
        <v>7.0</v>
      </c>
      <c r="N200" s="11">
        <v>6.0</v>
      </c>
      <c r="O200" s="13">
        <v>0.0</v>
      </c>
      <c r="P200" s="13">
        <v>0.0</v>
      </c>
      <c r="Q200" s="11">
        <v>3.0</v>
      </c>
      <c r="R200" s="13">
        <v>0.0</v>
      </c>
      <c r="S200" s="10">
        <v>0.37</v>
      </c>
      <c r="T200" s="11">
        <v>0.06</v>
      </c>
      <c r="U200" s="11">
        <v>0.43</v>
      </c>
      <c r="V200" s="11">
        <v>0.37</v>
      </c>
      <c r="W200" s="11">
        <v>0.43</v>
      </c>
      <c r="X200" s="14" t="s">
        <v>454</v>
      </c>
    </row>
    <row r="201">
      <c r="A201" s="7" t="s">
        <v>455</v>
      </c>
      <c r="B201" s="8" t="s">
        <v>25</v>
      </c>
      <c r="C201" s="9" t="s">
        <v>26</v>
      </c>
      <c r="D201" s="7" t="s">
        <v>31</v>
      </c>
      <c r="E201" s="9">
        <v>16.0</v>
      </c>
      <c r="F201" s="9">
        <v>2007.0</v>
      </c>
      <c r="G201" s="10">
        <v>1.0</v>
      </c>
      <c r="H201" s="13">
        <v>0.0</v>
      </c>
      <c r="I201" s="11">
        <v>12.0</v>
      </c>
      <c r="J201" s="11">
        <v>0.1</v>
      </c>
      <c r="K201" s="12">
        <v>0.0</v>
      </c>
      <c r="L201" s="13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0.0</v>
      </c>
      <c r="R201" s="13">
        <v>0.0</v>
      </c>
      <c r="S201" s="12">
        <v>0.0</v>
      </c>
      <c r="T201" s="13">
        <v>0.0</v>
      </c>
      <c r="U201" s="13">
        <v>0.0</v>
      </c>
      <c r="V201" s="13">
        <v>0.0</v>
      </c>
      <c r="W201" s="13">
        <v>0.0</v>
      </c>
      <c r="X201" s="14" t="s">
        <v>456</v>
      </c>
    </row>
    <row r="202">
      <c r="A202" s="7" t="s">
        <v>457</v>
      </c>
      <c r="B202" s="8" t="s">
        <v>25</v>
      </c>
      <c r="C202" s="9" t="s">
        <v>26</v>
      </c>
      <c r="D202" s="7" t="s">
        <v>36</v>
      </c>
      <c r="E202" s="9">
        <v>20.0</v>
      </c>
      <c r="F202" s="9">
        <v>2004.0</v>
      </c>
      <c r="G202" s="10">
        <v>9.0</v>
      </c>
      <c r="H202" s="11">
        <v>4.0</v>
      </c>
      <c r="I202" s="11">
        <v>440.0</v>
      </c>
      <c r="J202" s="11">
        <v>4.9</v>
      </c>
      <c r="K202" s="12">
        <v>0.0</v>
      </c>
      <c r="L202" s="13">
        <v>0.0</v>
      </c>
      <c r="M202" s="13">
        <v>0.0</v>
      </c>
      <c r="N202" s="13">
        <v>0.0</v>
      </c>
      <c r="O202" s="13">
        <v>0.0</v>
      </c>
      <c r="P202" s="13">
        <v>0.0</v>
      </c>
      <c r="Q202" s="11">
        <v>2.0</v>
      </c>
      <c r="R202" s="13">
        <v>0.0</v>
      </c>
      <c r="S202" s="12">
        <v>0.0</v>
      </c>
      <c r="T202" s="13">
        <v>0.0</v>
      </c>
      <c r="U202" s="13">
        <v>0.0</v>
      </c>
      <c r="V202" s="13">
        <v>0.0</v>
      </c>
      <c r="W202" s="13">
        <v>0.0</v>
      </c>
      <c r="X202" s="14" t="s">
        <v>458</v>
      </c>
    </row>
    <row r="203">
      <c r="A203" s="7" t="s">
        <v>459</v>
      </c>
      <c r="B203" s="8" t="s">
        <v>70</v>
      </c>
      <c r="C203" s="9" t="s">
        <v>30</v>
      </c>
      <c r="D203" s="7" t="s">
        <v>58</v>
      </c>
      <c r="E203" s="9">
        <v>26.0</v>
      </c>
      <c r="F203" s="9">
        <v>1997.0</v>
      </c>
      <c r="G203" s="10">
        <v>30.0</v>
      </c>
      <c r="H203" s="11">
        <v>18.0</v>
      </c>
      <c r="I203" s="15">
        <v>1510.0</v>
      </c>
      <c r="J203" s="11">
        <v>16.8</v>
      </c>
      <c r="K203" s="10">
        <v>2.0</v>
      </c>
      <c r="L203" s="11">
        <v>2.0</v>
      </c>
      <c r="M203" s="11">
        <v>4.0</v>
      </c>
      <c r="N203" s="11">
        <v>2.0</v>
      </c>
      <c r="O203" s="13">
        <v>0.0</v>
      </c>
      <c r="P203" s="13">
        <v>0.0</v>
      </c>
      <c r="Q203" s="11">
        <v>5.0</v>
      </c>
      <c r="R203" s="11">
        <v>1.0</v>
      </c>
      <c r="S203" s="10">
        <v>0.12</v>
      </c>
      <c r="T203" s="11">
        <v>0.12</v>
      </c>
      <c r="U203" s="11">
        <v>0.24</v>
      </c>
      <c r="V203" s="11">
        <v>0.12</v>
      </c>
      <c r="W203" s="11">
        <v>0.24</v>
      </c>
      <c r="X203" s="14" t="s">
        <v>460</v>
      </c>
    </row>
    <row r="204">
      <c r="A204" s="7" t="s">
        <v>461</v>
      </c>
      <c r="B204" s="8" t="s">
        <v>25</v>
      </c>
      <c r="C204" s="9" t="s">
        <v>87</v>
      </c>
      <c r="D204" s="7" t="s">
        <v>62</v>
      </c>
      <c r="E204" s="9">
        <v>25.0</v>
      </c>
      <c r="F204" s="9">
        <v>1998.0</v>
      </c>
      <c r="G204" s="10">
        <v>17.0</v>
      </c>
      <c r="H204" s="11">
        <v>9.0</v>
      </c>
      <c r="I204" s="11">
        <v>872.0</v>
      </c>
      <c r="J204" s="11">
        <v>9.7</v>
      </c>
      <c r="K204" s="10">
        <v>3.0</v>
      </c>
      <c r="L204" s="11">
        <v>1.0</v>
      </c>
      <c r="M204" s="11">
        <v>4.0</v>
      </c>
      <c r="N204" s="11">
        <v>3.0</v>
      </c>
      <c r="O204" s="13">
        <v>0.0</v>
      </c>
      <c r="P204" s="13">
        <v>0.0</v>
      </c>
      <c r="Q204" s="11">
        <v>2.0</v>
      </c>
      <c r="R204" s="13">
        <v>0.0</v>
      </c>
      <c r="S204" s="10">
        <v>0.31</v>
      </c>
      <c r="T204" s="11">
        <v>0.1</v>
      </c>
      <c r="U204" s="11">
        <v>0.41</v>
      </c>
      <c r="V204" s="11">
        <v>0.31</v>
      </c>
      <c r="W204" s="11">
        <v>0.41</v>
      </c>
      <c r="X204" s="14" t="s">
        <v>462</v>
      </c>
    </row>
    <row r="205">
      <c r="A205" s="7" t="s">
        <v>463</v>
      </c>
      <c r="B205" s="8"/>
      <c r="C205" s="9" t="s">
        <v>55</v>
      </c>
      <c r="D205" s="7" t="s">
        <v>31</v>
      </c>
      <c r="E205" s="16"/>
      <c r="F205" s="16"/>
      <c r="G205" s="10">
        <v>1.0</v>
      </c>
      <c r="H205" s="13">
        <v>0.0</v>
      </c>
      <c r="I205" s="11">
        <v>23.0</v>
      </c>
      <c r="J205" s="11">
        <v>0.3</v>
      </c>
      <c r="K205" s="12">
        <v>0.0</v>
      </c>
      <c r="L205" s="13">
        <v>0.0</v>
      </c>
      <c r="M205" s="13">
        <v>0.0</v>
      </c>
      <c r="N205" s="13">
        <v>0.0</v>
      </c>
      <c r="O205" s="13">
        <v>0.0</v>
      </c>
      <c r="P205" s="13">
        <v>0.0</v>
      </c>
      <c r="Q205" s="13">
        <v>0.0</v>
      </c>
      <c r="R205" s="13">
        <v>0.0</v>
      </c>
      <c r="S205" s="12">
        <v>0.0</v>
      </c>
      <c r="T205" s="13">
        <v>0.0</v>
      </c>
      <c r="U205" s="13">
        <v>0.0</v>
      </c>
      <c r="V205" s="13">
        <v>0.0</v>
      </c>
      <c r="W205" s="13">
        <v>0.0</v>
      </c>
      <c r="X205" s="14" t="s">
        <v>464</v>
      </c>
    </row>
    <row r="206">
      <c r="A206" s="7" t="s">
        <v>465</v>
      </c>
      <c r="B206" s="8" t="s">
        <v>65</v>
      </c>
      <c r="C206" s="9" t="s">
        <v>55</v>
      </c>
      <c r="D206" s="7" t="s">
        <v>128</v>
      </c>
      <c r="E206" s="9">
        <v>23.0</v>
      </c>
      <c r="F206" s="9">
        <v>2000.0</v>
      </c>
      <c r="G206" s="10">
        <v>14.0</v>
      </c>
      <c r="H206" s="11">
        <v>14.0</v>
      </c>
      <c r="I206" s="15">
        <v>1009.0</v>
      </c>
      <c r="J206" s="11">
        <v>11.2</v>
      </c>
      <c r="K206" s="10">
        <v>4.0</v>
      </c>
      <c r="L206" s="11">
        <v>3.0</v>
      </c>
      <c r="M206" s="11">
        <v>7.0</v>
      </c>
      <c r="N206" s="11">
        <v>4.0</v>
      </c>
      <c r="O206" s="13">
        <v>0.0</v>
      </c>
      <c r="P206" s="13">
        <v>0.0</v>
      </c>
      <c r="Q206" s="13">
        <v>0.0</v>
      </c>
      <c r="R206" s="13">
        <v>0.0</v>
      </c>
      <c r="S206" s="10">
        <v>0.36</v>
      </c>
      <c r="T206" s="11">
        <v>0.27</v>
      </c>
      <c r="U206" s="11">
        <v>0.62</v>
      </c>
      <c r="V206" s="11">
        <v>0.36</v>
      </c>
      <c r="W206" s="11">
        <v>0.62</v>
      </c>
      <c r="X206" s="14" t="s">
        <v>466</v>
      </c>
    </row>
    <row r="207">
      <c r="A207" s="7" t="s">
        <v>467</v>
      </c>
      <c r="B207" s="8" t="s">
        <v>25</v>
      </c>
      <c r="C207" s="9" t="s">
        <v>35</v>
      </c>
      <c r="D207" s="7" t="s">
        <v>80</v>
      </c>
      <c r="E207" s="9">
        <v>20.0</v>
      </c>
      <c r="F207" s="9">
        <v>2003.0</v>
      </c>
      <c r="G207" s="10">
        <v>19.0</v>
      </c>
      <c r="H207" s="11">
        <v>16.0</v>
      </c>
      <c r="I207" s="15">
        <v>1275.0</v>
      </c>
      <c r="J207" s="11">
        <v>14.2</v>
      </c>
      <c r="K207" s="12">
        <v>0.0</v>
      </c>
      <c r="L207" s="13">
        <v>0.0</v>
      </c>
      <c r="M207" s="13">
        <v>0.0</v>
      </c>
      <c r="N207" s="13">
        <v>0.0</v>
      </c>
      <c r="O207" s="13">
        <v>0.0</v>
      </c>
      <c r="P207" s="13">
        <v>0.0</v>
      </c>
      <c r="Q207" s="11">
        <v>5.0</v>
      </c>
      <c r="R207" s="13">
        <v>0.0</v>
      </c>
      <c r="S207" s="12">
        <v>0.0</v>
      </c>
      <c r="T207" s="13">
        <v>0.0</v>
      </c>
      <c r="U207" s="13">
        <v>0.0</v>
      </c>
      <c r="V207" s="13">
        <v>0.0</v>
      </c>
      <c r="W207" s="13">
        <v>0.0</v>
      </c>
      <c r="X207" s="14" t="s">
        <v>468</v>
      </c>
    </row>
    <row r="208">
      <c r="A208" s="7" t="s">
        <v>469</v>
      </c>
      <c r="B208" s="8" t="s">
        <v>97</v>
      </c>
      <c r="C208" s="9" t="s">
        <v>47</v>
      </c>
      <c r="D208" s="7" t="s">
        <v>52</v>
      </c>
      <c r="E208" s="9">
        <v>29.0</v>
      </c>
      <c r="F208" s="9">
        <v>1994.0</v>
      </c>
      <c r="G208" s="10">
        <v>31.0</v>
      </c>
      <c r="H208" s="11">
        <v>27.0</v>
      </c>
      <c r="I208" s="15">
        <v>2404.0</v>
      </c>
      <c r="J208" s="11">
        <v>26.7</v>
      </c>
      <c r="K208" s="10">
        <v>5.0</v>
      </c>
      <c r="L208" s="11">
        <v>5.0</v>
      </c>
      <c r="M208" s="11">
        <v>10.0</v>
      </c>
      <c r="N208" s="11">
        <v>5.0</v>
      </c>
      <c r="O208" s="13">
        <v>0.0</v>
      </c>
      <c r="P208" s="13">
        <v>0.0</v>
      </c>
      <c r="Q208" s="11">
        <v>4.0</v>
      </c>
      <c r="R208" s="13">
        <v>0.0</v>
      </c>
      <c r="S208" s="10">
        <v>0.19</v>
      </c>
      <c r="T208" s="11">
        <v>0.19</v>
      </c>
      <c r="U208" s="11">
        <v>0.37</v>
      </c>
      <c r="V208" s="11">
        <v>0.19</v>
      </c>
      <c r="W208" s="11">
        <v>0.37</v>
      </c>
      <c r="X208" s="14" t="s">
        <v>470</v>
      </c>
    </row>
    <row r="209">
      <c r="A209" s="7" t="s">
        <v>471</v>
      </c>
      <c r="B209" s="8" t="s">
        <v>446</v>
      </c>
      <c r="C209" s="9" t="s">
        <v>35</v>
      </c>
      <c r="D209" s="7" t="s">
        <v>44</v>
      </c>
      <c r="E209" s="9">
        <v>26.0</v>
      </c>
      <c r="F209" s="9">
        <v>1997.0</v>
      </c>
      <c r="G209" s="10">
        <v>8.0</v>
      </c>
      <c r="H209" s="11">
        <v>7.0</v>
      </c>
      <c r="I209" s="11">
        <v>642.0</v>
      </c>
      <c r="J209" s="11">
        <v>7.1</v>
      </c>
      <c r="K209" s="12">
        <v>0.0</v>
      </c>
      <c r="L209" s="13">
        <v>0.0</v>
      </c>
      <c r="M209" s="13">
        <v>0.0</v>
      </c>
      <c r="N209" s="13">
        <v>0.0</v>
      </c>
      <c r="O209" s="13">
        <v>0.0</v>
      </c>
      <c r="P209" s="13">
        <v>0.0</v>
      </c>
      <c r="Q209" s="13">
        <v>0.0</v>
      </c>
      <c r="R209" s="13">
        <v>0.0</v>
      </c>
      <c r="S209" s="12">
        <v>0.0</v>
      </c>
      <c r="T209" s="13">
        <v>0.0</v>
      </c>
      <c r="U209" s="13">
        <v>0.0</v>
      </c>
      <c r="V209" s="13">
        <v>0.0</v>
      </c>
      <c r="W209" s="13">
        <v>0.0</v>
      </c>
      <c r="X209" s="14" t="s">
        <v>472</v>
      </c>
    </row>
    <row r="210">
      <c r="A210" s="7" t="s">
        <v>473</v>
      </c>
      <c r="B210" s="8" t="s">
        <v>25</v>
      </c>
      <c r="C210" s="9" t="s">
        <v>55</v>
      </c>
      <c r="D210" s="7" t="s">
        <v>27</v>
      </c>
      <c r="E210" s="9">
        <v>15.0</v>
      </c>
      <c r="F210" s="9">
        <v>2008.0</v>
      </c>
      <c r="G210" s="10">
        <v>1.0</v>
      </c>
      <c r="H210" s="13">
        <v>0.0</v>
      </c>
      <c r="I210" s="11">
        <v>2.0</v>
      </c>
      <c r="J210" s="13">
        <v>0.0</v>
      </c>
      <c r="K210" s="12">
        <v>0.0</v>
      </c>
      <c r="L210" s="13">
        <v>0.0</v>
      </c>
      <c r="M210" s="13">
        <v>0.0</v>
      </c>
      <c r="N210" s="13">
        <v>0.0</v>
      </c>
      <c r="O210" s="13">
        <v>0.0</v>
      </c>
      <c r="P210" s="13">
        <v>0.0</v>
      </c>
      <c r="Q210" s="13">
        <v>0.0</v>
      </c>
      <c r="R210" s="13">
        <v>0.0</v>
      </c>
      <c r="S210" s="12">
        <v>0.0</v>
      </c>
      <c r="T210" s="13">
        <v>0.0</v>
      </c>
      <c r="U210" s="13">
        <v>0.0</v>
      </c>
      <c r="V210" s="13">
        <v>0.0</v>
      </c>
      <c r="W210" s="13">
        <v>0.0</v>
      </c>
      <c r="X210" s="14" t="s">
        <v>474</v>
      </c>
    </row>
    <row r="211">
      <c r="A211" s="7" t="s">
        <v>475</v>
      </c>
      <c r="B211" s="8" t="s">
        <v>65</v>
      </c>
      <c r="C211" s="9" t="s">
        <v>35</v>
      </c>
      <c r="D211" s="7" t="s">
        <v>128</v>
      </c>
      <c r="E211" s="9">
        <v>24.0</v>
      </c>
      <c r="F211" s="9">
        <v>1999.0</v>
      </c>
      <c r="G211" s="10">
        <v>14.0</v>
      </c>
      <c r="H211" s="11">
        <v>14.0</v>
      </c>
      <c r="I211" s="15">
        <v>1241.0</v>
      </c>
      <c r="J211" s="11">
        <v>13.8</v>
      </c>
      <c r="K211" s="12">
        <v>0.0</v>
      </c>
      <c r="L211" s="11">
        <v>2.0</v>
      </c>
      <c r="M211" s="11">
        <v>2.0</v>
      </c>
      <c r="N211" s="13">
        <v>0.0</v>
      </c>
      <c r="O211" s="13">
        <v>0.0</v>
      </c>
      <c r="P211" s="13">
        <v>0.0</v>
      </c>
      <c r="Q211" s="11">
        <v>7.0</v>
      </c>
      <c r="R211" s="13">
        <v>0.0</v>
      </c>
      <c r="S211" s="12">
        <v>0.0</v>
      </c>
      <c r="T211" s="11">
        <v>0.15</v>
      </c>
      <c r="U211" s="11">
        <v>0.15</v>
      </c>
      <c r="V211" s="13">
        <v>0.0</v>
      </c>
      <c r="W211" s="11">
        <v>0.15</v>
      </c>
      <c r="X211" s="14" t="s">
        <v>476</v>
      </c>
    </row>
    <row r="212">
      <c r="A212" s="7" t="s">
        <v>477</v>
      </c>
      <c r="B212" s="8" t="s">
        <v>25</v>
      </c>
      <c r="C212" s="9" t="s">
        <v>26</v>
      </c>
      <c r="D212" s="7" t="s">
        <v>31</v>
      </c>
      <c r="E212" s="9">
        <v>24.0</v>
      </c>
      <c r="F212" s="9">
        <v>1999.0</v>
      </c>
      <c r="G212" s="10">
        <v>22.0</v>
      </c>
      <c r="H212" s="11">
        <v>14.0</v>
      </c>
      <c r="I212" s="15">
        <v>1404.0</v>
      </c>
      <c r="J212" s="11">
        <v>15.6</v>
      </c>
      <c r="K212" s="10">
        <v>2.0</v>
      </c>
      <c r="L212" s="11">
        <v>3.0</v>
      </c>
      <c r="M212" s="11">
        <v>5.0</v>
      </c>
      <c r="N212" s="11">
        <v>2.0</v>
      </c>
      <c r="O212" s="13">
        <v>0.0</v>
      </c>
      <c r="P212" s="13">
        <v>0.0</v>
      </c>
      <c r="Q212" s="11">
        <v>2.0</v>
      </c>
      <c r="R212" s="13">
        <v>0.0</v>
      </c>
      <c r="S212" s="10">
        <v>0.13</v>
      </c>
      <c r="T212" s="11">
        <v>0.19</v>
      </c>
      <c r="U212" s="11">
        <v>0.32</v>
      </c>
      <c r="V212" s="11">
        <v>0.13</v>
      </c>
      <c r="W212" s="11">
        <v>0.32</v>
      </c>
      <c r="X212" s="14" t="s">
        <v>478</v>
      </c>
    </row>
    <row r="213">
      <c r="A213" s="7" t="s">
        <v>479</v>
      </c>
      <c r="B213" s="8" t="s">
        <v>25</v>
      </c>
      <c r="C213" s="9" t="s">
        <v>26</v>
      </c>
      <c r="D213" s="7" t="s">
        <v>128</v>
      </c>
      <c r="E213" s="9">
        <v>23.0</v>
      </c>
      <c r="F213" s="9">
        <v>2000.0</v>
      </c>
      <c r="G213" s="10">
        <v>35.0</v>
      </c>
      <c r="H213" s="11">
        <v>35.0</v>
      </c>
      <c r="I213" s="15">
        <v>3124.0</v>
      </c>
      <c r="J213" s="11">
        <v>34.7</v>
      </c>
      <c r="K213" s="10">
        <v>1.0</v>
      </c>
      <c r="L213" s="11">
        <v>1.0</v>
      </c>
      <c r="M213" s="11">
        <v>2.0</v>
      </c>
      <c r="N213" s="11">
        <v>1.0</v>
      </c>
      <c r="O213" s="13">
        <v>0.0</v>
      </c>
      <c r="P213" s="13">
        <v>0.0</v>
      </c>
      <c r="Q213" s="11">
        <v>13.0</v>
      </c>
      <c r="R213" s="13">
        <v>0.0</v>
      </c>
      <c r="S213" s="10">
        <v>0.03</v>
      </c>
      <c r="T213" s="11">
        <v>0.03</v>
      </c>
      <c r="U213" s="11">
        <v>0.06</v>
      </c>
      <c r="V213" s="11">
        <v>0.03</v>
      </c>
      <c r="W213" s="11">
        <v>0.06</v>
      </c>
      <c r="X213" s="14" t="s">
        <v>480</v>
      </c>
    </row>
    <row r="214">
      <c r="A214" s="7" t="s">
        <v>481</v>
      </c>
      <c r="B214" s="8" t="s">
        <v>25</v>
      </c>
      <c r="C214" s="9" t="s">
        <v>26</v>
      </c>
      <c r="D214" s="7" t="s">
        <v>98</v>
      </c>
      <c r="E214" s="9">
        <v>24.0</v>
      </c>
      <c r="F214" s="9">
        <v>2000.0</v>
      </c>
      <c r="G214" s="10">
        <v>19.0</v>
      </c>
      <c r="H214" s="11">
        <v>6.0</v>
      </c>
      <c r="I214" s="11">
        <v>689.0</v>
      </c>
      <c r="J214" s="11">
        <v>7.7</v>
      </c>
      <c r="K214" s="10">
        <v>1.0</v>
      </c>
      <c r="L214" s="13">
        <v>0.0</v>
      </c>
      <c r="M214" s="11">
        <v>1.0</v>
      </c>
      <c r="N214" s="11">
        <v>1.0</v>
      </c>
      <c r="O214" s="13">
        <v>0.0</v>
      </c>
      <c r="P214" s="13">
        <v>0.0</v>
      </c>
      <c r="Q214" s="11">
        <v>7.0</v>
      </c>
      <c r="R214" s="13">
        <v>0.0</v>
      </c>
      <c r="S214" s="10">
        <v>0.13</v>
      </c>
      <c r="T214" s="13">
        <v>0.0</v>
      </c>
      <c r="U214" s="11">
        <v>0.13</v>
      </c>
      <c r="V214" s="11">
        <v>0.13</v>
      </c>
      <c r="W214" s="11">
        <v>0.13</v>
      </c>
      <c r="X214" s="14" t="s">
        <v>482</v>
      </c>
    </row>
    <row r="215">
      <c r="A215" s="7" t="s">
        <v>483</v>
      </c>
      <c r="B215" s="8" t="s">
        <v>25</v>
      </c>
      <c r="C215" s="9" t="s">
        <v>26</v>
      </c>
      <c r="D215" s="7" t="s">
        <v>44</v>
      </c>
      <c r="E215" s="9">
        <v>17.0</v>
      </c>
      <c r="F215" s="9">
        <v>2006.0</v>
      </c>
      <c r="G215" s="10">
        <v>5.0</v>
      </c>
      <c r="H215" s="13">
        <v>0.0</v>
      </c>
      <c r="I215" s="11">
        <v>49.0</v>
      </c>
      <c r="J215" s="11">
        <v>0.5</v>
      </c>
      <c r="K215" s="12">
        <v>0.0</v>
      </c>
      <c r="L215" s="13">
        <v>0.0</v>
      </c>
      <c r="M215" s="13">
        <v>0.0</v>
      </c>
      <c r="N215" s="13">
        <v>0.0</v>
      </c>
      <c r="O215" s="13">
        <v>0.0</v>
      </c>
      <c r="P215" s="13">
        <v>0.0</v>
      </c>
      <c r="Q215" s="11">
        <v>1.0</v>
      </c>
      <c r="R215" s="13">
        <v>0.0</v>
      </c>
      <c r="S215" s="12">
        <v>0.0</v>
      </c>
      <c r="T215" s="13">
        <v>0.0</v>
      </c>
      <c r="U215" s="13">
        <v>0.0</v>
      </c>
      <c r="V215" s="13">
        <v>0.0</v>
      </c>
      <c r="W215" s="13">
        <v>0.0</v>
      </c>
      <c r="X215" s="14" t="s">
        <v>484</v>
      </c>
    </row>
    <row r="216">
      <c r="A216" s="7" t="s">
        <v>485</v>
      </c>
      <c r="B216" s="8" t="s">
        <v>65</v>
      </c>
      <c r="C216" s="9" t="s">
        <v>55</v>
      </c>
      <c r="D216" s="7" t="s">
        <v>80</v>
      </c>
      <c r="E216" s="9">
        <v>19.0</v>
      </c>
      <c r="F216" s="9">
        <v>2004.0</v>
      </c>
      <c r="G216" s="10">
        <v>7.0</v>
      </c>
      <c r="H216" s="13">
        <v>0.0</v>
      </c>
      <c r="I216" s="11">
        <v>106.0</v>
      </c>
      <c r="J216" s="11">
        <v>1.2</v>
      </c>
      <c r="K216" s="12">
        <v>0.0</v>
      </c>
      <c r="L216" s="13">
        <v>0.0</v>
      </c>
      <c r="M216" s="13">
        <v>0.0</v>
      </c>
      <c r="N216" s="13">
        <v>0.0</v>
      </c>
      <c r="O216" s="13">
        <v>0.0</v>
      </c>
      <c r="P216" s="13">
        <v>0.0</v>
      </c>
      <c r="Q216" s="11">
        <v>1.0</v>
      </c>
      <c r="R216" s="13">
        <v>0.0</v>
      </c>
      <c r="S216" s="12">
        <v>0.0</v>
      </c>
      <c r="T216" s="13">
        <v>0.0</v>
      </c>
      <c r="U216" s="13">
        <v>0.0</v>
      </c>
      <c r="V216" s="13">
        <v>0.0</v>
      </c>
      <c r="W216" s="13">
        <v>0.0</v>
      </c>
      <c r="X216" s="14" t="s">
        <v>486</v>
      </c>
    </row>
    <row r="217">
      <c r="A217" s="7" t="s">
        <v>487</v>
      </c>
      <c r="B217" s="8" t="s">
        <v>97</v>
      </c>
      <c r="C217" s="9" t="s">
        <v>26</v>
      </c>
      <c r="D217" s="7" t="s">
        <v>36</v>
      </c>
      <c r="E217" s="9">
        <v>18.0</v>
      </c>
      <c r="F217" s="9">
        <v>2005.0</v>
      </c>
      <c r="G217" s="10">
        <v>18.0</v>
      </c>
      <c r="H217" s="11">
        <v>15.0</v>
      </c>
      <c r="I217" s="15">
        <v>1282.0</v>
      </c>
      <c r="J217" s="11">
        <v>14.2</v>
      </c>
      <c r="K217" s="10">
        <v>1.0</v>
      </c>
      <c r="L217" s="11">
        <v>1.0</v>
      </c>
      <c r="M217" s="11">
        <v>2.0</v>
      </c>
      <c r="N217" s="11">
        <v>1.0</v>
      </c>
      <c r="O217" s="13">
        <v>0.0</v>
      </c>
      <c r="P217" s="13">
        <v>0.0</v>
      </c>
      <c r="Q217" s="11">
        <v>5.0</v>
      </c>
      <c r="R217" s="13">
        <v>0.0</v>
      </c>
      <c r="S217" s="10">
        <v>0.07</v>
      </c>
      <c r="T217" s="11">
        <v>0.07</v>
      </c>
      <c r="U217" s="11">
        <v>0.14</v>
      </c>
      <c r="V217" s="11">
        <v>0.07</v>
      </c>
      <c r="W217" s="11">
        <v>0.14</v>
      </c>
      <c r="X217" s="14" t="s">
        <v>488</v>
      </c>
    </row>
    <row r="218">
      <c r="A218" s="7" t="s">
        <v>489</v>
      </c>
      <c r="B218" s="8" t="s">
        <v>157</v>
      </c>
      <c r="C218" s="9" t="s">
        <v>35</v>
      </c>
      <c r="D218" s="7" t="s">
        <v>128</v>
      </c>
      <c r="E218" s="9">
        <v>21.0</v>
      </c>
      <c r="F218" s="9">
        <v>2002.0</v>
      </c>
      <c r="G218" s="10">
        <v>35.0</v>
      </c>
      <c r="H218" s="11">
        <v>35.0</v>
      </c>
      <c r="I218" s="15">
        <v>3090.0</v>
      </c>
      <c r="J218" s="11">
        <v>34.3</v>
      </c>
      <c r="K218" s="12">
        <v>0.0</v>
      </c>
      <c r="L218" s="11">
        <v>2.0</v>
      </c>
      <c r="M218" s="11">
        <v>2.0</v>
      </c>
      <c r="N218" s="13">
        <v>0.0</v>
      </c>
      <c r="O218" s="13">
        <v>0.0</v>
      </c>
      <c r="P218" s="13">
        <v>0.0</v>
      </c>
      <c r="Q218" s="11">
        <v>8.0</v>
      </c>
      <c r="R218" s="13">
        <v>0.0</v>
      </c>
      <c r="S218" s="12">
        <v>0.0</v>
      </c>
      <c r="T218" s="11">
        <v>0.06</v>
      </c>
      <c r="U218" s="11">
        <v>0.06</v>
      </c>
      <c r="V218" s="13">
        <v>0.0</v>
      </c>
      <c r="W218" s="11">
        <v>0.06</v>
      </c>
      <c r="X218" s="14" t="s">
        <v>490</v>
      </c>
    </row>
    <row r="219">
      <c r="A219" s="7" t="s">
        <v>491</v>
      </c>
      <c r="B219" s="8" t="s">
        <v>25</v>
      </c>
      <c r="C219" s="9" t="s">
        <v>26</v>
      </c>
      <c r="D219" s="7" t="s">
        <v>128</v>
      </c>
      <c r="E219" s="9">
        <v>17.0</v>
      </c>
      <c r="F219" s="9">
        <v>2006.0</v>
      </c>
      <c r="G219" s="10">
        <v>22.0</v>
      </c>
      <c r="H219" s="11">
        <v>2.0</v>
      </c>
      <c r="I219" s="11">
        <v>593.0</v>
      </c>
      <c r="J219" s="11">
        <v>6.6</v>
      </c>
      <c r="K219" s="12">
        <v>0.0</v>
      </c>
      <c r="L219" s="13">
        <v>0.0</v>
      </c>
      <c r="M219" s="13">
        <v>0.0</v>
      </c>
      <c r="N219" s="13">
        <v>0.0</v>
      </c>
      <c r="O219" s="13">
        <v>0.0</v>
      </c>
      <c r="P219" s="13">
        <v>0.0</v>
      </c>
      <c r="Q219" s="11">
        <v>2.0</v>
      </c>
      <c r="R219" s="13">
        <v>0.0</v>
      </c>
      <c r="S219" s="12">
        <v>0.0</v>
      </c>
      <c r="T219" s="13">
        <v>0.0</v>
      </c>
      <c r="U219" s="13">
        <v>0.0</v>
      </c>
      <c r="V219" s="13">
        <v>0.0</v>
      </c>
      <c r="W219" s="13">
        <v>0.0</v>
      </c>
      <c r="X219" s="14" t="s">
        <v>492</v>
      </c>
    </row>
    <row r="220">
      <c r="A220" s="7" t="s">
        <v>493</v>
      </c>
      <c r="B220" s="8" t="s">
        <v>25</v>
      </c>
      <c r="C220" s="9" t="s">
        <v>35</v>
      </c>
      <c r="D220" s="7" t="s">
        <v>58</v>
      </c>
      <c r="E220" s="9">
        <v>30.0</v>
      </c>
      <c r="F220" s="9">
        <v>1993.0</v>
      </c>
      <c r="G220" s="10">
        <v>31.0</v>
      </c>
      <c r="H220" s="11">
        <v>31.0</v>
      </c>
      <c r="I220" s="15">
        <v>2762.0</v>
      </c>
      <c r="J220" s="11">
        <v>30.7</v>
      </c>
      <c r="K220" s="12">
        <v>0.0</v>
      </c>
      <c r="L220" s="11">
        <v>1.0</v>
      </c>
      <c r="M220" s="11">
        <v>1.0</v>
      </c>
      <c r="N220" s="13">
        <v>0.0</v>
      </c>
      <c r="O220" s="13">
        <v>0.0</v>
      </c>
      <c r="P220" s="13">
        <v>0.0</v>
      </c>
      <c r="Q220" s="11">
        <v>12.0</v>
      </c>
      <c r="R220" s="11">
        <v>1.0</v>
      </c>
      <c r="S220" s="12">
        <v>0.0</v>
      </c>
      <c r="T220" s="11">
        <v>0.03</v>
      </c>
      <c r="U220" s="11">
        <v>0.03</v>
      </c>
      <c r="V220" s="13">
        <v>0.0</v>
      </c>
      <c r="W220" s="11">
        <v>0.03</v>
      </c>
      <c r="X220" s="14" t="s">
        <v>494</v>
      </c>
    </row>
    <row r="221">
      <c r="A221" s="7" t="s">
        <v>495</v>
      </c>
      <c r="B221" s="8" t="s">
        <v>25</v>
      </c>
      <c r="C221" s="9" t="s">
        <v>35</v>
      </c>
      <c r="D221" s="7" t="s">
        <v>44</v>
      </c>
      <c r="E221" s="9">
        <v>25.0</v>
      </c>
      <c r="F221" s="9">
        <v>1998.0</v>
      </c>
      <c r="G221" s="10">
        <v>33.0</v>
      </c>
      <c r="H221" s="11">
        <v>31.0</v>
      </c>
      <c r="I221" s="15">
        <v>2769.0</v>
      </c>
      <c r="J221" s="11">
        <v>30.8</v>
      </c>
      <c r="K221" s="12">
        <v>0.0</v>
      </c>
      <c r="L221" s="11">
        <v>1.0</v>
      </c>
      <c r="M221" s="11">
        <v>1.0</v>
      </c>
      <c r="N221" s="13">
        <v>0.0</v>
      </c>
      <c r="O221" s="13">
        <v>0.0</v>
      </c>
      <c r="P221" s="13">
        <v>0.0</v>
      </c>
      <c r="Q221" s="11">
        <v>9.0</v>
      </c>
      <c r="R221" s="13">
        <v>0.0</v>
      </c>
      <c r="S221" s="12">
        <v>0.0</v>
      </c>
      <c r="T221" s="11">
        <v>0.03</v>
      </c>
      <c r="U221" s="11">
        <v>0.03</v>
      </c>
      <c r="V221" s="13">
        <v>0.0</v>
      </c>
      <c r="W221" s="11">
        <v>0.03</v>
      </c>
      <c r="X221" s="14" t="s">
        <v>496</v>
      </c>
    </row>
    <row r="222">
      <c r="A222" s="7" t="s">
        <v>497</v>
      </c>
      <c r="B222" s="8" t="s">
        <v>25</v>
      </c>
      <c r="C222" s="9" t="s">
        <v>55</v>
      </c>
      <c r="D222" s="7" t="s">
        <v>98</v>
      </c>
      <c r="E222" s="9">
        <v>35.0</v>
      </c>
      <c r="F222" s="9">
        <v>1988.0</v>
      </c>
      <c r="G222" s="10">
        <v>36.0</v>
      </c>
      <c r="H222" s="11">
        <v>36.0</v>
      </c>
      <c r="I222" s="15">
        <v>3230.0</v>
      </c>
      <c r="J222" s="11">
        <v>35.9</v>
      </c>
      <c r="K222" s="10">
        <v>14.0</v>
      </c>
      <c r="L222" s="11">
        <v>2.0</v>
      </c>
      <c r="M222" s="11">
        <v>16.0</v>
      </c>
      <c r="N222" s="11">
        <v>12.0</v>
      </c>
      <c r="O222" s="11">
        <v>2.0</v>
      </c>
      <c r="P222" s="11">
        <v>3.0</v>
      </c>
      <c r="Q222" s="11">
        <v>1.0</v>
      </c>
      <c r="R222" s="13">
        <v>0.0</v>
      </c>
      <c r="S222" s="10">
        <v>0.39</v>
      </c>
      <c r="T222" s="11">
        <v>0.06</v>
      </c>
      <c r="U222" s="11">
        <v>0.45</v>
      </c>
      <c r="V222" s="11">
        <v>0.33</v>
      </c>
      <c r="W222" s="11">
        <v>0.39</v>
      </c>
      <c r="X222" s="14" t="s">
        <v>498</v>
      </c>
    </row>
    <row r="223">
      <c r="A223" s="7" t="s">
        <v>499</v>
      </c>
      <c r="B223" s="8" t="s">
        <v>43</v>
      </c>
      <c r="C223" s="9" t="s">
        <v>30</v>
      </c>
      <c r="D223" s="7" t="s">
        <v>62</v>
      </c>
      <c r="E223" s="9">
        <v>25.0</v>
      </c>
      <c r="F223" s="9">
        <v>1998.0</v>
      </c>
      <c r="G223" s="10">
        <v>32.0</v>
      </c>
      <c r="H223" s="11">
        <v>18.0</v>
      </c>
      <c r="I223" s="15">
        <v>1723.0</v>
      </c>
      <c r="J223" s="11">
        <v>19.1</v>
      </c>
      <c r="K223" s="10">
        <v>4.0</v>
      </c>
      <c r="L223" s="11">
        <v>3.0</v>
      </c>
      <c r="M223" s="11">
        <v>7.0</v>
      </c>
      <c r="N223" s="11">
        <v>4.0</v>
      </c>
      <c r="O223" s="13">
        <v>0.0</v>
      </c>
      <c r="P223" s="13">
        <v>0.0</v>
      </c>
      <c r="Q223" s="11">
        <v>4.0</v>
      </c>
      <c r="R223" s="13">
        <v>0.0</v>
      </c>
      <c r="S223" s="10">
        <v>0.21</v>
      </c>
      <c r="T223" s="11">
        <v>0.16</v>
      </c>
      <c r="U223" s="11">
        <v>0.37</v>
      </c>
      <c r="V223" s="11">
        <v>0.21</v>
      </c>
      <c r="W223" s="11">
        <v>0.37</v>
      </c>
      <c r="X223" s="14" t="s">
        <v>500</v>
      </c>
    </row>
    <row r="224">
      <c r="A224" s="7" t="s">
        <v>501</v>
      </c>
      <c r="B224" s="8" t="s">
        <v>25</v>
      </c>
      <c r="C224" s="9" t="s">
        <v>55</v>
      </c>
      <c r="D224" s="7" t="s">
        <v>52</v>
      </c>
      <c r="E224" s="9">
        <v>32.0</v>
      </c>
      <c r="F224" s="9">
        <v>1991.0</v>
      </c>
      <c r="G224" s="10">
        <v>30.0</v>
      </c>
      <c r="H224" s="11">
        <v>27.0</v>
      </c>
      <c r="I224" s="15">
        <v>2352.0</v>
      </c>
      <c r="J224" s="11">
        <v>26.1</v>
      </c>
      <c r="K224" s="10">
        <v>14.0</v>
      </c>
      <c r="L224" s="11">
        <v>3.0</v>
      </c>
      <c r="M224" s="11">
        <v>17.0</v>
      </c>
      <c r="N224" s="11">
        <v>11.0</v>
      </c>
      <c r="O224" s="11">
        <v>3.0</v>
      </c>
      <c r="P224" s="11">
        <v>3.0</v>
      </c>
      <c r="Q224" s="11">
        <v>6.0</v>
      </c>
      <c r="R224" s="13">
        <v>0.0</v>
      </c>
      <c r="S224" s="10">
        <v>0.54</v>
      </c>
      <c r="T224" s="11">
        <v>0.11</v>
      </c>
      <c r="U224" s="11">
        <v>0.65</v>
      </c>
      <c r="V224" s="11">
        <v>0.42</v>
      </c>
      <c r="W224" s="11">
        <v>0.54</v>
      </c>
      <c r="X224" s="14" t="s">
        <v>502</v>
      </c>
    </row>
    <row r="225">
      <c r="A225" s="7" t="s">
        <v>503</v>
      </c>
      <c r="B225" s="8" t="s">
        <v>25</v>
      </c>
      <c r="C225" s="9" t="s">
        <v>26</v>
      </c>
      <c r="D225" s="7" t="s">
        <v>52</v>
      </c>
      <c r="E225" s="9">
        <v>31.0</v>
      </c>
      <c r="F225" s="9">
        <v>1992.0</v>
      </c>
      <c r="G225" s="10">
        <v>13.0</v>
      </c>
      <c r="H225" s="11">
        <v>3.0</v>
      </c>
      <c r="I225" s="11">
        <v>502.0</v>
      </c>
      <c r="J225" s="11">
        <v>5.6</v>
      </c>
      <c r="K225" s="12">
        <v>0.0</v>
      </c>
      <c r="L225" s="11">
        <v>1.0</v>
      </c>
      <c r="M225" s="11">
        <v>1.0</v>
      </c>
      <c r="N225" s="13">
        <v>0.0</v>
      </c>
      <c r="O225" s="13">
        <v>0.0</v>
      </c>
      <c r="P225" s="13">
        <v>0.0</v>
      </c>
      <c r="Q225" s="13">
        <v>0.0</v>
      </c>
      <c r="R225" s="13">
        <v>0.0</v>
      </c>
      <c r="S225" s="12">
        <v>0.0</v>
      </c>
      <c r="T225" s="11">
        <v>0.18</v>
      </c>
      <c r="U225" s="11">
        <v>0.18</v>
      </c>
      <c r="V225" s="13">
        <v>0.0</v>
      </c>
      <c r="W225" s="11">
        <v>0.18</v>
      </c>
      <c r="X225" s="14" t="s">
        <v>504</v>
      </c>
    </row>
    <row r="226">
      <c r="A226" s="7" t="s">
        <v>505</v>
      </c>
      <c r="B226" s="8" t="s">
        <v>25</v>
      </c>
      <c r="C226" s="9" t="s">
        <v>26</v>
      </c>
      <c r="D226" s="7" t="s">
        <v>80</v>
      </c>
      <c r="E226" s="9">
        <v>25.0</v>
      </c>
      <c r="F226" s="9">
        <v>1998.0</v>
      </c>
      <c r="G226" s="10">
        <v>19.0</v>
      </c>
      <c r="H226" s="11">
        <v>15.0</v>
      </c>
      <c r="I226" s="15">
        <v>1137.0</v>
      </c>
      <c r="J226" s="11">
        <v>12.6</v>
      </c>
      <c r="K226" s="12">
        <v>0.0</v>
      </c>
      <c r="L226" s="11">
        <v>1.0</v>
      </c>
      <c r="M226" s="11">
        <v>1.0</v>
      </c>
      <c r="N226" s="13">
        <v>0.0</v>
      </c>
      <c r="O226" s="13">
        <v>0.0</v>
      </c>
      <c r="P226" s="13">
        <v>0.0</v>
      </c>
      <c r="Q226" s="11">
        <v>6.0</v>
      </c>
      <c r="R226" s="13">
        <v>0.0</v>
      </c>
      <c r="S226" s="12">
        <v>0.0</v>
      </c>
      <c r="T226" s="11">
        <v>0.08</v>
      </c>
      <c r="U226" s="11">
        <v>0.08</v>
      </c>
      <c r="V226" s="13">
        <v>0.0</v>
      </c>
      <c r="W226" s="11">
        <v>0.08</v>
      </c>
      <c r="X226" s="14" t="s">
        <v>506</v>
      </c>
    </row>
    <row r="227">
      <c r="A227" s="7" t="s">
        <v>507</v>
      </c>
      <c r="B227" s="8" t="s">
        <v>70</v>
      </c>
      <c r="C227" s="9" t="s">
        <v>26</v>
      </c>
      <c r="D227" s="7" t="s">
        <v>52</v>
      </c>
      <c r="E227" s="9">
        <v>27.0</v>
      </c>
      <c r="F227" s="9">
        <v>1996.0</v>
      </c>
      <c r="G227" s="10">
        <v>36.0</v>
      </c>
      <c r="H227" s="11">
        <v>35.0</v>
      </c>
      <c r="I227" s="15">
        <v>2979.0</v>
      </c>
      <c r="J227" s="11">
        <v>33.1</v>
      </c>
      <c r="K227" s="10">
        <v>3.0</v>
      </c>
      <c r="L227" s="11">
        <v>5.0</v>
      </c>
      <c r="M227" s="11">
        <v>8.0</v>
      </c>
      <c r="N227" s="11">
        <v>3.0</v>
      </c>
      <c r="O227" s="13">
        <v>0.0</v>
      </c>
      <c r="P227" s="13">
        <v>0.0</v>
      </c>
      <c r="Q227" s="11">
        <v>6.0</v>
      </c>
      <c r="R227" s="13">
        <v>0.0</v>
      </c>
      <c r="S227" s="10">
        <v>0.09</v>
      </c>
      <c r="T227" s="11">
        <v>0.15</v>
      </c>
      <c r="U227" s="11">
        <v>0.24</v>
      </c>
      <c r="V227" s="11">
        <v>0.09</v>
      </c>
      <c r="W227" s="11">
        <v>0.24</v>
      </c>
      <c r="X227" s="14" t="s">
        <v>508</v>
      </c>
    </row>
    <row r="228">
      <c r="A228" s="7" t="s">
        <v>509</v>
      </c>
      <c r="B228" s="8" t="s">
        <v>510</v>
      </c>
      <c r="C228" s="9" t="s">
        <v>35</v>
      </c>
      <c r="D228" s="7" t="s">
        <v>31</v>
      </c>
      <c r="E228" s="9">
        <v>31.0</v>
      </c>
      <c r="F228" s="9">
        <v>1992.0</v>
      </c>
      <c r="G228" s="10">
        <v>33.0</v>
      </c>
      <c r="H228" s="11">
        <v>31.0</v>
      </c>
      <c r="I228" s="15">
        <v>2818.0</v>
      </c>
      <c r="J228" s="11">
        <v>31.3</v>
      </c>
      <c r="K228" s="10">
        <v>1.0</v>
      </c>
      <c r="L228" s="13">
        <v>0.0</v>
      </c>
      <c r="M228" s="11">
        <v>1.0</v>
      </c>
      <c r="N228" s="11">
        <v>1.0</v>
      </c>
      <c r="O228" s="13">
        <v>0.0</v>
      </c>
      <c r="P228" s="13">
        <v>0.0</v>
      </c>
      <c r="Q228" s="11">
        <v>10.0</v>
      </c>
      <c r="R228" s="11">
        <v>1.0</v>
      </c>
      <c r="S228" s="10">
        <v>0.03</v>
      </c>
      <c r="T228" s="13">
        <v>0.0</v>
      </c>
      <c r="U228" s="11">
        <v>0.03</v>
      </c>
      <c r="V228" s="11">
        <v>0.03</v>
      </c>
      <c r="W228" s="11">
        <v>0.03</v>
      </c>
      <c r="X228" s="14" t="s">
        <v>511</v>
      </c>
    </row>
    <row r="229">
      <c r="A229" s="7" t="s">
        <v>512</v>
      </c>
      <c r="B229" s="8" t="s">
        <v>34</v>
      </c>
      <c r="C229" s="9" t="s">
        <v>47</v>
      </c>
      <c r="D229" s="7" t="s">
        <v>58</v>
      </c>
      <c r="E229" s="9">
        <v>23.0</v>
      </c>
      <c r="F229" s="9">
        <v>2001.0</v>
      </c>
      <c r="G229" s="10">
        <v>10.0</v>
      </c>
      <c r="H229" s="11">
        <v>7.0</v>
      </c>
      <c r="I229" s="11">
        <v>573.0</v>
      </c>
      <c r="J229" s="11">
        <v>6.4</v>
      </c>
      <c r="K229" s="10">
        <v>2.0</v>
      </c>
      <c r="L229" s="13">
        <v>0.0</v>
      </c>
      <c r="M229" s="11">
        <v>2.0</v>
      </c>
      <c r="N229" s="11">
        <v>2.0</v>
      </c>
      <c r="O229" s="13">
        <v>0.0</v>
      </c>
      <c r="P229" s="13">
        <v>0.0</v>
      </c>
      <c r="Q229" s="13">
        <v>0.0</v>
      </c>
      <c r="R229" s="13">
        <v>0.0</v>
      </c>
      <c r="S229" s="10">
        <v>0.31</v>
      </c>
      <c r="T229" s="13">
        <v>0.0</v>
      </c>
      <c r="U229" s="11">
        <v>0.31</v>
      </c>
      <c r="V229" s="11">
        <v>0.31</v>
      </c>
      <c r="W229" s="11">
        <v>0.31</v>
      </c>
      <c r="X229" s="14" t="s">
        <v>513</v>
      </c>
    </row>
    <row r="230">
      <c r="A230" s="7" t="s">
        <v>514</v>
      </c>
      <c r="B230" s="8" t="s">
        <v>34</v>
      </c>
      <c r="C230" s="9" t="s">
        <v>35</v>
      </c>
      <c r="D230" s="7" t="s">
        <v>128</v>
      </c>
      <c r="E230" s="9">
        <v>23.0</v>
      </c>
      <c r="F230" s="9">
        <v>2000.0</v>
      </c>
      <c r="G230" s="10">
        <v>36.0</v>
      </c>
      <c r="H230" s="11">
        <v>36.0</v>
      </c>
      <c r="I230" s="15">
        <v>3220.0</v>
      </c>
      <c r="J230" s="11">
        <v>35.8</v>
      </c>
      <c r="K230" s="10">
        <v>2.0</v>
      </c>
      <c r="L230" s="11">
        <v>1.0</v>
      </c>
      <c r="M230" s="11">
        <v>3.0</v>
      </c>
      <c r="N230" s="11">
        <v>2.0</v>
      </c>
      <c r="O230" s="13">
        <v>0.0</v>
      </c>
      <c r="P230" s="13">
        <v>0.0</v>
      </c>
      <c r="Q230" s="11">
        <v>7.0</v>
      </c>
      <c r="R230" s="13">
        <v>0.0</v>
      </c>
      <c r="S230" s="10">
        <v>0.06</v>
      </c>
      <c r="T230" s="11">
        <v>0.03</v>
      </c>
      <c r="U230" s="11">
        <v>0.08</v>
      </c>
      <c r="V230" s="11">
        <v>0.06</v>
      </c>
      <c r="W230" s="11">
        <v>0.08</v>
      </c>
      <c r="X230" s="14" t="s">
        <v>515</v>
      </c>
    </row>
    <row r="231">
      <c r="A231" s="7" t="s">
        <v>516</v>
      </c>
      <c r="B231" s="8" t="s">
        <v>25</v>
      </c>
      <c r="C231" s="9" t="s">
        <v>83</v>
      </c>
      <c r="D231" s="7" t="s">
        <v>62</v>
      </c>
      <c r="E231" s="9">
        <v>27.0</v>
      </c>
      <c r="F231" s="9">
        <v>1996.0</v>
      </c>
      <c r="G231" s="10">
        <v>13.0</v>
      </c>
      <c r="H231" s="11">
        <v>8.0</v>
      </c>
      <c r="I231" s="11">
        <v>660.0</v>
      </c>
      <c r="J231" s="11">
        <v>7.3</v>
      </c>
      <c r="K231" s="12">
        <v>0.0</v>
      </c>
      <c r="L231" s="11">
        <v>1.0</v>
      </c>
      <c r="M231" s="11">
        <v>1.0</v>
      </c>
      <c r="N231" s="13">
        <v>0.0</v>
      </c>
      <c r="O231" s="13">
        <v>0.0</v>
      </c>
      <c r="P231" s="13">
        <v>0.0</v>
      </c>
      <c r="Q231" s="13">
        <v>0.0</v>
      </c>
      <c r="R231" s="13">
        <v>0.0</v>
      </c>
      <c r="S231" s="12">
        <v>0.0</v>
      </c>
      <c r="T231" s="11">
        <v>0.14</v>
      </c>
      <c r="U231" s="11">
        <v>0.14</v>
      </c>
      <c r="V231" s="13">
        <v>0.0</v>
      </c>
      <c r="W231" s="11">
        <v>0.14</v>
      </c>
      <c r="X231" s="14" t="s">
        <v>517</v>
      </c>
    </row>
    <row r="232">
      <c r="A232" s="7" t="s">
        <v>518</v>
      </c>
      <c r="B232" s="8" t="s">
        <v>393</v>
      </c>
      <c r="C232" s="9" t="s">
        <v>47</v>
      </c>
      <c r="D232" s="7" t="s">
        <v>128</v>
      </c>
      <c r="E232" s="9">
        <v>23.0</v>
      </c>
      <c r="F232" s="9">
        <v>2001.0</v>
      </c>
      <c r="G232" s="10">
        <v>11.0</v>
      </c>
      <c r="H232" s="11">
        <v>2.0</v>
      </c>
      <c r="I232" s="11">
        <v>345.0</v>
      </c>
      <c r="J232" s="11">
        <v>3.8</v>
      </c>
      <c r="K232" s="12">
        <v>0.0</v>
      </c>
      <c r="L232" s="13">
        <v>0.0</v>
      </c>
      <c r="M232" s="13">
        <v>0.0</v>
      </c>
      <c r="N232" s="13">
        <v>0.0</v>
      </c>
      <c r="O232" s="13">
        <v>0.0</v>
      </c>
      <c r="P232" s="13">
        <v>0.0</v>
      </c>
      <c r="Q232" s="11">
        <v>2.0</v>
      </c>
      <c r="R232" s="13">
        <v>0.0</v>
      </c>
      <c r="S232" s="12">
        <v>0.0</v>
      </c>
      <c r="T232" s="13">
        <v>0.0</v>
      </c>
      <c r="U232" s="13">
        <v>0.0</v>
      </c>
      <c r="V232" s="13">
        <v>0.0</v>
      </c>
      <c r="W232" s="13">
        <v>0.0</v>
      </c>
      <c r="X232" s="14" t="s">
        <v>519</v>
      </c>
    </row>
    <row r="233">
      <c r="A233" s="7" t="s">
        <v>520</v>
      </c>
      <c r="B233" s="8" t="s">
        <v>25</v>
      </c>
      <c r="C233" s="9" t="s">
        <v>26</v>
      </c>
      <c r="D233" s="7" t="s">
        <v>44</v>
      </c>
      <c r="E233" s="9">
        <v>17.0</v>
      </c>
      <c r="F233" s="9">
        <v>2006.0</v>
      </c>
      <c r="G233" s="10">
        <v>1.0</v>
      </c>
      <c r="H233" s="13">
        <v>0.0</v>
      </c>
      <c r="I233" s="11">
        <v>26.0</v>
      </c>
      <c r="J233" s="11">
        <v>0.3</v>
      </c>
      <c r="K233" s="12">
        <v>0.0</v>
      </c>
      <c r="L233" s="13">
        <v>0.0</v>
      </c>
      <c r="M233" s="13">
        <v>0.0</v>
      </c>
      <c r="N233" s="13">
        <v>0.0</v>
      </c>
      <c r="O233" s="13">
        <v>0.0</v>
      </c>
      <c r="P233" s="13">
        <v>0.0</v>
      </c>
      <c r="Q233" s="13">
        <v>0.0</v>
      </c>
      <c r="R233" s="13">
        <v>0.0</v>
      </c>
      <c r="S233" s="12">
        <v>0.0</v>
      </c>
      <c r="T233" s="13">
        <v>0.0</v>
      </c>
      <c r="U233" s="13">
        <v>0.0</v>
      </c>
      <c r="V233" s="13">
        <v>0.0</v>
      </c>
      <c r="W233" s="13">
        <v>0.0</v>
      </c>
      <c r="X233" s="14" t="s">
        <v>521</v>
      </c>
    </row>
    <row r="234">
      <c r="A234" s="7" t="s">
        <v>522</v>
      </c>
      <c r="B234" s="8" t="s">
        <v>34</v>
      </c>
      <c r="C234" s="9" t="s">
        <v>77</v>
      </c>
      <c r="D234" s="7" t="s">
        <v>128</v>
      </c>
      <c r="E234" s="9">
        <v>39.0</v>
      </c>
      <c r="F234" s="9">
        <v>1984.0</v>
      </c>
      <c r="G234" s="10">
        <v>1.0</v>
      </c>
      <c r="H234" s="13">
        <v>0.0</v>
      </c>
      <c r="I234" s="11">
        <v>9.0</v>
      </c>
      <c r="J234" s="11">
        <v>0.1</v>
      </c>
      <c r="K234" s="12">
        <v>0.0</v>
      </c>
      <c r="L234" s="13">
        <v>0.0</v>
      </c>
      <c r="M234" s="13">
        <v>0.0</v>
      </c>
      <c r="N234" s="13">
        <v>0.0</v>
      </c>
      <c r="O234" s="13">
        <v>0.0</v>
      </c>
      <c r="P234" s="13">
        <v>0.0</v>
      </c>
      <c r="Q234" s="13">
        <v>0.0</v>
      </c>
      <c r="R234" s="13">
        <v>0.0</v>
      </c>
      <c r="S234" s="12">
        <v>0.0</v>
      </c>
      <c r="T234" s="13">
        <v>0.0</v>
      </c>
      <c r="U234" s="13">
        <v>0.0</v>
      </c>
      <c r="V234" s="13">
        <v>0.0</v>
      </c>
      <c r="W234" s="13">
        <v>0.0</v>
      </c>
      <c r="X234" s="14" t="s">
        <v>523</v>
      </c>
    </row>
    <row r="235">
      <c r="A235" s="7" t="s">
        <v>524</v>
      </c>
      <c r="B235" s="8" t="s">
        <v>25</v>
      </c>
      <c r="C235" s="9" t="s">
        <v>47</v>
      </c>
      <c r="D235" s="7" t="s">
        <v>31</v>
      </c>
      <c r="E235" s="9">
        <v>32.0</v>
      </c>
      <c r="F235" s="9">
        <v>1991.0</v>
      </c>
      <c r="G235" s="10">
        <v>14.0</v>
      </c>
      <c r="H235" s="11">
        <v>6.0</v>
      </c>
      <c r="I235" s="11">
        <v>561.0</v>
      </c>
      <c r="J235" s="11">
        <v>6.2</v>
      </c>
      <c r="K235" s="10">
        <v>1.0</v>
      </c>
      <c r="L235" s="13">
        <v>0.0</v>
      </c>
      <c r="M235" s="11">
        <v>1.0</v>
      </c>
      <c r="N235" s="11">
        <v>1.0</v>
      </c>
      <c r="O235" s="13">
        <v>0.0</v>
      </c>
      <c r="P235" s="13">
        <v>0.0</v>
      </c>
      <c r="Q235" s="11">
        <v>2.0</v>
      </c>
      <c r="R235" s="13">
        <v>0.0</v>
      </c>
      <c r="S235" s="10">
        <v>0.16</v>
      </c>
      <c r="T235" s="13">
        <v>0.0</v>
      </c>
      <c r="U235" s="11">
        <v>0.16</v>
      </c>
      <c r="V235" s="11">
        <v>0.16</v>
      </c>
      <c r="W235" s="11">
        <v>0.16</v>
      </c>
      <c r="X235" s="14" t="s">
        <v>525</v>
      </c>
    </row>
    <row r="236">
      <c r="A236" s="7" t="s">
        <v>526</v>
      </c>
      <c r="B236" s="8" t="s">
        <v>25</v>
      </c>
      <c r="C236" s="9" t="s">
        <v>35</v>
      </c>
      <c r="D236" s="7" t="s">
        <v>44</v>
      </c>
      <c r="E236" s="9">
        <v>29.0</v>
      </c>
      <c r="F236" s="9">
        <v>1994.0</v>
      </c>
      <c r="G236" s="10">
        <v>1.0</v>
      </c>
      <c r="H236" s="11">
        <v>1.0</v>
      </c>
      <c r="I236" s="11">
        <v>33.0</v>
      </c>
      <c r="J236" s="11">
        <v>0.4</v>
      </c>
      <c r="K236" s="12">
        <v>0.0</v>
      </c>
      <c r="L236" s="13">
        <v>0.0</v>
      </c>
      <c r="M236" s="13">
        <v>0.0</v>
      </c>
      <c r="N236" s="13">
        <v>0.0</v>
      </c>
      <c r="O236" s="13">
        <v>0.0</v>
      </c>
      <c r="P236" s="13">
        <v>0.0</v>
      </c>
      <c r="Q236" s="13">
        <v>0.0</v>
      </c>
      <c r="R236" s="13">
        <v>0.0</v>
      </c>
      <c r="S236" s="12">
        <v>0.0</v>
      </c>
      <c r="T236" s="13">
        <v>0.0</v>
      </c>
      <c r="U236" s="13">
        <v>0.0</v>
      </c>
      <c r="V236" s="13">
        <v>0.0</v>
      </c>
      <c r="W236" s="13">
        <v>0.0</v>
      </c>
      <c r="X236" s="14" t="s">
        <v>527</v>
      </c>
    </row>
    <row r="237">
      <c r="A237" s="7" t="s">
        <v>528</v>
      </c>
      <c r="B237" s="8" t="s">
        <v>25</v>
      </c>
      <c r="C237" s="9" t="s">
        <v>35</v>
      </c>
      <c r="D237" s="7" t="s">
        <v>62</v>
      </c>
      <c r="E237" s="9">
        <v>25.0</v>
      </c>
      <c r="F237" s="9">
        <v>1998.0</v>
      </c>
      <c r="G237" s="10">
        <v>28.0</v>
      </c>
      <c r="H237" s="11">
        <v>22.0</v>
      </c>
      <c r="I237" s="15">
        <v>1949.0</v>
      </c>
      <c r="J237" s="11">
        <v>21.7</v>
      </c>
      <c r="K237" s="10">
        <v>2.0</v>
      </c>
      <c r="L237" s="11">
        <v>1.0</v>
      </c>
      <c r="M237" s="11">
        <v>3.0</v>
      </c>
      <c r="N237" s="11">
        <v>2.0</v>
      </c>
      <c r="O237" s="13">
        <v>0.0</v>
      </c>
      <c r="P237" s="13">
        <v>0.0</v>
      </c>
      <c r="Q237" s="11">
        <v>5.0</v>
      </c>
      <c r="R237" s="13">
        <v>0.0</v>
      </c>
      <c r="S237" s="10">
        <v>0.09</v>
      </c>
      <c r="T237" s="11">
        <v>0.05</v>
      </c>
      <c r="U237" s="11">
        <v>0.14</v>
      </c>
      <c r="V237" s="11">
        <v>0.09</v>
      </c>
      <c r="W237" s="11">
        <v>0.14</v>
      </c>
      <c r="X237" s="14" t="s">
        <v>529</v>
      </c>
    </row>
    <row r="238">
      <c r="A238" s="7" t="s">
        <v>530</v>
      </c>
      <c r="B238" s="8" t="s">
        <v>25</v>
      </c>
      <c r="C238" s="9" t="s">
        <v>26</v>
      </c>
      <c r="D238" s="7" t="s">
        <v>80</v>
      </c>
      <c r="E238" s="9">
        <v>31.0</v>
      </c>
      <c r="F238" s="9">
        <v>1992.0</v>
      </c>
      <c r="G238" s="10">
        <v>30.0</v>
      </c>
      <c r="H238" s="11">
        <v>28.0</v>
      </c>
      <c r="I238" s="15">
        <v>2232.0</v>
      </c>
      <c r="J238" s="11">
        <v>24.8</v>
      </c>
      <c r="K238" s="10">
        <v>4.0</v>
      </c>
      <c r="L238" s="11">
        <v>1.0</v>
      </c>
      <c r="M238" s="11">
        <v>5.0</v>
      </c>
      <c r="N238" s="11">
        <v>3.0</v>
      </c>
      <c r="O238" s="11">
        <v>1.0</v>
      </c>
      <c r="P238" s="11">
        <v>1.0</v>
      </c>
      <c r="Q238" s="11">
        <v>8.0</v>
      </c>
      <c r="R238" s="13">
        <v>0.0</v>
      </c>
      <c r="S238" s="10">
        <v>0.16</v>
      </c>
      <c r="T238" s="11">
        <v>0.04</v>
      </c>
      <c r="U238" s="11">
        <v>0.2</v>
      </c>
      <c r="V238" s="11">
        <v>0.12</v>
      </c>
      <c r="W238" s="11">
        <v>0.16</v>
      </c>
      <c r="X238" s="14" t="s">
        <v>531</v>
      </c>
    </row>
    <row r="239">
      <c r="A239" s="7" t="s">
        <v>532</v>
      </c>
      <c r="B239" s="8" t="s">
        <v>25</v>
      </c>
      <c r="C239" s="9" t="s">
        <v>35</v>
      </c>
      <c r="D239" s="7" t="s">
        <v>98</v>
      </c>
      <c r="E239" s="9">
        <v>25.0</v>
      </c>
      <c r="F239" s="9">
        <v>1998.0</v>
      </c>
      <c r="G239" s="10">
        <v>20.0</v>
      </c>
      <c r="H239" s="11">
        <v>14.0</v>
      </c>
      <c r="I239" s="15">
        <v>1269.0</v>
      </c>
      <c r="J239" s="11">
        <v>14.1</v>
      </c>
      <c r="K239" s="10">
        <v>1.0</v>
      </c>
      <c r="L239" s="11">
        <v>1.0</v>
      </c>
      <c r="M239" s="11">
        <v>2.0</v>
      </c>
      <c r="N239" s="11">
        <v>1.0</v>
      </c>
      <c r="O239" s="13">
        <v>0.0</v>
      </c>
      <c r="P239" s="13">
        <v>0.0</v>
      </c>
      <c r="Q239" s="11">
        <v>4.0</v>
      </c>
      <c r="R239" s="13">
        <v>0.0</v>
      </c>
      <c r="S239" s="10">
        <v>0.07</v>
      </c>
      <c r="T239" s="11">
        <v>0.07</v>
      </c>
      <c r="U239" s="11">
        <v>0.14</v>
      </c>
      <c r="V239" s="11">
        <v>0.07</v>
      </c>
      <c r="W239" s="11">
        <v>0.14</v>
      </c>
      <c r="X239" s="14" t="s">
        <v>533</v>
      </c>
    </row>
    <row r="240">
      <c r="A240" s="7" t="s">
        <v>534</v>
      </c>
      <c r="B240" s="8" t="s">
        <v>25</v>
      </c>
      <c r="C240" s="9" t="s">
        <v>47</v>
      </c>
      <c r="D240" s="7" t="s">
        <v>80</v>
      </c>
      <c r="E240" s="9">
        <v>20.0</v>
      </c>
      <c r="F240" s="9">
        <v>2003.0</v>
      </c>
      <c r="G240" s="10">
        <v>19.0</v>
      </c>
      <c r="H240" s="11">
        <v>7.0</v>
      </c>
      <c r="I240" s="11">
        <v>623.0</v>
      </c>
      <c r="J240" s="11">
        <v>6.9</v>
      </c>
      <c r="K240" s="12">
        <v>0.0</v>
      </c>
      <c r="L240" s="11">
        <v>1.0</v>
      </c>
      <c r="M240" s="11">
        <v>1.0</v>
      </c>
      <c r="N240" s="13">
        <v>0.0</v>
      </c>
      <c r="O240" s="13">
        <v>0.0</v>
      </c>
      <c r="P240" s="13">
        <v>0.0</v>
      </c>
      <c r="Q240" s="11">
        <v>1.0</v>
      </c>
      <c r="R240" s="13">
        <v>0.0</v>
      </c>
      <c r="S240" s="12">
        <v>0.0</v>
      </c>
      <c r="T240" s="11">
        <v>0.14</v>
      </c>
      <c r="U240" s="11">
        <v>0.14</v>
      </c>
      <c r="V240" s="13">
        <v>0.0</v>
      </c>
      <c r="W240" s="11">
        <v>0.14</v>
      </c>
      <c r="X240" s="14" t="s">
        <v>535</v>
      </c>
    </row>
    <row r="241">
      <c r="A241" s="7" t="s">
        <v>536</v>
      </c>
      <c r="B241" s="8" t="s">
        <v>34</v>
      </c>
      <c r="C241" s="9" t="s">
        <v>87</v>
      </c>
      <c r="D241" s="7" t="s">
        <v>27</v>
      </c>
      <c r="E241" s="9">
        <v>24.0</v>
      </c>
      <c r="F241" s="9">
        <v>1999.0</v>
      </c>
      <c r="G241" s="10">
        <v>19.0</v>
      </c>
      <c r="H241" s="11">
        <v>5.0</v>
      </c>
      <c r="I241" s="11">
        <v>564.0</v>
      </c>
      <c r="J241" s="11">
        <v>6.3</v>
      </c>
      <c r="K241" s="10">
        <v>1.0</v>
      </c>
      <c r="L241" s="11">
        <v>1.0</v>
      </c>
      <c r="M241" s="11">
        <v>2.0</v>
      </c>
      <c r="N241" s="11">
        <v>1.0</v>
      </c>
      <c r="O241" s="13">
        <v>0.0</v>
      </c>
      <c r="P241" s="13">
        <v>0.0</v>
      </c>
      <c r="Q241" s="11">
        <v>3.0</v>
      </c>
      <c r="R241" s="13">
        <v>0.0</v>
      </c>
      <c r="S241" s="10">
        <v>0.16</v>
      </c>
      <c r="T241" s="11">
        <v>0.16</v>
      </c>
      <c r="U241" s="11">
        <v>0.32</v>
      </c>
      <c r="V241" s="11">
        <v>0.16</v>
      </c>
      <c r="W241" s="11">
        <v>0.32</v>
      </c>
      <c r="X241" s="14" t="s">
        <v>537</v>
      </c>
    </row>
    <row r="242">
      <c r="A242" s="7" t="s">
        <v>538</v>
      </c>
      <c r="B242" s="8" t="s">
        <v>25</v>
      </c>
      <c r="C242" s="9" t="s">
        <v>26</v>
      </c>
      <c r="D242" s="7" t="s">
        <v>98</v>
      </c>
      <c r="E242" s="9">
        <v>17.0</v>
      </c>
      <c r="F242" s="9">
        <v>2006.0</v>
      </c>
      <c r="G242" s="10">
        <v>7.0</v>
      </c>
      <c r="H242" s="13">
        <v>0.0</v>
      </c>
      <c r="I242" s="11">
        <v>90.0</v>
      </c>
      <c r="J242" s="11">
        <v>1.0</v>
      </c>
      <c r="K242" s="12">
        <v>0.0</v>
      </c>
      <c r="L242" s="13">
        <v>0.0</v>
      </c>
      <c r="M242" s="13">
        <v>0.0</v>
      </c>
      <c r="N242" s="13">
        <v>0.0</v>
      </c>
      <c r="O242" s="13">
        <v>0.0</v>
      </c>
      <c r="P242" s="13">
        <v>0.0</v>
      </c>
      <c r="Q242" s="13">
        <v>0.0</v>
      </c>
      <c r="R242" s="13">
        <v>0.0</v>
      </c>
      <c r="S242" s="12">
        <v>0.0</v>
      </c>
      <c r="T242" s="13">
        <v>0.0</v>
      </c>
      <c r="U242" s="13">
        <v>0.0</v>
      </c>
      <c r="V242" s="13">
        <v>0.0</v>
      </c>
      <c r="W242" s="13">
        <v>0.0</v>
      </c>
      <c r="X242" s="14" t="s">
        <v>539</v>
      </c>
    </row>
    <row r="243">
      <c r="A243" s="7" t="s">
        <v>540</v>
      </c>
      <c r="B243" s="8" t="s">
        <v>25</v>
      </c>
      <c r="C243" s="9" t="s">
        <v>83</v>
      </c>
      <c r="D243" s="7" t="s">
        <v>52</v>
      </c>
      <c r="E243" s="9">
        <v>21.0</v>
      </c>
      <c r="F243" s="9">
        <v>2002.0</v>
      </c>
      <c r="G243" s="10">
        <v>30.0</v>
      </c>
      <c r="H243" s="11">
        <v>25.0</v>
      </c>
      <c r="I243" s="15">
        <v>2163.0</v>
      </c>
      <c r="J243" s="11">
        <v>24.0</v>
      </c>
      <c r="K243" s="10">
        <v>2.0</v>
      </c>
      <c r="L243" s="13">
        <v>0.0</v>
      </c>
      <c r="M243" s="11">
        <v>2.0</v>
      </c>
      <c r="N243" s="11">
        <v>2.0</v>
      </c>
      <c r="O243" s="13">
        <v>0.0</v>
      </c>
      <c r="P243" s="13">
        <v>0.0</v>
      </c>
      <c r="Q243" s="11">
        <v>2.0</v>
      </c>
      <c r="R243" s="13">
        <v>0.0</v>
      </c>
      <c r="S243" s="10">
        <v>0.08</v>
      </c>
      <c r="T243" s="13">
        <v>0.0</v>
      </c>
      <c r="U243" s="11">
        <v>0.08</v>
      </c>
      <c r="V243" s="11">
        <v>0.08</v>
      </c>
      <c r="W243" s="11">
        <v>0.08</v>
      </c>
      <c r="X243" s="14" t="s">
        <v>541</v>
      </c>
    </row>
    <row r="244">
      <c r="A244" s="7" t="s">
        <v>542</v>
      </c>
      <c r="B244" s="8" t="s">
        <v>25</v>
      </c>
      <c r="C244" s="9" t="s">
        <v>55</v>
      </c>
      <c r="D244" s="7" t="s">
        <v>31</v>
      </c>
      <c r="E244" s="9">
        <v>34.0</v>
      </c>
      <c r="F244" s="9">
        <v>1989.0</v>
      </c>
      <c r="G244" s="10">
        <v>8.0</v>
      </c>
      <c r="H244" s="11">
        <v>6.0</v>
      </c>
      <c r="I244" s="11">
        <v>536.0</v>
      </c>
      <c r="J244" s="11">
        <v>6.0</v>
      </c>
      <c r="K244" s="10">
        <v>1.0</v>
      </c>
      <c r="L244" s="13">
        <v>0.0</v>
      </c>
      <c r="M244" s="11">
        <v>1.0</v>
      </c>
      <c r="N244" s="11">
        <v>1.0</v>
      </c>
      <c r="O244" s="13">
        <v>0.0</v>
      </c>
      <c r="P244" s="13">
        <v>0.0</v>
      </c>
      <c r="Q244" s="11">
        <v>3.0</v>
      </c>
      <c r="R244" s="13">
        <v>0.0</v>
      </c>
      <c r="S244" s="10">
        <v>0.17</v>
      </c>
      <c r="T244" s="13">
        <v>0.0</v>
      </c>
      <c r="U244" s="11">
        <v>0.17</v>
      </c>
      <c r="V244" s="11">
        <v>0.17</v>
      </c>
      <c r="W244" s="11">
        <v>0.17</v>
      </c>
      <c r="X244" s="14" t="s">
        <v>543</v>
      </c>
    </row>
    <row r="245">
      <c r="A245" s="7" t="s">
        <v>544</v>
      </c>
      <c r="B245" s="8" t="s">
        <v>70</v>
      </c>
      <c r="C245" s="9" t="s">
        <v>77</v>
      </c>
      <c r="D245" s="7" t="s">
        <v>80</v>
      </c>
      <c r="E245" s="9">
        <v>23.0</v>
      </c>
      <c r="F245" s="9">
        <v>2000.0</v>
      </c>
      <c r="G245" s="10">
        <v>20.0</v>
      </c>
      <c r="H245" s="11">
        <v>19.0</v>
      </c>
      <c r="I245" s="15">
        <v>1755.0</v>
      </c>
      <c r="J245" s="11">
        <v>19.5</v>
      </c>
      <c r="K245" s="12">
        <v>0.0</v>
      </c>
      <c r="L245" s="13">
        <v>0.0</v>
      </c>
      <c r="M245" s="13">
        <v>0.0</v>
      </c>
      <c r="N245" s="13">
        <v>0.0</v>
      </c>
      <c r="O245" s="13">
        <v>0.0</v>
      </c>
      <c r="P245" s="13">
        <v>0.0</v>
      </c>
      <c r="Q245" s="11">
        <v>1.0</v>
      </c>
      <c r="R245" s="13">
        <v>0.0</v>
      </c>
      <c r="S245" s="12">
        <v>0.0</v>
      </c>
      <c r="T245" s="13">
        <v>0.0</v>
      </c>
      <c r="U245" s="13">
        <v>0.0</v>
      </c>
      <c r="V245" s="13">
        <v>0.0</v>
      </c>
      <c r="W245" s="13">
        <v>0.0</v>
      </c>
      <c r="X245" s="14" t="s">
        <v>545</v>
      </c>
    </row>
    <row r="246">
      <c r="A246" s="7" t="s">
        <v>546</v>
      </c>
      <c r="B246" s="8" t="s">
        <v>25</v>
      </c>
      <c r="C246" s="9" t="s">
        <v>26</v>
      </c>
      <c r="D246" s="7" t="s">
        <v>44</v>
      </c>
      <c r="E246" s="9">
        <v>22.0</v>
      </c>
      <c r="F246" s="9">
        <v>2001.0</v>
      </c>
      <c r="G246" s="10">
        <v>13.0</v>
      </c>
      <c r="H246" s="11">
        <v>12.0</v>
      </c>
      <c r="I246" s="15">
        <v>1048.0</v>
      </c>
      <c r="J246" s="11">
        <v>11.6</v>
      </c>
      <c r="K246" s="10">
        <v>3.0</v>
      </c>
      <c r="L246" s="13">
        <v>0.0</v>
      </c>
      <c r="M246" s="11">
        <v>3.0</v>
      </c>
      <c r="N246" s="11">
        <v>3.0</v>
      </c>
      <c r="O246" s="13">
        <v>0.0</v>
      </c>
      <c r="P246" s="13">
        <v>0.0</v>
      </c>
      <c r="Q246" s="11">
        <v>4.0</v>
      </c>
      <c r="R246" s="11">
        <v>1.0</v>
      </c>
      <c r="S246" s="10">
        <v>0.26</v>
      </c>
      <c r="T246" s="13">
        <v>0.0</v>
      </c>
      <c r="U246" s="11">
        <v>0.26</v>
      </c>
      <c r="V246" s="11">
        <v>0.26</v>
      </c>
      <c r="W246" s="11">
        <v>0.26</v>
      </c>
      <c r="X246" s="14" t="s">
        <v>547</v>
      </c>
    </row>
    <row r="247">
      <c r="A247" s="1" t="s">
        <v>548</v>
      </c>
      <c r="B247" s="8" t="s">
        <v>34</v>
      </c>
      <c r="C247" s="9" t="s">
        <v>26</v>
      </c>
      <c r="D247" s="7" t="s">
        <v>98</v>
      </c>
      <c r="E247" s="9">
        <v>22.0</v>
      </c>
      <c r="F247" s="9">
        <v>2001.0</v>
      </c>
      <c r="G247" s="10">
        <v>32.0</v>
      </c>
      <c r="H247" s="11">
        <v>26.0</v>
      </c>
      <c r="I247" s="15">
        <v>2275.0</v>
      </c>
      <c r="J247" s="11">
        <v>25.3</v>
      </c>
      <c r="K247" s="10">
        <v>1.0</v>
      </c>
      <c r="L247" s="11">
        <v>1.0</v>
      </c>
      <c r="M247" s="11">
        <v>2.0</v>
      </c>
      <c r="N247" s="11">
        <v>1.0</v>
      </c>
      <c r="O247" s="13">
        <v>0.0</v>
      </c>
      <c r="P247" s="13">
        <v>0.0</v>
      </c>
      <c r="Q247" s="11">
        <v>6.0</v>
      </c>
      <c r="R247" s="13">
        <v>0.0</v>
      </c>
      <c r="S247" s="10">
        <v>0.04</v>
      </c>
      <c r="T247" s="11">
        <v>0.04</v>
      </c>
      <c r="U247" s="11">
        <v>0.08</v>
      </c>
      <c r="V247" s="11">
        <v>0.04</v>
      </c>
      <c r="W247" s="11">
        <v>0.08</v>
      </c>
      <c r="X247" s="14" t="s">
        <v>549</v>
      </c>
    </row>
    <row r="248">
      <c r="A248" s="7" t="s">
        <v>550</v>
      </c>
      <c r="B248" s="8" t="s">
        <v>25</v>
      </c>
      <c r="C248" s="9" t="s">
        <v>55</v>
      </c>
      <c r="D248" s="7" t="s">
        <v>27</v>
      </c>
      <c r="E248" s="9">
        <v>28.0</v>
      </c>
      <c r="F248" s="9">
        <v>1995.0</v>
      </c>
      <c r="G248" s="10">
        <v>22.0</v>
      </c>
      <c r="H248" s="11">
        <v>18.0</v>
      </c>
      <c r="I248" s="15">
        <v>1406.0</v>
      </c>
      <c r="J248" s="11">
        <v>15.6</v>
      </c>
      <c r="K248" s="10">
        <v>4.0</v>
      </c>
      <c r="L248" s="13">
        <v>0.0</v>
      </c>
      <c r="M248" s="11">
        <v>4.0</v>
      </c>
      <c r="N248" s="11">
        <v>4.0</v>
      </c>
      <c r="O248" s="13">
        <v>0.0</v>
      </c>
      <c r="P248" s="13">
        <v>0.0</v>
      </c>
      <c r="Q248" s="11">
        <v>2.0</v>
      </c>
      <c r="R248" s="13">
        <v>0.0</v>
      </c>
      <c r="S248" s="10">
        <v>0.26</v>
      </c>
      <c r="T248" s="13">
        <v>0.0</v>
      </c>
      <c r="U248" s="11">
        <v>0.26</v>
      </c>
      <c r="V248" s="11">
        <v>0.26</v>
      </c>
      <c r="W248" s="11">
        <v>0.26</v>
      </c>
      <c r="X248" s="14" t="s">
        <v>551</v>
      </c>
    </row>
    <row r="249">
      <c r="A249" s="7" t="s">
        <v>552</v>
      </c>
      <c r="B249" s="8" t="s">
        <v>25</v>
      </c>
      <c r="C249" s="9" t="s">
        <v>47</v>
      </c>
      <c r="D249" s="7" t="s">
        <v>36</v>
      </c>
      <c r="E249" s="9">
        <v>32.0</v>
      </c>
      <c r="F249" s="9">
        <v>1991.0</v>
      </c>
      <c r="G249" s="10">
        <v>33.0</v>
      </c>
      <c r="H249" s="11">
        <v>23.0</v>
      </c>
      <c r="I249" s="15">
        <v>2092.0</v>
      </c>
      <c r="J249" s="11">
        <v>23.2</v>
      </c>
      <c r="K249" s="12">
        <v>0.0</v>
      </c>
      <c r="L249" s="13">
        <v>0.0</v>
      </c>
      <c r="M249" s="13">
        <v>0.0</v>
      </c>
      <c r="N249" s="13">
        <v>0.0</v>
      </c>
      <c r="O249" s="13">
        <v>0.0</v>
      </c>
      <c r="P249" s="11">
        <v>1.0</v>
      </c>
      <c r="Q249" s="11">
        <v>8.0</v>
      </c>
      <c r="R249" s="13">
        <v>0.0</v>
      </c>
      <c r="S249" s="12">
        <v>0.0</v>
      </c>
      <c r="T249" s="13">
        <v>0.0</v>
      </c>
      <c r="U249" s="13">
        <v>0.0</v>
      </c>
      <c r="V249" s="13">
        <v>0.0</v>
      </c>
      <c r="W249" s="13">
        <v>0.0</v>
      </c>
      <c r="X249" s="14" t="s">
        <v>553</v>
      </c>
    </row>
    <row r="250">
      <c r="A250" s="7" t="s">
        <v>554</v>
      </c>
      <c r="B250" s="8" t="s">
        <v>25</v>
      </c>
      <c r="C250" s="9" t="s">
        <v>35</v>
      </c>
      <c r="D250" s="7" t="s">
        <v>98</v>
      </c>
      <c r="E250" s="9">
        <v>23.0</v>
      </c>
      <c r="F250" s="9">
        <v>2000.0</v>
      </c>
      <c r="G250" s="10">
        <v>24.0</v>
      </c>
      <c r="H250" s="11">
        <v>17.0</v>
      </c>
      <c r="I250" s="15">
        <v>1597.0</v>
      </c>
      <c r="J250" s="11">
        <v>17.7</v>
      </c>
      <c r="K250" s="12">
        <v>0.0</v>
      </c>
      <c r="L250" s="13">
        <v>0.0</v>
      </c>
      <c r="M250" s="13">
        <v>0.0</v>
      </c>
      <c r="N250" s="13">
        <v>0.0</v>
      </c>
      <c r="O250" s="13">
        <v>0.0</v>
      </c>
      <c r="P250" s="13">
        <v>0.0</v>
      </c>
      <c r="Q250" s="11">
        <v>7.0</v>
      </c>
      <c r="R250" s="11">
        <v>1.0</v>
      </c>
      <c r="S250" s="12">
        <v>0.0</v>
      </c>
      <c r="T250" s="13">
        <v>0.0</v>
      </c>
      <c r="U250" s="13">
        <v>0.0</v>
      </c>
      <c r="V250" s="13">
        <v>0.0</v>
      </c>
      <c r="W250" s="13">
        <v>0.0</v>
      </c>
      <c r="X250" s="14" t="s">
        <v>555</v>
      </c>
    </row>
    <row r="251">
      <c r="A251" s="7" t="s">
        <v>556</v>
      </c>
      <c r="B251" s="8" t="s">
        <v>97</v>
      </c>
      <c r="C251" s="9" t="s">
        <v>35</v>
      </c>
      <c r="D251" s="7" t="s">
        <v>27</v>
      </c>
      <c r="E251" s="9">
        <v>29.0</v>
      </c>
      <c r="F251" s="9">
        <v>1994.0</v>
      </c>
      <c r="G251" s="10">
        <v>16.0</v>
      </c>
      <c r="H251" s="11">
        <v>12.0</v>
      </c>
      <c r="I251" s="11">
        <v>979.0</v>
      </c>
      <c r="J251" s="11">
        <v>10.9</v>
      </c>
      <c r="K251" s="12">
        <v>0.0</v>
      </c>
      <c r="L251" s="13">
        <v>0.0</v>
      </c>
      <c r="M251" s="13">
        <v>0.0</v>
      </c>
      <c r="N251" s="13">
        <v>0.0</v>
      </c>
      <c r="O251" s="13">
        <v>0.0</v>
      </c>
      <c r="P251" s="13">
        <v>0.0</v>
      </c>
      <c r="Q251" s="11">
        <v>6.0</v>
      </c>
      <c r="R251" s="13">
        <v>0.0</v>
      </c>
      <c r="S251" s="12">
        <v>0.0</v>
      </c>
      <c r="T251" s="13">
        <v>0.0</v>
      </c>
      <c r="U251" s="13">
        <v>0.0</v>
      </c>
      <c r="V251" s="13">
        <v>0.0</v>
      </c>
      <c r="W251" s="13">
        <v>0.0</v>
      </c>
      <c r="X251" s="14" t="s">
        <v>557</v>
      </c>
    </row>
    <row r="252">
      <c r="A252" s="7" t="s">
        <v>558</v>
      </c>
      <c r="B252" s="8" t="s">
        <v>25</v>
      </c>
      <c r="C252" s="9" t="s">
        <v>47</v>
      </c>
      <c r="D252" s="7" t="s">
        <v>80</v>
      </c>
      <c r="E252" s="9">
        <v>20.0</v>
      </c>
      <c r="F252" s="9">
        <v>2003.0</v>
      </c>
      <c r="G252" s="10">
        <v>33.0</v>
      </c>
      <c r="H252" s="11">
        <v>14.0</v>
      </c>
      <c r="I252" s="15">
        <v>1460.0</v>
      </c>
      <c r="J252" s="11">
        <v>16.2</v>
      </c>
      <c r="K252" s="10">
        <v>3.0</v>
      </c>
      <c r="L252" s="11">
        <v>2.0</v>
      </c>
      <c r="M252" s="11">
        <v>5.0</v>
      </c>
      <c r="N252" s="11">
        <v>3.0</v>
      </c>
      <c r="O252" s="13">
        <v>0.0</v>
      </c>
      <c r="P252" s="13">
        <v>0.0</v>
      </c>
      <c r="Q252" s="11">
        <v>1.0</v>
      </c>
      <c r="R252" s="13">
        <v>0.0</v>
      </c>
      <c r="S252" s="10">
        <v>0.18</v>
      </c>
      <c r="T252" s="11">
        <v>0.12</v>
      </c>
      <c r="U252" s="11">
        <v>0.31</v>
      </c>
      <c r="V252" s="11">
        <v>0.18</v>
      </c>
      <c r="W252" s="11">
        <v>0.31</v>
      </c>
      <c r="X252" s="14" t="s">
        <v>559</v>
      </c>
    </row>
    <row r="253">
      <c r="A253" s="7" t="s">
        <v>560</v>
      </c>
      <c r="B253" s="8" t="s">
        <v>34</v>
      </c>
      <c r="C253" s="9" t="s">
        <v>26</v>
      </c>
      <c r="D253" s="7" t="s">
        <v>52</v>
      </c>
      <c r="E253" s="9">
        <v>24.0</v>
      </c>
      <c r="F253" s="9">
        <v>1999.0</v>
      </c>
      <c r="G253" s="10">
        <v>21.0</v>
      </c>
      <c r="H253" s="11">
        <v>15.0</v>
      </c>
      <c r="I253" s="15">
        <v>1192.0</v>
      </c>
      <c r="J253" s="11">
        <v>13.2</v>
      </c>
      <c r="K253" s="10">
        <v>1.0</v>
      </c>
      <c r="L253" s="13">
        <v>0.0</v>
      </c>
      <c r="M253" s="11">
        <v>1.0</v>
      </c>
      <c r="N253" s="11">
        <v>1.0</v>
      </c>
      <c r="O253" s="13">
        <v>0.0</v>
      </c>
      <c r="P253" s="13">
        <v>0.0</v>
      </c>
      <c r="Q253" s="11">
        <v>4.0</v>
      </c>
      <c r="R253" s="13">
        <v>0.0</v>
      </c>
      <c r="S253" s="10">
        <v>0.08</v>
      </c>
      <c r="T253" s="13">
        <v>0.0</v>
      </c>
      <c r="U253" s="11">
        <v>0.08</v>
      </c>
      <c r="V253" s="11">
        <v>0.08</v>
      </c>
      <c r="W253" s="11">
        <v>0.08</v>
      </c>
      <c r="X253" s="14" t="s">
        <v>561</v>
      </c>
    </row>
    <row r="254">
      <c r="A254" s="7" t="s">
        <v>562</v>
      </c>
      <c r="B254" s="8" t="s">
        <v>34</v>
      </c>
      <c r="C254" s="9" t="s">
        <v>55</v>
      </c>
      <c r="D254" s="7" t="s">
        <v>98</v>
      </c>
      <c r="E254" s="9">
        <v>21.0</v>
      </c>
      <c r="F254" s="9">
        <v>2002.0</v>
      </c>
      <c r="G254" s="10">
        <v>8.0</v>
      </c>
      <c r="H254" s="11">
        <v>3.0</v>
      </c>
      <c r="I254" s="11">
        <v>285.0</v>
      </c>
      <c r="J254" s="11">
        <v>3.2</v>
      </c>
      <c r="K254" s="10">
        <v>1.0</v>
      </c>
      <c r="L254" s="13">
        <v>0.0</v>
      </c>
      <c r="M254" s="11">
        <v>1.0</v>
      </c>
      <c r="N254" s="11">
        <v>1.0</v>
      </c>
      <c r="O254" s="13">
        <v>0.0</v>
      </c>
      <c r="P254" s="13">
        <v>0.0</v>
      </c>
      <c r="Q254" s="13">
        <v>0.0</v>
      </c>
      <c r="R254" s="13">
        <v>0.0</v>
      </c>
      <c r="S254" s="10">
        <v>0.32</v>
      </c>
      <c r="T254" s="13">
        <v>0.0</v>
      </c>
      <c r="U254" s="11">
        <v>0.32</v>
      </c>
      <c r="V254" s="11">
        <v>0.32</v>
      </c>
      <c r="W254" s="11">
        <v>0.32</v>
      </c>
      <c r="X254" s="14" t="s">
        <v>563</v>
      </c>
    </row>
    <row r="255">
      <c r="A255" s="7" t="s">
        <v>564</v>
      </c>
      <c r="B255" s="8" t="s">
        <v>34</v>
      </c>
      <c r="C255" s="9" t="s">
        <v>35</v>
      </c>
      <c r="D255" s="7" t="s">
        <v>58</v>
      </c>
      <c r="E255" s="9">
        <v>25.0</v>
      </c>
      <c r="F255" s="9">
        <v>1998.0</v>
      </c>
      <c r="G255" s="10">
        <v>4.0</v>
      </c>
      <c r="H255" s="11">
        <v>2.0</v>
      </c>
      <c r="I255" s="11">
        <v>171.0</v>
      </c>
      <c r="J255" s="11">
        <v>1.9</v>
      </c>
      <c r="K255" s="12">
        <v>0.0</v>
      </c>
      <c r="L255" s="13">
        <v>0.0</v>
      </c>
      <c r="M255" s="13">
        <v>0.0</v>
      </c>
      <c r="N255" s="13">
        <v>0.0</v>
      </c>
      <c r="O255" s="13">
        <v>0.0</v>
      </c>
      <c r="P255" s="13">
        <v>0.0</v>
      </c>
      <c r="Q255" s="13">
        <v>0.0</v>
      </c>
      <c r="R255" s="13">
        <v>0.0</v>
      </c>
      <c r="S255" s="12">
        <v>0.0</v>
      </c>
      <c r="T255" s="13">
        <v>0.0</v>
      </c>
      <c r="U255" s="13">
        <v>0.0</v>
      </c>
      <c r="V255" s="13">
        <v>0.0</v>
      </c>
      <c r="W255" s="13">
        <v>0.0</v>
      </c>
      <c r="X255" s="14" t="s">
        <v>565</v>
      </c>
    </row>
    <row r="256">
      <c r="A256" s="7" t="s">
        <v>566</v>
      </c>
      <c r="B256" s="8" t="s">
        <v>567</v>
      </c>
      <c r="C256" s="9" t="s">
        <v>47</v>
      </c>
      <c r="D256" s="7" t="s">
        <v>80</v>
      </c>
      <c r="E256" s="9">
        <v>21.0</v>
      </c>
      <c r="F256" s="9">
        <v>2002.0</v>
      </c>
      <c r="G256" s="10">
        <v>18.0</v>
      </c>
      <c r="H256" s="11">
        <v>6.0</v>
      </c>
      <c r="I256" s="11">
        <v>678.0</v>
      </c>
      <c r="J256" s="11">
        <v>7.5</v>
      </c>
      <c r="K256" s="12">
        <v>0.0</v>
      </c>
      <c r="L256" s="11">
        <v>1.0</v>
      </c>
      <c r="M256" s="11">
        <v>1.0</v>
      </c>
      <c r="N256" s="13">
        <v>0.0</v>
      </c>
      <c r="O256" s="13">
        <v>0.0</v>
      </c>
      <c r="P256" s="13">
        <v>0.0</v>
      </c>
      <c r="Q256" s="11">
        <v>4.0</v>
      </c>
      <c r="R256" s="13">
        <v>0.0</v>
      </c>
      <c r="S256" s="12">
        <v>0.0</v>
      </c>
      <c r="T256" s="11">
        <v>0.13</v>
      </c>
      <c r="U256" s="11">
        <v>0.13</v>
      </c>
      <c r="V256" s="13">
        <v>0.0</v>
      </c>
      <c r="W256" s="11">
        <v>0.13</v>
      </c>
      <c r="X256" s="14" t="s">
        <v>568</v>
      </c>
    </row>
    <row r="257">
      <c r="A257" s="7" t="s">
        <v>569</v>
      </c>
      <c r="B257" s="8" t="s">
        <v>34</v>
      </c>
      <c r="C257" s="9" t="s">
        <v>77</v>
      </c>
      <c r="D257" s="7" t="s">
        <v>98</v>
      </c>
      <c r="E257" s="9">
        <v>26.0</v>
      </c>
      <c r="F257" s="9">
        <v>1997.0</v>
      </c>
      <c r="G257" s="10">
        <v>30.0</v>
      </c>
      <c r="H257" s="11">
        <v>30.0</v>
      </c>
      <c r="I257" s="15">
        <v>2700.0</v>
      </c>
      <c r="J257" s="11">
        <v>30.0</v>
      </c>
      <c r="K257" s="12">
        <v>0.0</v>
      </c>
      <c r="L257" s="11">
        <v>1.0</v>
      </c>
      <c r="M257" s="11">
        <v>1.0</v>
      </c>
      <c r="N257" s="13">
        <v>0.0</v>
      </c>
      <c r="O257" s="13">
        <v>0.0</v>
      </c>
      <c r="P257" s="13">
        <v>0.0</v>
      </c>
      <c r="Q257" s="13">
        <v>0.0</v>
      </c>
      <c r="R257" s="13">
        <v>0.0</v>
      </c>
      <c r="S257" s="12">
        <v>0.0</v>
      </c>
      <c r="T257" s="11">
        <v>0.03</v>
      </c>
      <c r="U257" s="11">
        <v>0.03</v>
      </c>
      <c r="V257" s="13">
        <v>0.0</v>
      </c>
      <c r="W257" s="11">
        <v>0.03</v>
      </c>
      <c r="X257" s="14" t="s">
        <v>570</v>
      </c>
    </row>
    <row r="258">
      <c r="A258" s="7" t="s">
        <v>571</v>
      </c>
      <c r="B258" s="8" t="s">
        <v>25</v>
      </c>
      <c r="C258" s="9" t="s">
        <v>35</v>
      </c>
      <c r="D258" s="7" t="s">
        <v>52</v>
      </c>
      <c r="E258" s="9">
        <v>25.0</v>
      </c>
      <c r="F258" s="9">
        <v>1998.0</v>
      </c>
      <c r="G258" s="10">
        <v>10.0</v>
      </c>
      <c r="H258" s="11">
        <v>4.0</v>
      </c>
      <c r="I258" s="11">
        <v>309.0</v>
      </c>
      <c r="J258" s="11">
        <v>3.4</v>
      </c>
      <c r="K258" s="12">
        <v>0.0</v>
      </c>
      <c r="L258" s="13">
        <v>0.0</v>
      </c>
      <c r="M258" s="13">
        <v>0.0</v>
      </c>
      <c r="N258" s="13">
        <v>0.0</v>
      </c>
      <c r="O258" s="13">
        <v>0.0</v>
      </c>
      <c r="P258" s="13">
        <v>0.0</v>
      </c>
      <c r="Q258" s="11">
        <v>3.0</v>
      </c>
      <c r="R258" s="11">
        <v>1.0</v>
      </c>
      <c r="S258" s="12">
        <v>0.0</v>
      </c>
      <c r="T258" s="13">
        <v>0.0</v>
      </c>
      <c r="U258" s="13">
        <v>0.0</v>
      </c>
      <c r="V258" s="13">
        <v>0.0</v>
      </c>
      <c r="W258" s="13">
        <v>0.0</v>
      </c>
      <c r="X258" s="14" t="s">
        <v>572</v>
      </c>
    </row>
    <row r="259">
      <c r="A259" s="7" t="s">
        <v>573</v>
      </c>
      <c r="B259" s="8" t="s">
        <v>97</v>
      </c>
      <c r="C259" s="9" t="s">
        <v>26</v>
      </c>
      <c r="D259" s="7" t="s">
        <v>98</v>
      </c>
      <c r="E259" s="9">
        <v>18.0</v>
      </c>
      <c r="F259" s="9">
        <v>2005.0</v>
      </c>
      <c r="G259" s="10">
        <v>9.0</v>
      </c>
      <c r="H259" s="11">
        <v>4.0</v>
      </c>
      <c r="I259" s="11">
        <v>407.0</v>
      </c>
      <c r="J259" s="11">
        <v>4.5</v>
      </c>
      <c r="K259" s="10">
        <v>2.0</v>
      </c>
      <c r="L259" s="13">
        <v>0.0</v>
      </c>
      <c r="M259" s="11">
        <v>2.0</v>
      </c>
      <c r="N259" s="11">
        <v>2.0</v>
      </c>
      <c r="O259" s="13">
        <v>0.0</v>
      </c>
      <c r="P259" s="13">
        <v>0.0</v>
      </c>
      <c r="Q259" s="11">
        <v>6.0</v>
      </c>
      <c r="R259" s="13">
        <v>0.0</v>
      </c>
      <c r="S259" s="10">
        <v>0.44</v>
      </c>
      <c r="T259" s="13">
        <v>0.0</v>
      </c>
      <c r="U259" s="11">
        <v>0.44</v>
      </c>
      <c r="V259" s="11">
        <v>0.44</v>
      </c>
      <c r="W259" s="11">
        <v>0.44</v>
      </c>
      <c r="X259" s="14" t="s">
        <v>574</v>
      </c>
    </row>
    <row r="260">
      <c r="A260" s="7" t="s">
        <v>575</v>
      </c>
      <c r="B260" s="8" t="s">
        <v>70</v>
      </c>
      <c r="C260" s="9" t="s">
        <v>26</v>
      </c>
      <c r="D260" s="7" t="s">
        <v>80</v>
      </c>
      <c r="E260" s="9">
        <v>22.0</v>
      </c>
      <c r="F260" s="9">
        <v>2001.0</v>
      </c>
      <c r="G260" s="10">
        <v>14.0</v>
      </c>
      <c r="H260" s="11">
        <v>14.0</v>
      </c>
      <c r="I260" s="15">
        <v>1235.0</v>
      </c>
      <c r="J260" s="11">
        <v>13.7</v>
      </c>
      <c r="K260" s="10">
        <v>1.0</v>
      </c>
      <c r="L260" s="13">
        <v>0.0</v>
      </c>
      <c r="M260" s="11">
        <v>1.0</v>
      </c>
      <c r="N260" s="11">
        <v>1.0</v>
      </c>
      <c r="O260" s="13">
        <v>0.0</v>
      </c>
      <c r="P260" s="13">
        <v>0.0</v>
      </c>
      <c r="Q260" s="11">
        <v>1.0</v>
      </c>
      <c r="R260" s="13">
        <v>0.0</v>
      </c>
      <c r="S260" s="10">
        <v>0.07</v>
      </c>
      <c r="T260" s="13">
        <v>0.0</v>
      </c>
      <c r="U260" s="11">
        <v>0.07</v>
      </c>
      <c r="V260" s="11">
        <v>0.07</v>
      </c>
      <c r="W260" s="11">
        <v>0.07</v>
      </c>
      <c r="X260" s="14" t="s">
        <v>576</v>
      </c>
    </row>
    <row r="261">
      <c r="A261" s="7" t="s">
        <v>577</v>
      </c>
      <c r="B261" s="8" t="s">
        <v>70</v>
      </c>
      <c r="C261" s="9" t="s">
        <v>26</v>
      </c>
      <c r="D261" s="7" t="s">
        <v>80</v>
      </c>
      <c r="E261" s="9">
        <v>22.0</v>
      </c>
      <c r="F261" s="9">
        <v>2002.0</v>
      </c>
      <c r="G261" s="10">
        <v>9.0</v>
      </c>
      <c r="H261" s="11">
        <v>2.0</v>
      </c>
      <c r="I261" s="11">
        <v>336.0</v>
      </c>
      <c r="J261" s="11">
        <v>3.7</v>
      </c>
      <c r="K261" s="12">
        <v>0.0</v>
      </c>
      <c r="L261" s="13">
        <v>0.0</v>
      </c>
      <c r="M261" s="13">
        <v>0.0</v>
      </c>
      <c r="N261" s="13">
        <v>0.0</v>
      </c>
      <c r="O261" s="13">
        <v>0.0</v>
      </c>
      <c r="P261" s="13">
        <v>0.0</v>
      </c>
      <c r="Q261" s="11">
        <v>1.0</v>
      </c>
      <c r="R261" s="13">
        <v>0.0</v>
      </c>
      <c r="S261" s="12">
        <v>0.0</v>
      </c>
      <c r="T261" s="13">
        <v>0.0</v>
      </c>
      <c r="U261" s="13">
        <v>0.0</v>
      </c>
      <c r="V261" s="13">
        <v>0.0</v>
      </c>
      <c r="W261" s="13">
        <v>0.0</v>
      </c>
      <c r="X261" s="14" t="s">
        <v>578</v>
      </c>
    </row>
    <row r="262">
      <c r="A262" s="7" t="s">
        <v>579</v>
      </c>
      <c r="B262" s="8" t="s">
        <v>25</v>
      </c>
      <c r="C262" s="9" t="s">
        <v>55</v>
      </c>
      <c r="D262" s="7" t="s">
        <v>58</v>
      </c>
      <c r="E262" s="9">
        <v>25.0</v>
      </c>
      <c r="F262" s="9">
        <v>1998.0</v>
      </c>
      <c r="G262" s="10">
        <v>27.0</v>
      </c>
      <c r="H262" s="11">
        <v>12.0</v>
      </c>
      <c r="I262" s="15">
        <v>1399.0</v>
      </c>
      <c r="J262" s="11">
        <v>15.5</v>
      </c>
      <c r="K262" s="10">
        <v>10.0</v>
      </c>
      <c r="L262" s="11">
        <v>4.0</v>
      </c>
      <c r="M262" s="11">
        <v>14.0</v>
      </c>
      <c r="N262" s="11">
        <v>9.0</v>
      </c>
      <c r="O262" s="11">
        <v>1.0</v>
      </c>
      <c r="P262" s="11">
        <v>1.0</v>
      </c>
      <c r="Q262" s="11">
        <v>6.0</v>
      </c>
      <c r="R262" s="11">
        <v>1.0</v>
      </c>
      <c r="S262" s="10">
        <v>0.64</v>
      </c>
      <c r="T262" s="11">
        <v>0.26</v>
      </c>
      <c r="U262" s="11">
        <v>0.9</v>
      </c>
      <c r="V262" s="11">
        <v>0.58</v>
      </c>
      <c r="W262" s="11">
        <v>0.84</v>
      </c>
      <c r="X262" s="14" t="s">
        <v>580</v>
      </c>
    </row>
    <row r="263">
      <c r="A263" s="7" t="s">
        <v>581</v>
      </c>
      <c r="B263" s="8" t="s">
        <v>25</v>
      </c>
      <c r="C263" s="9" t="s">
        <v>35</v>
      </c>
      <c r="D263" s="7" t="s">
        <v>58</v>
      </c>
      <c r="E263" s="9">
        <v>32.0</v>
      </c>
      <c r="F263" s="9">
        <v>1991.0</v>
      </c>
      <c r="G263" s="10">
        <v>33.0</v>
      </c>
      <c r="H263" s="11">
        <v>33.0</v>
      </c>
      <c r="I263" s="15">
        <v>2919.0</v>
      </c>
      <c r="J263" s="11">
        <v>32.4</v>
      </c>
      <c r="K263" s="12">
        <v>0.0</v>
      </c>
      <c r="L263" s="11">
        <v>1.0</v>
      </c>
      <c r="M263" s="11">
        <v>1.0</v>
      </c>
      <c r="N263" s="13">
        <v>0.0</v>
      </c>
      <c r="O263" s="13">
        <v>0.0</v>
      </c>
      <c r="P263" s="13">
        <v>0.0</v>
      </c>
      <c r="Q263" s="11">
        <v>13.0</v>
      </c>
      <c r="R263" s="13">
        <v>0.0</v>
      </c>
      <c r="S263" s="12">
        <v>0.0</v>
      </c>
      <c r="T263" s="11">
        <v>0.03</v>
      </c>
      <c r="U263" s="11">
        <v>0.03</v>
      </c>
      <c r="V263" s="13">
        <v>0.0</v>
      </c>
      <c r="W263" s="11">
        <v>0.03</v>
      </c>
      <c r="X263" s="14" t="s">
        <v>582</v>
      </c>
    </row>
    <row r="264">
      <c r="A264" s="7" t="s">
        <v>583</v>
      </c>
      <c r="B264" s="8" t="s">
        <v>25</v>
      </c>
      <c r="C264" s="9" t="s">
        <v>35</v>
      </c>
      <c r="D264" s="7" t="s">
        <v>31</v>
      </c>
      <c r="E264" s="9">
        <v>29.0</v>
      </c>
      <c r="F264" s="9">
        <v>1994.0</v>
      </c>
      <c r="G264" s="10">
        <v>12.0</v>
      </c>
      <c r="H264" s="11">
        <v>10.0</v>
      </c>
      <c r="I264" s="11">
        <v>812.0</v>
      </c>
      <c r="J264" s="11">
        <v>9.0</v>
      </c>
      <c r="K264" s="10">
        <v>2.0</v>
      </c>
      <c r="L264" s="13">
        <v>0.0</v>
      </c>
      <c r="M264" s="11">
        <v>2.0</v>
      </c>
      <c r="N264" s="11">
        <v>2.0</v>
      </c>
      <c r="O264" s="13">
        <v>0.0</v>
      </c>
      <c r="P264" s="13">
        <v>0.0</v>
      </c>
      <c r="Q264" s="11">
        <v>1.0</v>
      </c>
      <c r="R264" s="13">
        <v>0.0</v>
      </c>
      <c r="S264" s="10">
        <v>0.22</v>
      </c>
      <c r="T264" s="13">
        <v>0.0</v>
      </c>
      <c r="U264" s="11">
        <v>0.22</v>
      </c>
      <c r="V264" s="11">
        <v>0.22</v>
      </c>
      <c r="W264" s="11">
        <v>0.22</v>
      </c>
      <c r="X264" s="14" t="s">
        <v>584</v>
      </c>
    </row>
    <row r="265">
      <c r="A265" s="7" t="s">
        <v>585</v>
      </c>
      <c r="B265" s="8" t="s">
        <v>25</v>
      </c>
      <c r="C265" s="9" t="s">
        <v>87</v>
      </c>
      <c r="D265" s="7" t="s">
        <v>31</v>
      </c>
      <c r="E265" s="9">
        <v>30.0</v>
      </c>
      <c r="F265" s="9">
        <v>1994.0</v>
      </c>
      <c r="G265" s="10">
        <v>12.0</v>
      </c>
      <c r="H265" s="11">
        <v>9.0</v>
      </c>
      <c r="I265" s="11">
        <v>602.0</v>
      </c>
      <c r="J265" s="11">
        <v>6.7</v>
      </c>
      <c r="K265" s="12">
        <v>0.0</v>
      </c>
      <c r="L265" s="13">
        <v>0.0</v>
      </c>
      <c r="M265" s="13">
        <v>0.0</v>
      </c>
      <c r="N265" s="13">
        <v>0.0</v>
      </c>
      <c r="O265" s="13">
        <v>0.0</v>
      </c>
      <c r="P265" s="13">
        <v>0.0</v>
      </c>
      <c r="Q265" s="11">
        <v>1.0</v>
      </c>
      <c r="R265" s="13">
        <v>0.0</v>
      </c>
      <c r="S265" s="12">
        <v>0.0</v>
      </c>
      <c r="T265" s="13">
        <v>0.0</v>
      </c>
      <c r="U265" s="13">
        <v>0.0</v>
      </c>
      <c r="V265" s="13">
        <v>0.0</v>
      </c>
      <c r="W265" s="13">
        <v>0.0</v>
      </c>
      <c r="X265" s="14" t="s">
        <v>586</v>
      </c>
    </row>
    <row r="266">
      <c r="A266" s="7" t="s">
        <v>587</v>
      </c>
      <c r="B266" s="8" t="s">
        <v>25</v>
      </c>
      <c r="C266" s="9" t="s">
        <v>588</v>
      </c>
      <c r="D266" s="7" t="s">
        <v>80</v>
      </c>
      <c r="E266" s="9">
        <v>17.0</v>
      </c>
      <c r="F266" s="9">
        <v>2006.0</v>
      </c>
      <c r="G266" s="10">
        <v>11.0</v>
      </c>
      <c r="H266" s="11">
        <v>10.0</v>
      </c>
      <c r="I266" s="11">
        <v>785.0</v>
      </c>
      <c r="J266" s="11">
        <v>8.7</v>
      </c>
      <c r="K266" s="12">
        <v>0.0</v>
      </c>
      <c r="L266" s="13">
        <v>0.0</v>
      </c>
      <c r="M266" s="13">
        <v>0.0</v>
      </c>
      <c r="N266" s="13">
        <v>0.0</v>
      </c>
      <c r="O266" s="13">
        <v>0.0</v>
      </c>
      <c r="P266" s="13">
        <v>0.0</v>
      </c>
      <c r="Q266" s="11">
        <v>5.0</v>
      </c>
      <c r="R266" s="13">
        <v>0.0</v>
      </c>
      <c r="S266" s="12">
        <v>0.0</v>
      </c>
      <c r="T266" s="13">
        <v>0.0</v>
      </c>
      <c r="U266" s="13">
        <v>0.0</v>
      </c>
      <c r="V266" s="13">
        <v>0.0</v>
      </c>
      <c r="W266" s="13">
        <v>0.0</v>
      </c>
      <c r="X266" s="14" t="s">
        <v>589</v>
      </c>
    </row>
    <row r="267">
      <c r="A267" s="7" t="s">
        <v>590</v>
      </c>
      <c r="B267" s="8" t="s">
        <v>25</v>
      </c>
      <c r="C267" s="9" t="s">
        <v>26</v>
      </c>
      <c r="D267" s="7" t="s">
        <v>128</v>
      </c>
      <c r="E267" s="9">
        <v>20.0</v>
      </c>
      <c r="F267" s="9">
        <v>2003.0</v>
      </c>
      <c r="G267" s="10">
        <v>1.0</v>
      </c>
      <c r="H267" s="13">
        <v>0.0</v>
      </c>
      <c r="I267" s="11">
        <v>1.0</v>
      </c>
      <c r="J267" s="13">
        <v>0.0</v>
      </c>
      <c r="K267" s="12">
        <v>0.0</v>
      </c>
      <c r="L267" s="13">
        <v>0.0</v>
      </c>
      <c r="M267" s="13">
        <v>0.0</v>
      </c>
      <c r="N267" s="13">
        <v>0.0</v>
      </c>
      <c r="O267" s="13">
        <v>0.0</v>
      </c>
      <c r="P267" s="13">
        <v>0.0</v>
      </c>
      <c r="Q267" s="13">
        <v>0.0</v>
      </c>
      <c r="R267" s="13">
        <v>0.0</v>
      </c>
      <c r="S267" s="12">
        <v>0.0</v>
      </c>
      <c r="T267" s="13">
        <v>0.0</v>
      </c>
      <c r="U267" s="13">
        <v>0.0</v>
      </c>
      <c r="V267" s="13">
        <v>0.0</v>
      </c>
      <c r="W267" s="13">
        <v>0.0</v>
      </c>
      <c r="X267" s="14" t="s">
        <v>591</v>
      </c>
    </row>
    <row r="268">
      <c r="A268" s="7" t="s">
        <v>592</v>
      </c>
      <c r="B268" s="8" t="s">
        <v>25</v>
      </c>
      <c r="C268" s="9" t="s">
        <v>77</v>
      </c>
      <c r="D268" s="7" t="s">
        <v>80</v>
      </c>
      <c r="E268" s="9">
        <v>18.0</v>
      </c>
      <c r="F268" s="9">
        <v>2005.0</v>
      </c>
      <c r="G268" s="10">
        <v>2.0</v>
      </c>
      <c r="H268" s="11">
        <v>2.0</v>
      </c>
      <c r="I268" s="11">
        <v>180.0</v>
      </c>
      <c r="J268" s="11">
        <v>2.0</v>
      </c>
      <c r="K268" s="12">
        <v>0.0</v>
      </c>
      <c r="L268" s="13">
        <v>0.0</v>
      </c>
      <c r="M268" s="13">
        <v>0.0</v>
      </c>
      <c r="N268" s="13">
        <v>0.0</v>
      </c>
      <c r="O268" s="13">
        <v>0.0</v>
      </c>
      <c r="P268" s="13">
        <v>0.0</v>
      </c>
      <c r="Q268" s="13">
        <v>0.0</v>
      </c>
      <c r="R268" s="13">
        <v>0.0</v>
      </c>
      <c r="S268" s="12">
        <v>0.0</v>
      </c>
      <c r="T268" s="13">
        <v>0.0</v>
      </c>
      <c r="U268" s="13">
        <v>0.0</v>
      </c>
      <c r="V268" s="13">
        <v>0.0</v>
      </c>
      <c r="W268" s="13">
        <v>0.0</v>
      </c>
      <c r="X268" s="14" t="s">
        <v>593</v>
      </c>
    </row>
    <row r="269">
      <c r="A269" s="7" t="s">
        <v>594</v>
      </c>
      <c r="B269" s="8" t="s">
        <v>25</v>
      </c>
      <c r="C269" s="9" t="s">
        <v>55</v>
      </c>
      <c r="D269" s="7" t="s">
        <v>52</v>
      </c>
      <c r="E269" s="9">
        <v>17.0</v>
      </c>
      <c r="F269" s="9">
        <v>2006.0</v>
      </c>
      <c r="G269" s="10">
        <v>5.0</v>
      </c>
      <c r="H269" s="13">
        <v>0.0</v>
      </c>
      <c r="I269" s="11">
        <v>43.0</v>
      </c>
      <c r="J269" s="11">
        <v>0.5</v>
      </c>
      <c r="K269" s="12">
        <v>0.0</v>
      </c>
      <c r="L269" s="13">
        <v>0.0</v>
      </c>
      <c r="M269" s="13">
        <v>0.0</v>
      </c>
      <c r="N269" s="13">
        <v>0.0</v>
      </c>
      <c r="O269" s="13">
        <v>0.0</v>
      </c>
      <c r="P269" s="13">
        <v>0.0</v>
      </c>
      <c r="Q269" s="13">
        <v>0.0</v>
      </c>
      <c r="R269" s="13">
        <v>0.0</v>
      </c>
      <c r="S269" s="12">
        <v>0.0</v>
      </c>
      <c r="T269" s="13">
        <v>0.0</v>
      </c>
      <c r="U269" s="13">
        <v>0.0</v>
      </c>
      <c r="V269" s="13">
        <v>0.0</v>
      </c>
      <c r="W269" s="13">
        <v>0.0</v>
      </c>
      <c r="X269" s="14" t="s">
        <v>595</v>
      </c>
    </row>
    <row r="270">
      <c r="A270" s="7" t="s">
        <v>596</v>
      </c>
      <c r="B270" s="8" t="s">
        <v>34</v>
      </c>
      <c r="C270" s="9" t="s">
        <v>26</v>
      </c>
      <c r="D270" s="7" t="s">
        <v>52</v>
      </c>
      <c r="E270" s="9">
        <v>22.0</v>
      </c>
      <c r="F270" s="9">
        <v>2001.0</v>
      </c>
      <c r="G270" s="10">
        <v>7.0</v>
      </c>
      <c r="H270" s="13">
        <v>0.0</v>
      </c>
      <c r="I270" s="11">
        <v>90.0</v>
      </c>
      <c r="J270" s="11">
        <v>1.0</v>
      </c>
      <c r="K270" s="12">
        <v>0.0</v>
      </c>
      <c r="L270" s="13">
        <v>0.0</v>
      </c>
      <c r="M270" s="13">
        <v>0.0</v>
      </c>
      <c r="N270" s="13">
        <v>0.0</v>
      </c>
      <c r="O270" s="13">
        <v>0.0</v>
      </c>
      <c r="P270" s="13">
        <v>0.0</v>
      </c>
      <c r="Q270" s="11">
        <v>1.0</v>
      </c>
      <c r="R270" s="13">
        <v>0.0</v>
      </c>
      <c r="S270" s="12">
        <v>0.0</v>
      </c>
      <c r="T270" s="13">
        <v>0.0</v>
      </c>
      <c r="U270" s="13">
        <v>0.0</v>
      </c>
      <c r="V270" s="13">
        <v>0.0</v>
      </c>
      <c r="W270" s="13">
        <v>0.0</v>
      </c>
      <c r="X270" s="14" t="s">
        <v>597</v>
      </c>
    </row>
    <row r="271">
      <c r="A271" s="7" t="s">
        <v>598</v>
      </c>
      <c r="B271" s="8" t="s">
        <v>25</v>
      </c>
      <c r="C271" s="9" t="s">
        <v>35</v>
      </c>
      <c r="D271" s="7" t="s">
        <v>58</v>
      </c>
      <c r="E271" s="9">
        <v>29.0</v>
      </c>
      <c r="F271" s="9">
        <v>1994.0</v>
      </c>
      <c r="G271" s="10">
        <v>12.0</v>
      </c>
      <c r="H271" s="11">
        <v>8.0</v>
      </c>
      <c r="I271" s="11">
        <v>595.0</v>
      </c>
      <c r="J271" s="11">
        <v>6.6</v>
      </c>
      <c r="K271" s="12">
        <v>0.0</v>
      </c>
      <c r="L271" s="13">
        <v>0.0</v>
      </c>
      <c r="M271" s="13">
        <v>0.0</v>
      </c>
      <c r="N271" s="13">
        <v>0.0</v>
      </c>
      <c r="O271" s="13">
        <v>0.0</v>
      </c>
      <c r="P271" s="13">
        <v>0.0</v>
      </c>
      <c r="Q271" s="11">
        <v>4.0</v>
      </c>
      <c r="R271" s="13">
        <v>0.0</v>
      </c>
      <c r="S271" s="12">
        <v>0.0</v>
      </c>
      <c r="T271" s="13">
        <v>0.0</v>
      </c>
      <c r="U271" s="13">
        <v>0.0</v>
      </c>
      <c r="V271" s="13">
        <v>0.0</v>
      </c>
      <c r="W271" s="13">
        <v>0.0</v>
      </c>
      <c r="X271" s="14" t="s">
        <v>599</v>
      </c>
    </row>
    <row r="272">
      <c r="A272" s="7" t="s">
        <v>600</v>
      </c>
      <c r="B272" s="8" t="s">
        <v>25</v>
      </c>
      <c r="C272" s="9" t="s">
        <v>26</v>
      </c>
      <c r="D272" s="7" t="s">
        <v>36</v>
      </c>
      <c r="E272" s="9">
        <v>23.0</v>
      </c>
      <c r="F272" s="9">
        <v>2000.0</v>
      </c>
      <c r="G272" s="10">
        <v>11.0</v>
      </c>
      <c r="H272" s="11">
        <v>10.0</v>
      </c>
      <c r="I272" s="11">
        <v>871.0</v>
      </c>
      <c r="J272" s="11">
        <v>9.7</v>
      </c>
      <c r="K272" s="10">
        <v>1.0</v>
      </c>
      <c r="L272" s="11">
        <v>1.0</v>
      </c>
      <c r="M272" s="11">
        <v>2.0</v>
      </c>
      <c r="N272" s="11">
        <v>1.0</v>
      </c>
      <c r="O272" s="13">
        <v>0.0</v>
      </c>
      <c r="P272" s="13">
        <v>0.0</v>
      </c>
      <c r="Q272" s="11">
        <v>5.0</v>
      </c>
      <c r="R272" s="13">
        <v>0.0</v>
      </c>
      <c r="S272" s="10">
        <v>0.1</v>
      </c>
      <c r="T272" s="11">
        <v>0.1</v>
      </c>
      <c r="U272" s="11">
        <v>0.21</v>
      </c>
      <c r="V272" s="11">
        <v>0.1</v>
      </c>
      <c r="W272" s="11">
        <v>0.21</v>
      </c>
      <c r="X272" s="14" t="s">
        <v>601</v>
      </c>
    </row>
    <row r="273">
      <c r="A273" s="7" t="s">
        <v>600</v>
      </c>
      <c r="B273" s="8" t="s">
        <v>25</v>
      </c>
      <c r="C273" s="9" t="s">
        <v>26</v>
      </c>
      <c r="D273" s="7" t="s">
        <v>58</v>
      </c>
      <c r="E273" s="9">
        <v>23.0</v>
      </c>
      <c r="F273" s="9">
        <v>2000.0</v>
      </c>
      <c r="G273" s="10">
        <v>17.0</v>
      </c>
      <c r="H273" s="11">
        <v>2.0</v>
      </c>
      <c r="I273" s="11">
        <v>333.0</v>
      </c>
      <c r="J273" s="11">
        <v>3.7</v>
      </c>
      <c r="K273" s="12">
        <v>0.0</v>
      </c>
      <c r="L273" s="11">
        <v>1.0</v>
      </c>
      <c r="M273" s="11">
        <v>1.0</v>
      </c>
      <c r="N273" s="13">
        <v>0.0</v>
      </c>
      <c r="O273" s="13">
        <v>0.0</v>
      </c>
      <c r="P273" s="13">
        <v>0.0</v>
      </c>
      <c r="Q273" s="11">
        <v>5.0</v>
      </c>
      <c r="R273" s="11">
        <v>1.0</v>
      </c>
      <c r="S273" s="12">
        <v>0.0</v>
      </c>
      <c r="T273" s="11">
        <v>0.27</v>
      </c>
      <c r="U273" s="11">
        <v>0.27</v>
      </c>
      <c r="V273" s="13">
        <v>0.0</v>
      </c>
      <c r="W273" s="11">
        <v>0.27</v>
      </c>
      <c r="X273" s="14" t="s">
        <v>602</v>
      </c>
    </row>
    <row r="274">
      <c r="A274" s="7" t="s">
        <v>603</v>
      </c>
      <c r="B274" s="8" t="s">
        <v>25</v>
      </c>
      <c r="C274" s="9" t="s">
        <v>26</v>
      </c>
      <c r="D274" s="7" t="s">
        <v>98</v>
      </c>
      <c r="E274" s="9">
        <v>22.0</v>
      </c>
      <c r="F274" s="9">
        <v>2001.0</v>
      </c>
      <c r="G274" s="10">
        <v>8.0</v>
      </c>
      <c r="H274" s="11">
        <v>3.0</v>
      </c>
      <c r="I274" s="11">
        <v>260.0</v>
      </c>
      <c r="J274" s="11">
        <v>2.9</v>
      </c>
      <c r="K274" s="12">
        <v>0.0</v>
      </c>
      <c r="L274" s="13">
        <v>0.0</v>
      </c>
      <c r="M274" s="13">
        <v>0.0</v>
      </c>
      <c r="N274" s="13">
        <v>0.0</v>
      </c>
      <c r="O274" s="13">
        <v>0.0</v>
      </c>
      <c r="P274" s="13">
        <v>0.0</v>
      </c>
      <c r="Q274" s="11">
        <v>1.0</v>
      </c>
      <c r="R274" s="13">
        <v>0.0</v>
      </c>
      <c r="S274" s="12">
        <v>0.0</v>
      </c>
      <c r="T274" s="13">
        <v>0.0</v>
      </c>
      <c r="U274" s="13">
        <v>0.0</v>
      </c>
      <c r="V274" s="13">
        <v>0.0</v>
      </c>
      <c r="W274" s="13">
        <v>0.0</v>
      </c>
      <c r="X274" s="14" t="s">
        <v>604</v>
      </c>
    </row>
    <row r="275">
      <c r="A275" s="7" t="s">
        <v>605</v>
      </c>
      <c r="B275" s="8" t="s">
        <v>25</v>
      </c>
      <c r="C275" s="9" t="s">
        <v>35</v>
      </c>
      <c r="D275" s="7" t="s">
        <v>52</v>
      </c>
      <c r="E275" s="9">
        <v>33.0</v>
      </c>
      <c r="F275" s="9">
        <v>1991.0</v>
      </c>
      <c r="G275" s="10">
        <v>23.0</v>
      </c>
      <c r="H275" s="11">
        <v>16.0</v>
      </c>
      <c r="I275" s="15">
        <v>1547.0</v>
      </c>
      <c r="J275" s="11">
        <v>17.2</v>
      </c>
      <c r="K275" s="12">
        <v>0.0</v>
      </c>
      <c r="L275" s="13">
        <v>0.0</v>
      </c>
      <c r="M275" s="13">
        <v>0.0</v>
      </c>
      <c r="N275" s="13">
        <v>0.0</v>
      </c>
      <c r="O275" s="13">
        <v>0.0</v>
      </c>
      <c r="P275" s="13">
        <v>0.0</v>
      </c>
      <c r="Q275" s="11">
        <v>2.0</v>
      </c>
      <c r="R275" s="13">
        <v>0.0</v>
      </c>
      <c r="S275" s="12">
        <v>0.0</v>
      </c>
      <c r="T275" s="13">
        <v>0.0</v>
      </c>
      <c r="U275" s="13">
        <v>0.0</v>
      </c>
      <c r="V275" s="13">
        <v>0.0</v>
      </c>
      <c r="W275" s="13">
        <v>0.0</v>
      </c>
      <c r="X275" s="14" t="s">
        <v>606</v>
      </c>
    </row>
    <row r="276">
      <c r="A276" s="7" t="s">
        <v>607</v>
      </c>
      <c r="B276" s="8" t="s">
        <v>25</v>
      </c>
      <c r="C276" s="9" t="s">
        <v>47</v>
      </c>
      <c r="D276" s="7" t="s">
        <v>128</v>
      </c>
      <c r="E276" s="9">
        <v>25.0</v>
      </c>
      <c r="F276" s="9">
        <v>1998.0</v>
      </c>
      <c r="G276" s="10">
        <v>19.0</v>
      </c>
      <c r="H276" s="11">
        <v>16.0</v>
      </c>
      <c r="I276" s="15">
        <v>1375.0</v>
      </c>
      <c r="J276" s="11">
        <v>15.3</v>
      </c>
      <c r="K276" s="10">
        <v>4.0</v>
      </c>
      <c r="L276" s="11">
        <v>2.0</v>
      </c>
      <c r="M276" s="11">
        <v>6.0</v>
      </c>
      <c r="N276" s="11">
        <v>4.0</v>
      </c>
      <c r="O276" s="13">
        <v>0.0</v>
      </c>
      <c r="P276" s="13">
        <v>0.0</v>
      </c>
      <c r="Q276" s="11">
        <v>2.0</v>
      </c>
      <c r="R276" s="11">
        <v>1.0</v>
      </c>
      <c r="S276" s="10">
        <v>0.26</v>
      </c>
      <c r="T276" s="11">
        <v>0.13</v>
      </c>
      <c r="U276" s="11">
        <v>0.39</v>
      </c>
      <c r="V276" s="11">
        <v>0.26</v>
      </c>
      <c r="W276" s="11">
        <v>0.39</v>
      </c>
      <c r="X276" s="14" t="s">
        <v>608</v>
      </c>
    </row>
    <row r="277">
      <c r="A277" s="7" t="s">
        <v>609</v>
      </c>
      <c r="B277" s="8" t="s">
        <v>610</v>
      </c>
      <c r="C277" s="9" t="s">
        <v>47</v>
      </c>
      <c r="D277" s="7" t="s">
        <v>128</v>
      </c>
      <c r="E277" s="9">
        <v>23.0</v>
      </c>
      <c r="F277" s="9">
        <v>2000.0</v>
      </c>
      <c r="G277" s="10">
        <v>15.0</v>
      </c>
      <c r="H277" s="11">
        <v>8.0</v>
      </c>
      <c r="I277" s="11">
        <v>729.0</v>
      </c>
      <c r="J277" s="11">
        <v>8.1</v>
      </c>
      <c r="K277" s="12">
        <v>0.0</v>
      </c>
      <c r="L277" s="11">
        <v>1.0</v>
      </c>
      <c r="M277" s="11">
        <v>1.0</v>
      </c>
      <c r="N277" s="13">
        <v>0.0</v>
      </c>
      <c r="O277" s="13">
        <v>0.0</v>
      </c>
      <c r="P277" s="13">
        <v>0.0</v>
      </c>
      <c r="Q277" s="11">
        <v>1.0</v>
      </c>
      <c r="R277" s="13">
        <v>0.0</v>
      </c>
      <c r="S277" s="12">
        <v>0.0</v>
      </c>
      <c r="T277" s="11">
        <v>0.12</v>
      </c>
      <c r="U277" s="11">
        <v>0.12</v>
      </c>
      <c r="V277" s="13">
        <v>0.0</v>
      </c>
      <c r="W277" s="11">
        <v>0.12</v>
      </c>
      <c r="X277" s="14" t="s">
        <v>611</v>
      </c>
    </row>
    <row r="278">
      <c r="A278" s="7" t="s">
        <v>612</v>
      </c>
      <c r="B278" s="8" t="s">
        <v>446</v>
      </c>
      <c r="C278" s="9" t="s">
        <v>55</v>
      </c>
      <c r="D278" s="7" t="s">
        <v>44</v>
      </c>
      <c r="E278" s="9">
        <v>25.0</v>
      </c>
      <c r="F278" s="9">
        <v>1998.0</v>
      </c>
      <c r="G278" s="10">
        <v>8.0</v>
      </c>
      <c r="H278" s="11">
        <v>3.0</v>
      </c>
      <c r="I278" s="11">
        <v>246.0</v>
      </c>
      <c r="J278" s="11">
        <v>2.7</v>
      </c>
      <c r="K278" s="10">
        <v>1.0</v>
      </c>
      <c r="L278" s="13">
        <v>0.0</v>
      </c>
      <c r="M278" s="11">
        <v>1.0</v>
      </c>
      <c r="N278" s="11">
        <v>1.0</v>
      </c>
      <c r="O278" s="13">
        <v>0.0</v>
      </c>
      <c r="P278" s="13">
        <v>0.0</v>
      </c>
      <c r="Q278" s="13">
        <v>0.0</v>
      </c>
      <c r="R278" s="13">
        <v>0.0</v>
      </c>
      <c r="S278" s="10">
        <v>0.37</v>
      </c>
      <c r="T278" s="13">
        <v>0.0</v>
      </c>
      <c r="U278" s="11">
        <v>0.37</v>
      </c>
      <c r="V278" s="11">
        <v>0.37</v>
      </c>
      <c r="W278" s="11">
        <v>0.37</v>
      </c>
      <c r="X278" s="14" t="s">
        <v>613</v>
      </c>
    </row>
    <row r="279">
      <c r="A279" s="7" t="s">
        <v>614</v>
      </c>
      <c r="B279" s="8" t="s">
        <v>25</v>
      </c>
      <c r="C279" s="9" t="s">
        <v>26</v>
      </c>
      <c r="D279" s="7" t="s">
        <v>128</v>
      </c>
      <c r="E279" s="9">
        <v>24.0</v>
      </c>
      <c r="F279" s="9">
        <v>1999.0</v>
      </c>
      <c r="G279" s="10">
        <v>6.0</v>
      </c>
      <c r="H279" s="11">
        <v>4.0</v>
      </c>
      <c r="I279" s="11">
        <v>289.0</v>
      </c>
      <c r="J279" s="11">
        <v>3.2</v>
      </c>
      <c r="K279" s="12">
        <v>0.0</v>
      </c>
      <c r="L279" s="13">
        <v>0.0</v>
      </c>
      <c r="M279" s="13">
        <v>0.0</v>
      </c>
      <c r="N279" s="13">
        <v>0.0</v>
      </c>
      <c r="O279" s="13">
        <v>0.0</v>
      </c>
      <c r="P279" s="13">
        <v>0.0</v>
      </c>
      <c r="Q279" s="11">
        <v>2.0</v>
      </c>
      <c r="R279" s="11">
        <v>1.0</v>
      </c>
      <c r="S279" s="12">
        <v>0.0</v>
      </c>
      <c r="T279" s="13">
        <v>0.0</v>
      </c>
      <c r="U279" s="13">
        <v>0.0</v>
      </c>
      <c r="V279" s="13">
        <v>0.0</v>
      </c>
      <c r="W279" s="13">
        <v>0.0</v>
      </c>
      <c r="X279" s="14" t="s">
        <v>615</v>
      </c>
    </row>
    <row r="280">
      <c r="A280" s="7" t="s">
        <v>616</v>
      </c>
      <c r="B280" s="8" t="s">
        <v>25</v>
      </c>
      <c r="C280" s="9" t="s">
        <v>55</v>
      </c>
      <c r="D280" s="7" t="s">
        <v>62</v>
      </c>
      <c r="E280" s="9">
        <v>33.0</v>
      </c>
      <c r="F280" s="9">
        <v>1990.0</v>
      </c>
      <c r="G280" s="10">
        <v>33.0</v>
      </c>
      <c r="H280" s="11">
        <v>27.0</v>
      </c>
      <c r="I280" s="15">
        <v>2544.0</v>
      </c>
      <c r="J280" s="11">
        <v>28.3</v>
      </c>
      <c r="K280" s="10">
        <v>9.0</v>
      </c>
      <c r="L280" s="11">
        <v>3.0</v>
      </c>
      <c r="M280" s="11">
        <v>12.0</v>
      </c>
      <c r="N280" s="11">
        <v>9.0</v>
      </c>
      <c r="O280" s="13">
        <v>0.0</v>
      </c>
      <c r="P280" s="13">
        <v>0.0</v>
      </c>
      <c r="Q280" s="11">
        <v>9.0</v>
      </c>
      <c r="R280" s="11">
        <v>1.0</v>
      </c>
      <c r="S280" s="10">
        <v>0.32</v>
      </c>
      <c r="T280" s="11">
        <v>0.11</v>
      </c>
      <c r="U280" s="11">
        <v>0.42</v>
      </c>
      <c r="V280" s="11">
        <v>0.32</v>
      </c>
      <c r="W280" s="11">
        <v>0.42</v>
      </c>
      <c r="X280" s="14" t="s">
        <v>617</v>
      </c>
    </row>
    <row r="281">
      <c r="A281" s="7" t="s">
        <v>618</v>
      </c>
      <c r="B281" s="8" t="s">
        <v>25</v>
      </c>
      <c r="C281" s="9" t="s">
        <v>55</v>
      </c>
      <c r="D281" s="7" t="s">
        <v>80</v>
      </c>
      <c r="E281" s="9">
        <v>14.0</v>
      </c>
      <c r="F281" s="9">
        <v>2009.0</v>
      </c>
      <c r="G281" s="10">
        <v>1.0</v>
      </c>
      <c r="H281" s="13">
        <v>0.0</v>
      </c>
      <c r="I281" s="11">
        <v>8.0</v>
      </c>
      <c r="J281" s="11">
        <v>0.1</v>
      </c>
      <c r="K281" s="12">
        <v>0.0</v>
      </c>
      <c r="L281" s="13">
        <v>0.0</v>
      </c>
      <c r="M281" s="13">
        <v>0.0</v>
      </c>
      <c r="N281" s="13">
        <v>0.0</v>
      </c>
      <c r="O281" s="13">
        <v>0.0</v>
      </c>
      <c r="P281" s="13">
        <v>0.0</v>
      </c>
      <c r="Q281" s="13">
        <v>0.0</v>
      </c>
      <c r="R281" s="13">
        <v>0.0</v>
      </c>
      <c r="S281" s="12">
        <v>0.0</v>
      </c>
      <c r="T281" s="13">
        <v>0.0</v>
      </c>
      <c r="U281" s="13">
        <v>0.0</v>
      </c>
      <c r="V281" s="13">
        <v>0.0</v>
      </c>
      <c r="W281" s="13">
        <v>0.0</v>
      </c>
      <c r="X281" s="14" t="s">
        <v>619</v>
      </c>
    </row>
    <row r="282">
      <c r="A282" s="7" t="s">
        <v>620</v>
      </c>
      <c r="B282" s="8" t="s">
        <v>34</v>
      </c>
      <c r="C282" s="9" t="s">
        <v>55</v>
      </c>
      <c r="D282" s="7" t="s">
        <v>62</v>
      </c>
      <c r="E282" s="9">
        <v>20.0</v>
      </c>
      <c r="F282" s="9">
        <v>2003.0</v>
      </c>
      <c r="G282" s="10">
        <v>3.0</v>
      </c>
      <c r="H282" s="13">
        <v>0.0</v>
      </c>
      <c r="I282" s="11">
        <v>29.0</v>
      </c>
      <c r="J282" s="11">
        <v>0.3</v>
      </c>
      <c r="K282" s="12">
        <v>0.0</v>
      </c>
      <c r="L282" s="13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2">
        <v>0.0</v>
      </c>
      <c r="T282" s="13">
        <v>0.0</v>
      </c>
      <c r="U282" s="13">
        <v>0.0</v>
      </c>
      <c r="V282" s="13">
        <v>0.0</v>
      </c>
      <c r="W282" s="13">
        <v>0.0</v>
      </c>
      <c r="X282" s="14" t="s">
        <v>621</v>
      </c>
    </row>
    <row r="283">
      <c r="A283" s="7" t="s">
        <v>622</v>
      </c>
      <c r="B283" s="8" t="s">
        <v>34</v>
      </c>
      <c r="C283" s="9" t="s">
        <v>35</v>
      </c>
      <c r="D283" s="7" t="s">
        <v>27</v>
      </c>
      <c r="E283" s="9">
        <v>24.0</v>
      </c>
      <c r="F283" s="9">
        <v>1999.0</v>
      </c>
      <c r="G283" s="10">
        <v>14.0</v>
      </c>
      <c r="H283" s="11">
        <v>12.0</v>
      </c>
      <c r="I283" s="15">
        <v>1145.0</v>
      </c>
      <c r="J283" s="11">
        <v>12.7</v>
      </c>
      <c r="K283" s="10">
        <v>1.0</v>
      </c>
      <c r="L283" s="11">
        <v>1.0</v>
      </c>
      <c r="M283" s="11">
        <v>2.0</v>
      </c>
      <c r="N283" s="11">
        <v>1.0</v>
      </c>
      <c r="O283" s="13">
        <v>0.0</v>
      </c>
      <c r="P283" s="13">
        <v>0.0</v>
      </c>
      <c r="Q283" s="11">
        <v>5.0</v>
      </c>
      <c r="R283" s="13">
        <v>0.0</v>
      </c>
      <c r="S283" s="10">
        <v>0.08</v>
      </c>
      <c r="T283" s="11">
        <v>0.08</v>
      </c>
      <c r="U283" s="11">
        <v>0.16</v>
      </c>
      <c r="V283" s="11">
        <v>0.08</v>
      </c>
      <c r="W283" s="11">
        <v>0.16</v>
      </c>
      <c r="X283" s="14" t="s">
        <v>623</v>
      </c>
    </row>
    <row r="284">
      <c r="A284" s="7" t="s">
        <v>624</v>
      </c>
      <c r="B284" s="8" t="s">
        <v>25</v>
      </c>
      <c r="C284" s="9" t="s">
        <v>26</v>
      </c>
      <c r="D284" s="7" t="s">
        <v>31</v>
      </c>
      <c r="E284" s="9">
        <v>25.0</v>
      </c>
      <c r="F284" s="9">
        <v>1998.0</v>
      </c>
      <c r="G284" s="10">
        <v>21.0</v>
      </c>
      <c r="H284" s="11">
        <v>11.0</v>
      </c>
      <c r="I284" s="11">
        <v>917.0</v>
      </c>
      <c r="J284" s="11">
        <v>10.2</v>
      </c>
      <c r="K284" s="12">
        <v>0.0</v>
      </c>
      <c r="L284" s="11">
        <v>1.0</v>
      </c>
      <c r="M284" s="11">
        <v>1.0</v>
      </c>
      <c r="N284" s="13">
        <v>0.0</v>
      </c>
      <c r="O284" s="13">
        <v>0.0</v>
      </c>
      <c r="P284" s="13">
        <v>0.0</v>
      </c>
      <c r="Q284" s="11">
        <v>5.0</v>
      </c>
      <c r="R284" s="13">
        <v>0.0</v>
      </c>
      <c r="S284" s="12">
        <v>0.0</v>
      </c>
      <c r="T284" s="11">
        <v>0.1</v>
      </c>
      <c r="U284" s="11">
        <v>0.1</v>
      </c>
      <c r="V284" s="13">
        <v>0.0</v>
      </c>
      <c r="W284" s="11">
        <v>0.1</v>
      </c>
      <c r="X284" s="14" t="s">
        <v>625</v>
      </c>
    </row>
    <row r="285">
      <c r="A285" s="7" t="s">
        <v>626</v>
      </c>
      <c r="B285" s="8" t="s">
        <v>25</v>
      </c>
      <c r="C285" s="9" t="s">
        <v>83</v>
      </c>
      <c r="D285" s="7" t="s">
        <v>58</v>
      </c>
      <c r="E285" s="9">
        <v>24.0</v>
      </c>
      <c r="F285" s="9">
        <v>1999.0</v>
      </c>
      <c r="G285" s="10">
        <v>34.0</v>
      </c>
      <c r="H285" s="11">
        <v>27.0</v>
      </c>
      <c r="I285" s="15">
        <v>2443.0</v>
      </c>
      <c r="J285" s="11">
        <v>27.1</v>
      </c>
      <c r="K285" s="10">
        <v>1.0</v>
      </c>
      <c r="L285" s="11">
        <v>3.0</v>
      </c>
      <c r="M285" s="11">
        <v>4.0</v>
      </c>
      <c r="N285" s="11">
        <v>1.0</v>
      </c>
      <c r="O285" s="13">
        <v>0.0</v>
      </c>
      <c r="P285" s="11">
        <v>1.0</v>
      </c>
      <c r="Q285" s="11">
        <v>6.0</v>
      </c>
      <c r="R285" s="11">
        <v>1.0</v>
      </c>
      <c r="S285" s="10">
        <v>0.04</v>
      </c>
      <c r="T285" s="11">
        <v>0.11</v>
      </c>
      <c r="U285" s="11">
        <v>0.15</v>
      </c>
      <c r="V285" s="11">
        <v>0.04</v>
      </c>
      <c r="W285" s="11">
        <v>0.15</v>
      </c>
      <c r="X285" s="14" t="s">
        <v>627</v>
      </c>
    </row>
    <row r="286">
      <c r="A286" s="7" t="s">
        <v>628</v>
      </c>
      <c r="B286" s="8" t="s">
        <v>43</v>
      </c>
      <c r="C286" s="9" t="s">
        <v>26</v>
      </c>
      <c r="D286" s="7" t="s">
        <v>62</v>
      </c>
      <c r="E286" s="9">
        <v>24.0</v>
      </c>
      <c r="F286" s="9">
        <v>1999.0</v>
      </c>
      <c r="G286" s="10">
        <v>27.0</v>
      </c>
      <c r="H286" s="11">
        <v>23.0</v>
      </c>
      <c r="I286" s="15">
        <v>1862.0</v>
      </c>
      <c r="J286" s="11">
        <v>20.7</v>
      </c>
      <c r="K286" s="10">
        <v>1.0</v>
      </c>
      <c r="L286" s="13">
        <v>0.0</v>
      </c>
      <c r="M286" s="11">
        <v>1.0</v>
      </c>
      <c r="N286" s="11">
        <v>1.0</v>
      </c>
      <c r="O286" s="13">
        <v>0.0</v>
      </c>
      <c r="P286" s="13">
        <v>0.0</v>
      </c>
      <c r="Q286" s="11">
        <v>1.0</v>
      </c>
      <c r="R286" s="13">
        <v>0.0</v>
      </c>
      <c r="S286" s="10">
        <v>0.05</v>
      </c>
      <c r="T286" s="13">
        <v>0.0</v>
      </c>
      <c r="U286" s="11">
        <v>0.05</v>
      </c>
      <c r="V286" s="11">
        <v>0.05</v>
      </c>
      <c r="W286" s="11">
        <v>0.05</v>
      </c>
      <c r="X286" s="14" t="s">
        <v>629</v>
      </c>
    </row>
    <row r="287">
      <c r="A287" s="7" t="s">
        <v>630</v>
      </c>
      <c r="B287" s="8" t="s">
        <v>25</v>
      </c>
      <c r="C287" s="9" t="s">
        <v>35</v>
      </c>
      <c r="D287" s="7" t="s">
        <v>80</v>
      </c>
      <c r="E287" s="9">
        <v>15.0</v>
      </c>
      <c r="F287" s="9">
        <v>2008.0</v>
      </c>
      <c r="G287" s="10">
        <v>1.0</v>
      </c>
      <c r="H287" s="13">
        <v>0.0</v>
      </c>
      <c r="I287" s="11">
        <v>8.0</v>
      </c>
      <c r="J287" s="11">
        <v>0.1</v>
      </c>
      <c r="K287" s="12">
        <v>0.0</v>
      </c>
      <c r="L287" s="13">
        <v>0.0</v>
      </c>
      <c r="M287" s="13">
        <v>0.0</v>
      </c>
      <c r="N287" s="13">
        <v>0.0</v>
      </c>
      <c r="O287" s="13">
        <v>0.0</v>
      </c>
      <c r="P287" s="13">
        <v>0.0</v>
      </c>
      <c r="Q287" s="13">
        <v>0.0</v>
      </c>
      <c r="R287" s="13">
        <v>0.0</v>
      </c>
      <c r="S287" s="12">
        <v>0.0</v>
      </c>
      <c r="T287" s="13">
        <v>0.0</v>
      </c>
      <c r="U287" s="13">
        <v>0.0</v>
      </c>
      <c r="V287" s="13">
        <v>0.0</v>
      </c>
      <c r="W287" s="13">
        <v>0.0</v>
      </c>
      <c r="X287" s="14" t="s">
        <v>631</v>
      </c>
    </row>
    <row r="288">
      <c r="A288" s="7" t="s">
        <v>632</v>
      </c>
      <c r="B288" s="8" t="s">
        <v>25</v>
      </c>
      <c r="C288" s="9" t="s">
        <v>26</v>
      </c>
      <c r="D288" s="7" t="s">
        <v>36</v>
      </c>
      <c r="E288" s="9">
        <v>18.0</v>
      </c>
      <c r="F288" s="9">
        <v>2005.0</v>
      </c>
      <c r="G288" s="10">
        <v>28.0</v>
      </c>
      <c r="H288" s="11">
        <v>15.0</v>
      </c>
      <c r="I288" s="15">
        <v>1431.0</v>
      </c>
      <c r="J288" s="11">
        <v>15.9</v>
      </c>
      <c r="K288" s="10">
        <v>1.0</v>
      </c>
      <c r="L288" s="13">
        <v>0.0</v>
      </c>
      <c r="M288" s="11">
        <v>1.0</v>
      </c>
      <c r="N288" s="11">
        <v>1.0</v>
      </c>
      <c r="O288" s="13">
        <v>0.0</v>
      </c>
      <c r="P288" s="13">
        <v>0.0</v>
      </c>
      <c r="Q288" s="11">
        <v>2.0</v>
      </c>
      <c r="R288" s="13">
        <v>0.0</v>
      </c>
      <c r="S288" s="10">
        <v>0.06</v>
      </c>
      <c r="T288" s="13">
        <v>0.0</v>
      </c>
      <c r="U288" s="11">
        <v>0.06</v>
      </c>
      <c r="V288" s="11">
        <v>0.06</v>
      </c>
      <c r="W288" s="11">
        <v>0.06</v>
      </c>
      <c r="X288" s="14" t="s">
        <v>633</v>
      </c>
    </row>
    <row r="289">
      <c r="A289" s="7" t="s">
        <v>634</v>
      </c>
      <c r="B289" s="8" t="s">
        <v>635</v>
      </c>
      <c r="C289" s="9" t="s">
        <v>55</v>
      </c>
      <c r="D289" s="7" t="s">
        <v>62</v>
      </c>
      <c r="E289" s="9">
        <v>23.0</v>
      </c>
      <c r="F289" s="9">
        <v>2000.0</v>
      </c>
      <c r="G289" s="10">
        <v>9.0</v>
      </c>
      <c r="H289" s="11">
        <v>1.0</v>
      </c>
      <c r="I289" s="11">
        <v>147.0</v>
      </c>
      <c r="J289" s="11">
        <v>1.6</v>
      </c>
      <c r="K289" s="12">
        <v>0.0</v>
      </c>
      <c r="L289" s="13">
        <v>0.0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2">
        <v>0.0</v>
      </c>
      <c r="T289" s="13">
        <v>0.0</v>
      </c>
      <c r="U289" s="13">
        <v>0.0</v>
      </c>
      <c r="V289" s="13">
        <v>0.0</v>
      </c>
      <c r="W289" s="13">
        <v>0.0</v>
      </c>
      <c r="X289" s="14" t="s">
        <v>636</v>
      </c>
    </row>
    <row r="290">
      <c r="A290" s="7" t="s">
        <v>637</v>
      </c>
      <c r="B290" s="8" t="s">
        <v>34</v>
      </c>
      <c r="C290" s="9" t="s">
        <v>26</v>
      </c>
      <c r="D290" s="7" t="s">
        <v>52</v>
      </c>
      <c r="E290" s="9">
        <v>25.0</v>
      </c>
      <c r="F290" s="9">
        <v>1998.0</v>
      </c>
      <c r="G290" s="10">
        <v>33.0</v>
      </c>
      <c r="H290" s="11">
        <v>30.0</v>
      </c>
      <c r="I290" s="15">
        <v>2585.0</v>
      </c>
      <c r="J290" s="11">
        <v>28.7</v>
      </c>
      <c r="K290" s="10">
        <v>7.0</v>
      </c>
      <c r="L290" s="11">
        <v>4.0</v>
      </c>
      <c r="M290" s="11">
        <v>11.0</v>
      </c>
      <c r="N290" s="11">
        <v>3.0</v>
      </c>
      <c r="O290" s="11">
        <v>4.0</v>
      </c>
      <c r="P290" s="11">
        <v>4.0</v>
      </c>
      <c r="Q290" s="11">
        <v>5.0</v>
      </c>
      <c r="R290" s="13">
        <v>0.0</v>
      </c>
      <c r="S290" s="10">
        <v>0.24</v>
      </c>
      <c r="T290" s="11">
        <v>0.14</v>
      </c>
      <c r="U290" s="11">
        <v>0.38</v>
      </c>
      <c r="V290" s="11">
        <v>0.1</v>
      </c>
      <c r="W290" s="11">
        <v>0.24</v>
      </c>
      <c r="X290" s="14" t="s">
        <v>638</v>
      </c>
    </row>
    <row r="291">
      <c r="A291" s="7" t="s">
        <v>639</v>
      </c>
      <c r="B291" s="8" t="s">
        <v>25</v>
      </c>
      <c r="C291" s="9" t="s">
        <v>26</v>
      </c>
      <c r="D291" s="7" t="s">
        <v>128</v>
      </c>
      <c r="E291" s="9">
        <v>24.0</v>
      </c>
      <c r="F291" s="9">
        <v>1999.0</v>
      </c>
      <c r="G291" s="10">
        <v>30.0</v>
      </c>
      <c r="H291" s="11">
        <v>21.0</v>
      </c>
      <c r="I291" s="15">
        <v>1983.0</v>
      </c>
      <c r="J291" s="11">
        <v>22.0</v>
      </c>
      <c r="K291" s="10">
        <v>2.0</v>
      </c>
      <c r="L291" s="11">
        <v>4.0</v>
      </c>
      <c r="M291" s="11">
        <v>6.0</v>
      </c>
      <c r="N291" s="11">
        <v>2.0</v>
      </c>
      <c r="O291" s="13">
        <v>0.0</v>
      </c>
      <c r="P291" s="13">
        <v>0.0</v>
      </c>
      <c r="Q291" s="11">
        <v>3.0</v>
      </c>
      <c r="R291" s="13">
        <v>0.0</v>
      </c>
      <c r="S291" s="10">
        <v>0.09</v>
      </c>
      <c r="T291" s="11">
        <v>0.18</v>
      </c>
      <c r="U291" s="11">
        <v>0.27</v>
      </c>
      <c r="V291" s="11">
        <v>0.09</v>
      </c>
      <c r="W291" s="11">
        <v>0.27</v>
      </c>
      <c r="X291" s="14" t="s">
        <v>640</v>
      </c>
    </row>
    <row r="292">
      <c r="A292" s="7" t="s">
        <v>641</v>
      </c>
      <c r="B292" s="8" t="s">
        <v>34</v>
      </c>
      <c r="C292" s="9" t="s">
        <v>47</v>
      </c>
      <c r="D292" s="7" t="s">
        <v>58</v>
      </c>
      <c r="E292" s="9">
        <v>21.0</v>
      </c>
      <c r="F292" s="9">
        <v>2002.0</v>
      </c>
      <c r="G292" s="10">
        <v>25.0</v>
      </c>
      <c r="H292" s="11">
        <v>23.0</v>
      </c>
      <c r="I292" s="15">
        <v>1935.0</v>
      </c>
      <c r="J292" s="11">
        <v>21.5</v>
      </c>
      <c r="K292" s="10">
        <v>8.0</v>
      </c>
      <c r="L292" s="11">
        <v>4.0</v>
      </c>
      <c r="M292" s="11">
        <v>12.0</v>
      </c>
      <c r="N292" s="11">
        <v>4.0</v>
      </c>
      <c r="O292" s="11">
        <v>4.0</v>
      </c>
      <c r="P292" s="11">
        <v>4.0</v>
      </c>
      <c r="Q292" s="13">
        <v>0.0</v>
      </c>
      <c r="R292" s="13">
        <v>0.0</v>
      </c>
      <c r="S292" s="10">
        <v>0.37</v>
      </c>
      <c r="T292" s="11">
        <v>0.19</v>
      </c>
      <c r="U292" s="11">
        <v>0.56</v>
      </c>
      <c r="V292" s="11">
        <v>0.19</v>
      </c>
      <c r="W292" s="11">
        <v>0.37</v>
      </c>
      <c r="X292" s="14" t="s">
        <v>642</v>
      </c>
    </row>
    <row r="293">
      <c r="A293" s="7" t="s">
        <v>643</v>
      </c>
      <c r="B293" s="8" t="s">
        <v>25</v>
      </c>
      <c r="C293" s="9" t="s">
        <v>55</v>
      </c>
      <c r="D293" s="7" t="s">
        <v>128</v>
      </c>
      <c r="E293" s="9">
        <v>23.0</v>
      </c>
      <c r="F293" s="9">
        <v>2000.0</v>
      </c>
      <c r="G293" s="10">
        <v>28.0</v>
      </c>
      <c r="H293" s="11">
        <v>12.0</v>
      </c>
      <c r="I293" s="15">
        <v>1286.0</v>
      </c>
      <c r="J293" s="11">
        <v>14.3</v>
      </c>
      <c r="K293" s="10">
        <v>7.0</v>
      </c>
      <c r="L293" s="11">
        <v>1.0</v>
      </c>
      <c r="M293" s="11">
        <v>8.0</v>
      </c>
      <c r="N293" s="11">
        <v>7.0</v>
      </c>
      <c r="O293" s="13">
        <v>0.0</v>
      </c>
      <c r="P293" s="13">
        <v>0.0</v>
      </c>
      <c r="Q293" s="11">
        <v>1.0</v>
      </c>
      <c r="R293" s="13">
        <v>0.0</v>
      </c>
      <c r="S293" s="10">
        <v>0.49</v>
      </c>
      <c r="T293" s="11">
        <v>0.07</v>
      </c>
      <c r="U293" s="11">
        <v>0.56</v>
      </c>
      <c r="V293" s="11">
        <v>0.49</v>
      </c>
      <c r="W293" s="11">
        <v>0.56</v>
      </c>
      <c r="X293" s="14" t="s">
        <v>644</v>
      </c>
    </row>
    <row r="294">
      <c r="A294" s="7" t="s">
        <v>645</v>
      </c>
      <c r="B294" s="8" t="s">
        <v>34</v>
      </c>
      <c r="C294" s="9" t="s">
        <v>35</v>
      </c>
      <c r="D294" s="7" t="s">
        <v>80</v>
      </c>
      <c r="E294" s="9">
        <v>19.0</v>
      </c>
      <c r="F294" s="9">
        <v>2004.0</v>
      </c>
      <c r="G294" s="10">
        <v>18.0</v>
      </c>
      <c r="H294" s="11">
        <v>17.0</v>
      </c>
      <c r="I294" s="15">
        <v>1518.0</v>
      </c>
      <c r="J294" s="11">
        <v>16.9</v>
      </c>
      <c r="K294" s="12">
        <v>0.0</v>
      </c>
      <c r="L294" s="13">
        <v>0.0</v>
      </c>
      <c r="M294" s="13">
        <v>0.0</v>
      </c>
      <c r="N294" s="13">
        <v>0.0</v>
      </c>
      <c r="O294" s="13">
        <v>0.0</v>
      </c>
      <c r="P294" s="13">
        <v>0.0</v>
      </c>
      <c r="Q294" s="11">
        <v>3.0</v>
      </c>
      <c r="R294" s="13">
        <v>0.0</v>
      </c>
      <c r="S294" s="12">
        <v>0.0</v>
      </c>
      <c r="T294" s="13">
        <v>0.0</v>
      </c>
      <c r="U294" s="13">
        <v>0.0</v>
      </c>
      <c r="V294" s="13">
        <v>0.0</v>
      </c>
      <c r="W294" s="13">
        <v>0.0</v>
      </c>
      <c r="X294" s="14" t="s">
        <v>646</v>
      </c>
    </row>
    <row r="295">
      <c r="A295" s="7" t="s">
        <v>647</v>
      </c>
      <c r="B295" s="8" t="s">
        <v>25</v>
      </c>
      <c r="C295" s="9" t="s">
        <v>55</v>
      </c>
      <c r="D295" s="7" t="s">
        <v>27</v>
      </c>
      <c r="E295" s="9">
        <v>25.0</v>
      </c>
      <c r="F295" s="9">
        <v>1998.0</v>
      </c>
      <c r="G295" s="10">
        <v>11.0</v>
      </c>
      <c r="H295" s="11">
        <v>8.0</v>
      </c>
      <c r="I295" s="11">
        <v>659.0</v>
      </c>
      <c r="J295" s="11">
        <v>7.3</v>
      </c>
      <c r="K295" s="10">
        <v>1.0</v>
      </c>
      <c r="L295" s="11">
        <v>5.0</v>
      </c>
      <c r="M295" s="11">
        <v>6.0</v>
      </c>
      <c r="N295" s="11">
        <v>1.0</v>
      </c>
      <c r="O295" s="13">
        <v>0.0</v>
      </c>
      <c r="P295" s="13">
        <v>0.0</v>
      </c>
      <c r="Q295" s="13">
        <v>0.0</v>
      </c>
      <c r="R295" s="13">
        <v>0.0</v>
      </c>
      <c r="S295" s="10">
        <v>0.14</v>
      </c>
      <c r="T295" s="11">
        <v>0.68</v>
      </c>
      <c r="U295" s="11">
        <v>0.82</v>
      </c>
      <c r="V295" s="11">
        <v>0.14</v>
      </c>
      <c r="W295" s="11">
        <v>0.82</v>
      </c>
      <c r="X295" s="14" t="s">
        <v>648</v>
      </c>
    </row>
    <row r="296">
      <c r="A296" s="7" t="s">
        <v>649</v>
      </c>
      <c r="B296" s="8" t="s">
        <v>34</v>
      </c>
      <c r="C296" s="9" t="s">
        <v>83</v>
      </c>
      <c r="D296" s="7" t="s">
        <v>80</v>
      </c>
      <c r="E296" s="9">
        <v>20.0</v>
      </c>
      <c r="F296" s="9">
        <v>2003.0</v>
      </c>
      <c r="G296" s="10">
        <v>18.0</v>
      </c>
      <c r="H296" s="11">
        <v>17.0</v>
      </c>
      <c r="I296" s="15">
        <v>1388.0</v>
      </c>
      <c r="J296" s="11">
        <v>15.4</v>
      </c>
      <c r="K296" s="12">
        <v>0.0</v>
      </c>
      <c r="L296" s="13">
        <v>0.0</v>
      </c>
      <c r="M296" s="13">
        <v>0.0</v>
      </c>
      <c r="N296" s="13">
        <v>0.0</v>
      </c>
      <c r="O296" s="13">
        <v>0.0</v>
      </c>
      <c r="P296" s="13">
        <v>0.0</v>
      </c>
      <c r="Q296" s="11">
        <v>5.0</v>
      </c>
      <c r="R296" s="13">
        <v>0.0</v>
      </c>
      <c r="S296" s="12">
        <v>0.0</v>
      </c>
      <c r="T296" s="13">
        <v>0.0</v>
      </c>
      <c r="U296" s="13">
        <v>0.0</v>
      </c>
      <c r="V296" s="13">
        <v>0.0</v>
      </c>
      <c r="W296" s="13">
        <v>0.0</v>
      </c>
      <c r="X296" s="14" t="s">
        <v>650</v>
      </c>
    </row>
    <row r="297">
      <c r="A297" s="7" t="s">
        <v>651</v>
      </c>
      <c r="B297" s="8" t="s">
        <v>43</v>
      </c>
      <c r="C297" s="17" t="s">
        <v>30</v>
      </c>
      <c r="D297" s="7" t="s">
        <v>36</v>
      </c>
      <c r="E297" s="17">
        <v>21.0</v>
      </c>
      <c r="F297" s="17">
        <v>2002.0</v>
      </c>
      <c r="G297" s="18">
        <v>17.0</v>
      </c>
      <c r="H297" s="19">
        <v>13.0</v>
      </c>
      <c r="I297" s="20">
        <v>1137.0</v>
      </c>
      <c r="J297" s="19">
        <v>12.6</v>
      </c>
      <c r="K297" s="18">
        <v>3.0</v>
      </c>
      <c r="L297" s="21">
        <v>0.0</v>
      </c>
      <c r="M297" s="19">
        <v>3.0</v>
      </c>
      <c r="N297" s="19">
        <v>3.0</v>
      </c>
      <c r="O297" s="21">
        <v>0.0</v>
      </c>
      <c r="P297" s="21">
        <v>0.0</v>
      </c>
      <c r="Q297" s="19">
        <v>1.0</v>
      </c>
      <c r="R297" s="21">
        <v>0.0</v>
      </c>
      <c r="S297" s="18">
        <v>0.24</v>
      </c>
      <c r="T297" s="21">
        <v>0.0</v>
      </c>
      <c r="U297" s="19">
        <v>0.24</v>
      </c>
      <c r="V297" s="19">
        <v>0.24</v>
      </c>
      <c r="W297" s="19">
        <v>0.24</v>
      </c>
      <c r="X297" s="22" t="s">
        <v>652</v>
      </c>
    </row>
  </sheetData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  <hyperlink r:id="rId24" ref="X25"/>
    <hyperlink r:id="rId25" ref="X26"/>
    <hyperlink r:id="rId26" ref="X27"/>
    <hyperlink r:id="rId27" ref="X28"/>
    <hyperlink r:id="rId28" ref="X29"/>
    <hyperlink r:id="rId29" ref="X30"/>
    <hyperlink r:id="rId30" ref="X31"/>
    <hyperlink r:id="rId31" ref="X32"/>
    <hyperlink r:id="rId32" ref="X33"/>
    <hyperlink r:id="rId33" ref="X34"/>
    <hyperlink r:id="rId34" ref="X35"/>
    <hyperlink r:id="rId35" ref="X36"/>
    <hyperlink r:id="rId36" ref="X37"/>
    <hyperlink r:id="rId37" ref="X38"/>
    <hyperlink r:id="rId38" ref="X39"/>
    <hyperlink r:id="rId39" ref="X40"/>
    <hyperlink r:id="rId40" ref="X41"/>
    <hyperlink r:id="rId41" ref="X42"/>
    <hyperlink r:id="rId42" ref="X43"/>
    <hyperlink r:id="rId43" ref="X44"/>
    <hyperlink r:id="rId44" ref="X45"/>
    <hyperlink r:id="rId45" ref="X46"/>
    <hyperlink r:id="rId46" ref="X47"/>
    <hyperlink r:id="rId47" ref="X48"/>
    <hyperlink r:id="rId48" ref="X49"/>
    <hyperlink r:id="rId49" ref="X50"/>
    <hyperlink r:id="rId50" ref="X51"/>
    <hyperlink r:id="rId51" ref="X52"/>
    <hyperlink r:id="rId52" ref="X53"/>
    <hyperlink r:id="rId53" ref="X54"/>
    <hyperlink r:id="rId54" ref="X55"/>
    <hyperlink r:id="rId55" ref="X56"/>
    <hyperlink r:id="rId56" ref="X57"/>
    <hyperlink r:id="rId57" ref="X58"/>
    <hyperlink r:id="rId58" ref="X59"/>
    <hyperlink r:id="rId59" ref="X60"/>
    <hyperlink r:id="rId60" ref="X61"/>
    <hyperlink r:id="rId61" ref="X62"/>
    <hyperlink r:id="rId62" ref="X63"/>
    <hyperlink r:id="rId63" ref="X64"/>
    <hyperlink r:id="rId64" ref="X65"/>
    <hyperlink r:id="rId65" ref="X66"/>
    <hyperlink r:id="rId66" ref="X67"/>
    <hyperlink r:id="rId67" ref="X68"/>
    <hyperlink r:id="rId68" ref="X69"/>
    <hyperlink r:id="rId69" ref="X70"/>
    <hyperlink r:id="rId70" ref="X71"/>
    <hyperlink r:id="rId71" ref="X72"/>
    <hyperlink r:id="rId72" ref="X73"/>
    <hyperlink r:id="rId73" ref="X74"/>
    <hyperlink r:id="rId74" ref="X75"/>
    <hyperlink r:id="rId75" ref="X76"/>
    <hyperlink r:id="rId76" ref="X77"/>
    <hyperlink r:id="rId77" ref="X78"/>
    <hyperlink r:id="rId78" ref="X79"/>
    <hyperlink r:id="rId79" ref="X80"/>
    <hyperlink r:id="rId80" ref="X81"/>
    <hyperlink r:id="rId81" ref="X82"/>
    <hyperlink r:id="rId82" ref="X83"/>
    <hyperlink r:id="rId83" ref="X84"/>
    <hyperlink r:id="rId84" ref="X85"/>
    <hyperlink r:id="rId85" ref="X86"/>
    <hyperlink r:id="rId86" ref="X87"/>
    <hyperlink r:id="rId87" ref="X88"/>
    <hyperlink r:id="rId88" ref="X89"/>
    <hyperlink r:id="rId89" ref="X90"/>
    <hyperlink r:id="rId90" ref="X91"/>
    <hyperlink r:id="rId91" ref="X92"/>
    <hyperlink r:id="rId92" ref="X93"/>
    <hyperlink r:id="rId93" ref="X94"/>
    <hyperlink r:id="rId94" ref="X95"/>
    <hyperlink r:id="rId95" ref="X96"/>
    <hyperlink r:id="rId96" ref="X97"/>
    <hyperlink r:id="rId97" ref="X98"/>
    <hyperlink r:id="rId98" ref="X99"/>
    <hyperlink r:id="rId99" ref="X100"/>
    <hyperlink r:id="rId100" ref="X101"/>
    <hyperlink r:id="rId101" ref="X102"/>
    <hyperlink r:id="rId102" ref="X103"/>
    <hyperlink r:id="rId103" ref="X104"/>
    <hyperlink r:id="rId104" ref="X105"/>
    <hyperlink r:id="rId105" ref="X106"/>
    <hyperlink r:id="rId106" ref="X107"/>
    <hyperlink r:id="rId107" ref="X108"/>
    <hyperlink r:id="rId108" ref="X109"/>
    <hyperlink r:id="rId109" ref="X110"/>
    <hyperlink r:id="rId110" ref="X111"/>
    <hyperlink r:id="rId111" ref="X112"/>
    <hyperlink r:id="rId112" ref="X113"/>
    <hyperlink r:id="rId113" ref="X114"/>
    <hyperlink r:id="rId114" ref="X115"/>
    <hyperlink r:id="rId115" ref="X116"/>
    <hyperlink r:id="rId116" ref="X117"/>
    <hyperlink r:id="rId117" ref="X118"/>
    <hyperlink r:id="rId118" ref="X119"/>
    <hyperlink r:id="rId119" ref="X120"/>
    <hyperlink r:id="rId120" ref="X121"/>
    <hyperlink r:id="rId121" ref="X122"/>
    <hyperlink r:id="rId122" ref="X123"/>
    <hyperlink r:id="rId123" ref="X124"/>
    <hyperlink r:id="rId124" ref="X125"/>
    <hyperlink r:id="rId125" ref="X126"/>
    <hyperlink r:id="rId126" ref="X127"/>
    <hyperlink r:id="rId127" ref="X128"/>
    <hyperlink r:id="rId128" ref="X129"/>
    <hyperlink r:id="rId129" ref="X130"/>
    <hyperlink r:id="rId130" ref="X131"/>
    <hyperlink r:id="rId131" ref="X132"/>
    <hyperlink r:id="rId132" ref="X133"/>
    <hyperlink r:id="rId133" ref="X134"/>
    <hyperlink r:id="rId134" ref="X135"/>
    <hyperlink r:id="rId135" ref="X136"/>
    <hyperlink r:id="rId136" ref="X137"/>
    <hyperlink r:id="rId137" ref="X138"/>
    <hyperlink r:id="rId138" ref="X139"/>
    <hyperlink r:id="rId139" ref="X140"/>
    <hyperlink r:id="rId140" ref="X141"/>
    <hyperlink r:id="rId141" ref="X142"/>
    <hyperlink r:id="rId142" ref="X143"/>
    <hyperlink r:id="rId143" ref="X144"/>
    <hyperlink r:id="rId144" ref="X145"/>
    <hyperlink r:id="rId145" ref="X146"/>
    <hyperlink r:id="rId146" ref="X147"/>
    <hyperlink r:id="rId147" ref="X148"/>
    <hyperlink r:id="rId148" ref="X149"/>
    <hyperlink r:id="rId149" ref="X150"/>
    <hyperlink r:id="rId150" ref="X151"/>
    <hyperlink r:id="rId151" ref="X152"/>
    <hyperlink r:id="rId152" ref="X153"/>
    <hyperlink r:id="rId153" ref="X154"/>
    <hyperlink r:id="rId154" ref="X155"/>
    <hyperlink r:id="rId155" ref="X156"/>
    <hyperlink r:id="rId156" ref="X157"/>
    <hyperlink r:id="rId157" ref="X158"/>
    <hyperlink r:id="rId158" ref="X159"/>
    <hyperlink r:id="rId159" ref="X160"/>
    <hyperlink r:id="rId160" ref="X161"/>
    <hyperlink r:id="rId161" ref="X162"/>
    <hyperlink r:id="rId162" ref="X163"/>
    <hyperlink r:id="rId163" ref="X164"/>
    <hyperlink r:id="rId164" ref="X165"/>
    <hyperlink r:id="rId165" ref="X166"/>
    <hyperlink r:id="rId166" ref="X167"/>
    <hyperlink r:id="rId167" ref="X168"/>
    <hyperlink r:id="rId168" ref="X169"/>
    <hyperlink r:id="rId169" ref="X170"/>
    <hyperlink r:id="rId170" ref="X171"/>
    <hyperlink r:id="rId171" ref="X172"/>
    <hyperlink r:id="rId172" ref="X173"/>
    <hyperlink r:id="rId173" ref="X174"/>
    <hyperlink r:id="rId174" ref="X175"/>
    <hyperlink r:id="rId175" ref="X176"/>
    <hyperlink r:id="rId176" ref="X177"/>
    <hyperlink r:id="rId177" ref="X178"/>
    <hyperlink r:id="rId178" ref="X179"/>
    <hyperlink r:id="rId179" ref="X180"/>
    <hyperlink r:id="rId180" ref="X181"/>
    <hyperlink r:id="rId181" ref="X182"/>
    <hyperlink r:id="rId182" ref="X183"/>
    <hyperlink r:id="rId183" ref="X184"/>
    <hyperlink r:id="rId184" ref="X185"/>
    <hyperlink r:id="rId185" ref="X186"/>
    <hyperlink r:id="rId186" ref="X187"/>
    <hyperlink r:id="rId187" ref="X188"/>
    <hyperlink r:id="rId188" ref="X189"/>
    <hyperlink r:id="rId189" ref="X190"/>
    <hyperlink r:id="rId190" ref="X191"/>
    <hyperlink r:id="rId191" ref="X192"/>
    <hyperlink r:id="rId192" ref="X193"/>
    <hyperlink r:id="rId193" ref="X194"/>
    <hyperlink r:id="rId194" ref="X195"/>
    <hyperlink r:id="rId195" ref="X196"/>
    <hyperlink r:id="rId196" ref="X197"/>
    <hyperlink r:id="rId197" ref="X198"/>
    <hyperlink r:id="rId198" ref="X199"/>
    <hyperlink r:id="rId199" ref="X200"/>
    <hyperlink r:id="rId200" ref="X201"/>
    <hyperlink r:id="rId201" ref="X202"/>
    <hyperlink r:id="rId202" ref="X203"/>
    <hyperlink r:id="rId203" ref="X204"/>
    <hyperlink r:id="rId204" ref="X205"/>
    <hyperlink r:id="rId205" ref="X206"/>
    <hyperlink r:id="rId206" ref="X207"/>
    <hyperlink r:id="rId207" ref="X208"/>
    <hyperlink r:id="rId208" ref="X209"/>
    <hyperlink r:id="rId209" ref="X210"/>
    <hyperlink r:id="rId210" ref="X211"/>
    <hyperlink r:id="rId211" ref="X212"/>
    <hyperlink r:id="rId212" ref="X213"/>
    <hyperlink r:id="rId213" ref="X214"/>
    <hyperlink r:id="rId214" ref="X215"/>
    <hyperlink r:id="rId215" ref="X216"/>
    <hyperlink r:id="rId216" ref="X217"/>
    <hyperlink r:id="rId217" ref="X218"/>
    <hyperlink r:id="rId218" ref="X219"/>
    <hyperlink r:id="rId219" ref="X220"/>
    <hyperlink r:id="rId220" ref="X221"/>
    <hyperlink r:id="rId221" ref="X222"/>
    <hyperlink r:id="rId222" ref="X223"/>
    <hyperlink r:id="rId223" ref="X224"/>
    <hyperlink r:id="rId224" ref="X225"/>
    <hyperlink r:id="rId225" ref="X226"/>
    <hyperlink r:id="rId226" ref="X227"/>
    <hyperlink r:id="rId227" ref="X228"/>
    <hyperlink r:id="rId228" ref="X229"/>
    <hyperlink r:id="rId229" ref="X230"/>
    <hyperlink r:id="rId230" ref="X231"/>
    <hyperlink r:id="rId231" ref="X232"/>
    <hyperlink r:id="rId232" ref="X233"/>
    <hyperlink r:id="rId233" ref="X234"/>
    <hyperlink r:id="rId234" ref="X235"/>
    <hyperlink r:id="rId235" ref="X236"/>
    <hyperlink r:id="rId236" ref="X237"/>
    <hyperlink r:id="rId237" ref="X238"/>
    <hyperlink r:id="rId238" ref="X239"/>
    <hyperlink r:id="rId239" ref="X240"/>
    <hyperlink r:id="rId240" ref="X241"/>
    <hyperlink r:id="rId241" ref="X242"/>
    <hyperlink r:id="rId242" ref="X243"/>
    <hyperlink r:id="rId243" ref="X244"/>
    <hyperlink r:id="rId244" ref="X245"/>
    <hyperlink r:id="rId245" ref="X246"/>
    <hyperlink r:id="rId246" ref="X247"/>
    <hyperlink r:id="rId247" ref="X248"/>
    <hyperlink r:id="rId248" ref="X249"/>
    <hyperlink r:id="rId249" ref="X250"/>
    <hyperlink r:id="rId250" ref="X251"/>
    <hyperlink r:id="rId251" ref="X252"/>
    <hyperlink r:id="rId252" ref="X253"/>
    <hyperlink r:id="rId253" ref="X254"/>
    <hyperlink r:id="rId254" ref="X255"/>
    <hyperlink r:id="rId255" ref="X256"/>
    <hyperlink r:id="rId256" ref="X257"/>
    <hyperlink r:id="rId257" ref="X258"/>
    <hyperlink r:id="rId258" ref="X259"/>
    <hyperlink r:id="rId259" ref="X260"/>
    <hyperlink r:id="rId260" ref="X261"/>
    <hyperlink r:id="rId261" ref="X262"/>
    <hyperlink r:id="rId262" ref="X263"/>
    <hyperlink r:id="rId263" ref="X264"/>
    <hyperlink r:id="rId264" ref="X265"/>
    <hyperlink r:id="rId265" ref="X266"/>
    <hyperlink r:id="rId266" ref="X267"/>
    <hyperlink r:id="rId267" ref="X268"/>
    <hyperlink r:id="rId268" ref="X269"/>
    <hyperlink r:id="rId269" ref="X270"/>
    <hyperlink r:id="rId270" ref="X271"/>
    <hyperlink r:id="rId271" ref="X272"/>
    <hyperlink r:id="rId272" ref="X273"/>
    <hyperlink r:id="rId273" ref="X274"/>
    <hyperlink r:id="rId274" ref="X275"/>
    <hyperlink r:id="rId275" ref="X276"/>
    <hyperlink r:id="rId276" ref="X277"/>
    <hyperlink r:id="rId277" ref="X278"/>
    <hyperlink r:id="rId278" ref="X279"/>
    <hyperlink r:id="rId279" ref="X280"/>
    <hyperlink r:id="rId280" ref="X281"/>
    <hyperlink r:id="rId281" ref="X282"/>
    <hyperlink r:id="rId282" ref="X283"/>
    <hyperlink r:id="rId283" ref="X284"/>
    <hyperlink r:id="rId284" ref="X285"/>
    <hyperlink r:id="rId285" ref="X286"/>
    <hyperlink r:id="rId286" ref="X287"/>
    <hyperlink r:id="rId287" ref="X288"/>
    <hyperlink r:id="rId288" ref="X289"/>
    <hyperlink r:id="rId289" ref="X290"/>
    <hyperlink r:id="rId290" ref="X291"/>
    <hyperlink r:id="rId291" ref="X292"/>
    <hyperlink r:id="rId292" ref="X293"/>
    <hyperlink r:id="rId293" ref="X294"/>
    <hyperlink r:id="rId294" ref="X295"/>
    <hyperlink r:id="rId295" ref="X296"/>
    <hyperlink r:id="rId296" ref="X297"/>
  </hyperlinks>
  <drawing r:id="rId2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.75"/>
    <col customWidth="1" min="3" max="3" width="6.38"/>
    <col customWidth="1" min="4" max="4" width="14.25"/>
    <col customWidth="1" min="5" max="5" width="4.0"/>
    <col customWidth="1" min="6" max="6" width="4.75"/>
    <col customWidth="1" min="7" max="7" width="10.63"/>
    <col customWidth="1" min="8" max="8" width="5.38"/>
    <col customWidth="1" min="9" max="9" width="5.13"/>
    <col customWidth="1" min="10" max="10" width="4.25"/>
    <col customWidth="1" min="11" max="11" width="10.5"/>
    <col customWidth="1" min="12" max="12" width="3.38"/>
    <col customWidth="1" min="13" max="13" width="4.38"/>
    <col customWidth="1" min="14" max="14" width="5.13"/>
    <col customWidth="1" min="15" max="15" width="3.25"/>
    <col customWidth="1" min="16" max="16" width="5.13"/>
    <col customWidth="1" min="17" max="17" width="4.75"/>
    <col customWidth="1" min="18" max="18" width="4.88"/>
    <col customWidth="1" min="19" max="19" width="12.25"/>
    <col customWidth="1" min="20" max="20" width="4.25"/>
    <col customWidth="1" min="21" max="21" width="4.38"/>
    <col customWidth="1" min="22" max="22" width="5.13"/>
    <col customWidth="1" min="23" max="23" width="7.13"/>
    <col customWidth="1" min="24" max="24" width="6.25"/>
    <col customWidth="1" min="25" max="25" width="6.5"/>
    <col customWidth="1" min="26" max="28" width="20.25"/>
    <col customWidth="1" min="29" max="32" width="20.5"/>
  </cols>
  <sheetData>
    <row r="1" ht="15.0" customHeight="1">
      <c r="G1" s="7" t="s">
        <v>653</v>
      </c>
      <c r="H1" s="7"/>
      <c r="I1" s="7"/>
      <c r="J1" s="7"/>
      <c r="K1" s="7" t="s">
        <v>654</v>
      </c>
      <c r="L1" s="7"/>
      <c r="M1" s="7"/>
      <c r="N1" s="7"/>
      <c r="O1" s="7"/>
      <c r="P1" s="7"/>
      <c r="Q1" s="7" t="s">
        <v>16</v>
      </c>
      <c r="R1" s="7" t="s">
        <v>17</v>
      </c>
      <c r="S1" s="7" t="s">
        <v>655</v>
      </c>
      <c r="T1" s="7"/>
      <c r="U1" s="7"/>
      <c r="V1" s="7"/>
      <c r="W1" s="7"/>
      <c r="X1" s="1" t="s">
        <v>656</v>
      </c>
      <c r="Y1" s="1" t="s">
        <v>657</v>
      </c>
      <c r="Z1" s="7" t="s">
        <v>658</v>
      </c>
      <c r="AA1" s="7"/>
      <c r="AB1" s="7"/>
      <c r="AC1" s="7"/>
      <c r="AD1" s="23"/>
    </row>
    <row r="2" ht="15.0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659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1" t="s">
        <v>660</v>
      </c>
      <c r="T2" s="7" t="s">
        <v>11</v>
      </c>
      <c r="U2" s="7" t="s">
        <v>659</v>
      </c>
      <c r="V2" s="7" t="s">
        <v>13</v>
      </c>
      <c r="W2" s="7" t="s">
        <v>661</v>
      </c>
      <c r="X2" s="1" t="s">
        <v>656</v>
      </c>
      <c r="Y2" s="1" t="s">
        <v>657</v>
      </c>
      <c r="Z2" s="7" t="s">
        <v>658</v>
      </c>
      <c r="AA2" s="1" t="s">
        <v>662</v>
      </c>
      <c r="AB2" s="1" t="s">
        <v>663</v>
      </c>
      <c r="AC2" s="1" t="s">
        <v>664</v>
      </c>
      <c r="AD2" s="23"/>
      <c r="AF2" s="24" t="str">
        <f t="shared" ref="AF2:AF298" si="1">IF(RIGHT(Y2,1)="k", VALUE(SUBSTITUTE(SUBSTITUTE(Y2,"€",""),"k",""))*1000,
 IF(RIGHT(Y2,1)="m", VALUE(SUBSTITUTE(SUBSTITUTE(Y2,"€",""),"m",""))*1000000,
 VALUE(SUBSTITUTE(Y2,"€",""))))
</f>
        <v>#VALUE!</v>
      </c>
    </row>
    <row r="3" ht="15.0" customHeight="1">
      <c r="A3" s="7" t="s">
        <v>24</v>
      </c>
      <c r="B3" s="7" t="s">
        <v>25</v>
      </c>
      <c r="C3" s="7" t="s">
        <v>26</v>
      </c>
      <c r="D3" s="7" t="s">
        <v>27</v>
      </c>
      <c r="E3" s="7">
        <v>23.0</v>
      </c>
      <c r="F3" s="7">
        <v>2000.0</v>
      </c>
      <c r="G3" s="7">
        <v>17.0</v>
      </c>
      <c r="H3" s="7">
        <v>10.0</v>
      </c>
      <c r="I3" s="7">
        <v>960.0</v>
      </c>
      <c r="J3" s="7">
        <v>10.7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3.0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Y3" s="7" t="s">
        <v>665</v>
      </c>
      <c r="Z3" s="7">
        <v>1.0277777777777777</v>
      </c>
      <c r="AA3" s="7" t="str">
        <f t="shared" ref="AA3:AA298" si="2">IF(OR(ISNUMBER(SEARCH("DF", C3)), ISNUMBER(SEARCH("GK", C3))), "D",
IF(ISNUMBER(SEARCH("MF", C3)), "M",
IF(ISNUMBER(SEARCH("FW", C3)), "A","Unknown")))</f>
        <v>M</v>
      </c>
      <c r="AB3" s="7">
        <f t="shared" ref="AB3:AB298" si="3">Z3 * IF(AA3="M", 2, IF(AA3="A", 4, 1))
</f>
        <v>2.055555556</v>
      </c>
      <c r="AC3" s="7">
        <f t="shared" ref="AC3:AC298" si="4">1/(AB3)</f>
        <v>0.4864864865</v>
      </c>
      <c r="AD3" s="1" t="s">
        <v>666</v>
      </c>
      <c r="AE3" s="24">
        <f>AVERAGEIF($AA$2:$AA$100, "D", $S$2:$S$100)
</f>
        <v>0.03552631579</v>
      </c>
      <c r="AF3" s="24">
        <f t="shared" si="1"/>
        <v>91000</v>
      </c>
    </row>
    <row r="4">
      <c r="A4" s="7" t="s">
        <v>29</v>
      </c>
      <c r="B4" s="7" t="s">
        <v>25</v>
      </c>
      <c r="C4" s="7" t="s">
        <v>30</v>
      </c>
      <c r="D4" s="7" t="s">
        <v>31</v>
      </c>
      <c r="E4" s="7">
        <v>34.0</v>
      </c>
      <c r="F4" s="7">
        <v>1990.0</v>
      </c>
      <c r="G4" s="7">
        <v>30.0</v>
      </c>
      <c r="H4" s="7">
        <v>16.0</v>
      </c>
      <c r="I4" s="25">
        <v>1687.0</v>
      </c>
      <c r="J4" s="7">
        <v>18.7</v>
      </c>
      <c r="K4" s="7">
        <v>8.0</v>
      </c>
      <c r="L4" s="7">
        <v>2.0</v>
      </c>
      <c r="M4" s="7">
        <v>10.0</v>
      </c>
      <c r="N4" s="7">
        <v>8.0</v>
      </c>
      <c r="O4" s="7">
        <v>0.0</v>
      </c>
      <c r="P4" s="7">
        <v>0.0</v>
      </c>
      <c r="Q4" s="7">
        <v>2.0</v>
      </c>
      <c r="R4" s="7">
        <v>0.0</v>
      </c>
      <c r="S4" s="7">
        <v>0.43</v>
      </c>
      <c r="T4" s="7">
        <v>0.11</v>
      </c>
      <c r="U4" s="7">
        <v>0.53</v>
      </c>
      <c r="V4" s="7">
        <v>0.43</v>
      </c>
      <c r="W4" s="7">
        <v>0.53</v>
      </c>
      <c r="X4" s="7" t="s">
        <v>667</v>
      </c>
      <c r="Y4" s="7" t="s">
        <v>668</v>
      </c>
      <c r="Z4" s="7">
        <v>0.9722222222222222</v>
      </c>
      <c r="AA4" s="7" t="str">
        <f t="shared" si="2"/>
        <v>M</v>
      </c>
      <c r="AB4" s="7">
        <f t="shared" si="3"/>
        <v>1.944444444</v>
      </c>
      <c r="AC4" s="7">
        <f t="shared" si="4"/>
        <v>0.5142857143</v>
      </c>
      <c r="AD4" s="1" t="s">
        <v>669</v>
      </c>
      <c r="AE4" s="24">
        <f>AVERAGEIF($AA$2:$AA$100, "D", $AC$2:$AC$100)
</f>
        <v>0.9223164797</v>
      </c>
      <c r="AF4" s="24">
        <f t="shared" si="1"/>
        <v>100000</v>
      </c>
    </row>
    <row r="5">
      <c r="A5" s="7" t="s">
        <v>33</v>
      </c>
      <c r="B5" s="7" t="s">
        <v>34</v>
      </c>
      <c r="C5" s="7" t="s">
        <v>35</v>
      </c>
      <c r="D5" s="7" t="s">
        <v>36</v>
      </c>
      <c r="E5" s="7">
        <v>22.0</v>
      </c>
      <c r="F5" s="7">
        <v>2001.0</v>
      </c>
      <c r="G5" s="7">
        <v>3.0</v>
      </c>
      <c r="H5" s="7">
        <v>1.0</v>
      </c>
      <c r="I5" s="7">
        <v>153.0</v>
      </c>
      <c r="J5" s="7">
        <v>1.7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 t="s">
        <v>670</v>
      </c>
      <c r="Y5" s="7" t="s">
        <v>671</v>
      </c>
      <c r="Z5" s="7">
        <v>1.6111111111111112</v>
      </c>
      <c r="AA5" s="7" t="str">
        <f t="shared" si="2"/>
        <v>D</v>
      </c>
      <c r="AB5" s="7">
        <f t="shared" si="3"/>
        <v>1.611111111</v>
      </c>
      <c r="AC5" s="7">
        <f t="shared" si="4"/>
        <v>0.6206896552</v>
      </c>
      <c r="AD5" s="23" t="s">
        <v>672</v>
      </c>
      <c r="AE5" s="24">
        <f>AVERAGEIF($AA$2:$AA$100, "A", $S$2:$S$100)</f>
        <v>0.4272727273</v>
      </c>
      <c r="AF5" s="24">
        <f t="shared" si="1"/>
        <v>50000</v>
      </c>
    </row>
    <row r="6">
      <c r="A6" s="7" t="s">
        <v>38</v>
      </c>
      <c r="B6" s="7" t="s">
        <v>25</v>
      </c>
      <c r="C6" s="7" t="s">
        <v>26</v>
      </c>
      <c r="D6" s="7" t="s">
        <v>31</v>
      </c>
      <c r="E6" s="7">
        <v>28.0</v>
      </c>
      <c r="F6" s="7">
        <v>1995.0</v>
      </c>
      <c r="G6" s="7">
        <v>12.0</v>
      </c>
      <c r="H6" s="7">
        <v>2.0</v>
      </c>
      <c r="I6" s="7">
        <v>403.0</v>
      </c>
      <c r="J6" s="7">
        <v>4.5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1.0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 t="s">
        <v>673</v>
      </c>
      <c r="Y6" s="7" t="s">
        <v>674</v>
      </c>
      <c r="Z6" s="7">
        <v>0.9722222222222222</v>
      </c>
      <c r="AA6" s="7" t="str">
        <f t="shared" si="2"/>
        <v>M</v>
      </c>
      <c r="AB6" s="7">
        <f t="shared" si="3"/>
        <v>1.944444444</v>
      </c>
      <c r="AC6" s="7">
        <f t="shared" si="4"/>
        <v>0.5142857143</v>
      </c>
      <c r="AD6" s="23" t="s">
        <v>675</v>
      </c>
      <c r="AE6" s="7">
        <f>AVERAGEIF($AA$2:$AA$100, "A", $AC$2:$AC$100)</f>
        <v>0.2464191429</v>
      </c>
      <c r="AF6" s="24">
        <f t="shared" si="1"/>
        <v>400000</v>
      </c>
    </row>
    <row r="7">
      <c r="A7" s="7" t="s">
        <v>40</v>
      </c>
      <c r="B7" s="7" t="s">
        <v>25</v>
      </c>
      <c r="C7" s="7" t="s">
        <v>26</v>
      </c>
      <c r="D7" s="7" t="s">
        <v>36</v>
      </c>
      <c r="E7" s="7">
        <v>23.0</v>
      </c>
      <c r="F7" s="7">
        <v>2000.0</v>
      </c>
      <c r="G7" s="7">
        <v>12.0</v>
      </c>
      <c r="H7" s="7">
        <v>4.0</v>
      </c>
      <c r="I7" s="7">
        <v>486.0</v>
      </c>
      <c r="J7" s="7">
        <v>5.4</v>
      </c>
      <c r="K7" s="7">
        <v>1.0</v>
      </c>
      <c r="L7" s="7">
        <v>0.0</v>
      </c>
      <c r="M7" s="7">
        <v>1.0</v>
      </c>
      <c r="N7" s="7">
        <v>1.0</v>
      </c>
      <c r="O7" s="7">
        <v>0.0</v>
      </c>
      <c r="P7" s="7">
        <v>0.0</v>
      </c>
      <c r="Q7" s="7">
        <v>1.0</v>
      </c>
      <c r="R7" s="7">
        <v>0.0</v>
      </c>
      <c r="S7" s="7">
        <v>0.19</v>
      </c>
      <c r="T7" s="7">
        <v>0.0</v>
      </c>
      <c r="U7" s="7">
        <v>0.19</v>
      </c>
      <c r="V7" s="7">
        <v>0.19</v>
      </c>
      <c r="W7" s="7">
        <v>0.19</v>
      </c>
      <c r="X7" s="7" t="s">
        <v>676</v>
      </c>
      <c r="Y7" s="24" t="s">
        <v>677</v>
      </c>
      <c r="Z7" s="7">
        <v>1.6111111111111112</v>
      </c>
      <c r="AA7" s="7" t="str">
        <f t="shared" si="2"/>
        <v>M</v>
      </c>
      <c r="AB7" s="7">
        <f t="shared" si="3"/>
        <v>3.222222222</v>
      </c>
      <c r="AC7" s="7">
        <f t="shared" si="4"/>
        <v>0.3103448276</v>
      </c>
      <c r="AD7" s="7"/>
      <c r="AE7" s="7"/>
      <c r="AF7" s="24">
        <f t="shared" si="1"/>
        <v>19000</v>
      </c>
    </row>
    <row r="8">
      <c r="A8" s="7" t="s">
        <v>42</v>
      </c>
      <c r="B8" s="7" t="s">
        <v>43</v>
      </c>
      <c r="C8" s="7" t="s">
        <v>35</v>
      </c>
      <c r="D8" s="7" t="s">
        <v>44</v>
      </c>
      <c r="E8" s="7">
        <v>23.0</v>
      </c>
      <c r="F8" s="7">
        <v>2000.0</v>
      </c>
      <c r="G8" s="7">
        <v>16.0</v>
      </c>
      <c r="H8" s="7">
        <v>12.0</v>
      </c>
      <c r="I8" s="25">
        <v>1121.0</v>
      </c>
      <c r="J8" s="7">
        <v>12.5</v>
      </c>
      <c r="K8" s="7">
        <v>1.0</v>
      </c>
      <c r="L8" s="7">
        <v>0.0</v>
      </c>
      <c r="M8" s="7">
        <v>1.0</v>
      </c>
      <c r="N8" s="7">
        <v>1.0</v>
      </c>
      <c r="O8" s="7">
        <v>0.0</v>
      </c>
      <c r="P8" s="7">
        <v>0.0</v>
      </c>
      <c r="Q8" s="7">
        <v>4.0</v>
      </c>
      <c r="R8" s="7">
        <v>0.0</v>
      </c>
      <c r="S8" s="7">
        <v>0.08</v>
      </c>
      <c r="T8" s="7">
        <v>0.0</v>
      </c>
      <c r="U8" s="7">
        <v>0.08</v>
      </c>
      <c r="V8" s="7">
        <v>0.08</v>
      </c>
      <c r="W8" s="7">
        <v>0.08</v>
      </c>
      <c r="X8" s="7" t="s">
        <v>678</v>
      </c>
      <c r="Y8" s="7" t="s">
        <v>679</v>
      </c>
      <c r="Z8" s="7">
        <v>1.1944444444444444</v>
      </c>
      <c r="AA8" s="7" t="str">
        <f t="shared" si="2"/>
        <v>D</v>
      </c>
      <c r="AB8" s="7">
        <f t="shared" si="3"/>
        <v>1.194444444</v>
      </c>
      <c r="AC8" s="7">
        <f t="shared" si="4"/>
        <v>0.8372093023</v>
      </c>
      <c r="AD8" s="1" t="s">
        <v>680</v>
      </c>
      <c r="AE8" s="24">
        <f>AVERAGEIF($AA$2:$AA$100,"D",$AF$2:$AF$100)</f>
        <v>124157.8947</v>
      </c>
      <c r="AF8" s="24">
        <f t="shared" si="1"/>
        <v>1000000</v>
      </c>
    </row>
    <row r="9">
      <c r="A9" s="7" t="s">
        <v>46</v>
      </c>
      <c r="B9" s="7" t="s">
        <v>25</v>
      </c>
      <c r="C9" s="7" t="s">
        <v>47</v>
      </c>
      <c r="D9" s="7" t="s">
        <v>36</v>
      </c>
      <c r="E9" s="7">
        <v>34.0</v>
      </c>
      <c r="F9" s="7">
        <v>1989.0</v>
      </c>
      <c r="G9" s="7">
        <v>33.0</v>
      </c>
      <c r="H9" s="7">
        <v>20.0</v>
      </c>
      <c r="I9" s="25">
        <v>1770.0</v>
      </c>
      <c r="J9" s="7">
        <v>19.7</v>
      </c>
      <c r="K9" s="7">
        <v>4.0</v>
      </c>
      <c r="L9" s="7">
        <v>3.0</v>
      </c>
      <c r="M9" s="7">
        <v>7.0</v>
      </c>
      <c r="N9" s="7">
        <v>4.0</v>
      </c>
      <c r="O9" s="7">
        <v>0.0</v>
      </c>
      <c r="P9" s="7">
        <v>0.0</v>
      </c>
      <c r="Q9" s="7">
        <v>6.0</v>
      </c>
      <c r="R9" s="7">
        <v>0.0</v>
      </c>
      <c r="S9" s="7">
        <v>0.2</v>
      </c>
      <c r="T9" s="7">
        <v>0.15</v>
      </c>
      <c r="U9" s="7">
        <v>0.36</v>
      </c>
      <c r="V9" s="7">
        <v>0.2</v>
      </c>
      <c r="W9" s="7">
        <v>0.36</v>
      </c>
      <c r="X9" s="7" t="s">
        <v>678</v>
      </c>
      <c r="Y9" s="7" t="s">
        <v>671</v>
      </c>
      <c r="Z9" s="7">
        <v>1.6111111111111112</v>
      </c>
      <c r="AA9" s="7" t="str">
        <f t="shared" si="2"/>
        <v>M</v>
      </c>
      <c r="AB9" s="7">
        <f t="shared" si="3"/>
        <v>3.222222222</v>
      </c>
      <c r="AC9" s="7">
        <f t="shared" si="4"/>
        <v>0.3103448276</v>
      </c>
      <c r="AD9" s="1" t="s">
        <v>681</v>
      </c>
      <c r="AE9" s="7">
        <f>AVERAGEIF($AA$2:$AA$100,"A",$AF$2:$AF$100)</f>
        <v>141636.3636</v>
      </c>
      <c r="AF9" s="24">
        <f t="shared" si="1"/>
        <v>50000</v>
      </c>
    </row>
    <row r="10">
      <c r="A10" s="7" t="s">
        <v>49</v>
      </c>
      <c r="B10" s="7" t="s">
        <v>25</v>
      </c>
      <c r="C10" s="7" t="s">
        <v>26</v>
      </c>
      <c r="D10" s="7" t="s">
        <v>44</v>
      </c>
      <c r="E10" s="7">
        <v>26.0</v>
      </c>
      <c r="F10" s="7">
        <v>1997.0</v>
      </c>
      <c r="G10" s="7">
        <v>35.0</v>
      </c>
      <c r="H10" s="7">
        <v>33.0</v>
      </c>
      <c r="I10" s="25">
        <v>2655.0</v>
      </c>
      <c r="J10" s="7">
        <v>29.5</v>
      </c>
      <c r="K10" s="7">
        <v>0.0</v>
      </c>
      <c r="L10" s="7">
        <v>2.0</v>
      </c>
      <c r="M10" s="7">
        <v>2.0</v>
      </c>
      <c r="N10" s="7">
        <v>0.0</v>
      </c>
      <c r="O10" s="7">
        <v>0.0</v>
      </c>
      <c r="P10" s="7">
        <v>0.0</v>
      </c>
      <c r="Q10" s="7">
        <v>8.0</v>
      </c>
      <c r="R10" s="7">
        <v>0.0</v>
      </c>
      <c r="S10" s="7">
        <v>0.0</v>
      </c>
      <c r="T10" s="7">
        <v>0.07</v>
      </c>
      <c r="U10" s="7">
        <v>0.07</v>
      </c>
      <c r="V10" s="7">
        <v>0.0</v>
      </c>
      <c r="W10" s="7">
        <v>0.07</v>
      </c>
      <c r="X10" s="7" t="s">
        <v>682</v>
      </c>
      <c r="Y10" s="7" t="s">
        <v>668</v>
      </c>
      <c r="Z10" s="7">
        <v>1.1944444444444444</v>
      </c>
      <c r="AA10" s="7" t="str">
        <f t="shared" si="2"/>
        <v>M</v>
      </c>
      <c r="AB10" s="7">
        <f t="shared" si="3"/>
        <v>2.388888889</v>
      </c>
      <c r="AC10" s="7">
        <f t="shared" si="4"/>
        <v>0.4186046512</v>
      </c>
      <c r="AD10" s="7"/>
      <c r="AE10" s="7"/>
      <c r="AF10" s="24">
        <f t="shared" si="1"/>
        <v>100000</v>
      </c>
    </row>
    <row r="11">
      <c r="A11" s="7" t="s">
        <v>51</v>
      </c>
      <c r="B11" s="7" t="s">
        <v>25</v>
      </c>
      <c r="C11" s="7" t="s">
        <v>26</v>
      </c>
      <c r="D11" s="7" t="s">
        <v>52</v>
      </c>
      <c r="E11" s="7">
        <v>22.0</v>
      </c>
      <c r="F11" s="7">
        <v>2001.0</v>
      </c>
      <c r="G11" s="7">
        <v>35.0</v>
      </c>
      <c r="H11" s="7">
        <v>32.0</v>
      </c>
      <c r="I11" s="25">
        <v>2842.0</v>
      </c>
      <c r="J11" s="7">
        <v>31.6</v>
      </c>
      <c r="K11" s="7">
        <v>1.0</v>
      </c>
      <c r="L11" s="7">
        <v>0.0</v>
      </c>
      <c r="M11" s="7">
        <v>1.0</v>
      </c>
      <c r="N11" s="7">
        <v>1.0</v>
      </c>
      <c r="O11" s="7">
        <v>0.0</v>
      </c>
      <c r="P11" s="7">
        <v>0.0</v>
      </c>
      <c r="Q11" s="7">
        <v>9.0</v>
      </c>
      <c r="R11" s="7">
        <v>0.0</v>
      </c>
      <c r="S11" s="7">
        <v>0.03</v>
      </c>
      <c r="T11" s="7">
        <v>0.0</v>
      </c>
      <c r="U11" s="7">
        <v>0.03</v>
      </c>
      <c r="V11" s="7">
        <v>0.03</v>
      </c>
      <c r="W11" s="7">
        <v>0.03</v>
      </c>
      <c r="X11" s="7" t="s">
        <v>683</v>
      </c>
      <c r="Y11" s="7" t="s">
        <v>674</v>
      </c>
      <c r="Z11" s="7">
        <v>0.8611111111111112</v>
      </c>
      <c r="AA11" s="7" t="str">
        <f t="shared" si="2"/>
        <v>M</v>
      </c>
      <c r="AB11" s="7">
        <f t="shared" si="3"/>
        <v>1.722222222</v>
      </c>
      <c r="AC11" s="7">
        <f t="shared" si="4"/>
        <v>0.5806451613</v>
      </c>
      <c r="AD11" s="7"/>
      <c r="AE11" s="7"/>
      <c r="AF11" s="24">
        <f t="shared" si="1"/>
        <v>400000</v>
      </c>
    </row>
    <row r="12" ht="19.5" customHeight="1">
      <c r="A12" s="7" t="s">
        <v>54</v>
      </c>
      <c r="B12" s="7" t="s">
        <v>25</v>
      </c>
      <c r="C12" s="7" t="s">
        <v>55</v>
      </c>
      <c r="D12" s="7" t="s">
        <v>27</v>
      </c>
      <c r="E12" s="7">
        <v>24.0</v>
      </c>
      <c r="F12" s="7">
        <v>1999.0</v>
      </c>
      <c r="G12" s="7">
        <v>11.0</v>
      </c>
      <c r="H12" s="7">
        <v>9.0</v>
      </c>
      <c r="I12" s="7">
        <v>702.0</v>
      </c>
      <c r="J12" s="7">
        <v>7.8</v>
      </c>
      <c r="K12" s="7">
        <v>5.0</v>
      </c>
      <c r="L12" s="7">
        <v>0.0</v>
      </c>
      <c r="M12" s="7">
        <v>5.0</v>
      </c>
      <c r="N12" s="7">
        <v>4.0</v>
      </c>
      <c r="O12" s="7">
        <v>1.0</v>
      </c>
      <c r="P12" s="7">
        <v>1.0</v>
      </c>
      <c r="Q12" s="7">
        <v>0.0</v>
      </c>
      <c r="R12" s="7">
        <v>0.0</v>
      </c>
      <c r="S12" s="7">
        <v>0.64</v>
      </c>
      <c r="T12" s="7">
        <v>0.0</v>
      </c>
      <c r="U12" s="7">
        <v>0.64</v>
      </c>
      <c r="V12" s="7">
        <v>0.51</v>
      </c>
      <c r="W12" s="7">
        <v>0.51</v>
      </c>
      <c r="X12" s="7" t="s">
        <v>670</v>
      </c>
      <c r="Y12" s="7" t="s">
        <v>684</v>
      </c>
      <c r="Z12" s="7">
        <v>1.0277777777777777</v>
      </c>
      <c r="AA12" s="7" t="str">
        <f t="shared" si="2"/>
        <v>A</v>
      </c>
      <c r="AB12" s="7">
        <f t="shared" si="3"/>
        <v>4.111111111</v>
      </c>
      <c r="AC12" s="7">
        <f t="shared" si="4"/>
        <v>0.2432432432</v>
      </c>
      <c r="AD12" s="7"/>
      <c r="AE12" s="7"/>
      <c r="AF12" s="24">
        <f t="shared" si="1"/>
        <v>200000</v>
      </c>
    </row>
    <row r="13">
      <c r="A13" s="7" t="s">
        <v>57</v>
      </c>
      <c r="B13" s="7" t="s">
        <v>25</v>
      </c>
      <c r="C13" s="7" t="s">
        <v>55</v>
      </c>
      <c r="D13" s="7" t="s">
        <v>58</v>
      </c>
      <c r="E13" s="7">
        <v>30.0</v>
      </c>
      <c r="F13" s="7">
        <v>1993.0</v>
      </c>
      <c r="G13" s="7">
        <v>8.0</v>
      </c>
      <c r="H13" s="7">
        <v>5.0</v>
      </c>
      <c r="I13" s="7">
        <v>459.0</v>
      </c>
      <c r="J13" s="7">
        <v>5.1</v>
      </c>
      <c r="K13" s="7">
        <v>1.0</v>
      </c>
      <c r="L13" s="7">
        <v>0.0</v>
      </c>
      <c r="M13" s="7">
        <v>1.0</v>
      </c>
      <c r="N13" s="7">
        <v>1.0</v>
      </c>
      <c r="O13" s="7">
        <v>0.0</v>
      </c>
      <c r="P13" s="7">
        <v>0.0</v>
      </c>
      <c r="Q13" s="7">
        <v>0.0</v>
      </c>
      <c r="R13" s="7">
        <v>0.0</v>
      </c>
      <c r="S13" s="7">
        <v>0.2</v>
      </c>
      <c r="T13" s="7">
        <v>0.0</v>
      </c>
      <c r="U13" s="7">
        <v>0.2</v>
      </c>
      <c r="V13" s="7">
        <v>0.2</v>
      </c>
      <c r="W13" s="7">
        <v>0.2</v>
      </c>
      <c r="X13" s="7" t="s">
        <v>685</v>
      </c>
      <c r="Y13" s="7" t="s">
        <v>686</v>
      </c>
      <c r="Z13" s="7">
        <v>0.75</v>
      </c>
      <c r="AA13" s="7" t="str">
        <f t="shared" si="2"/>
        <v>A</v>
      </c>
      <c r="AB13" s="7">
        <f t="shared" si="3"/>
        <v>3</v>
      </c>
      <c r="AC13" s="7">
        <f t="shared" si="4"/>
        <v>0.3333333333</v>
      </c>
      <c r="AD13" s="7"/>
      <c r="AE13" s="7"/>
      <c r="AF13" s="24">
        <f t="shared" si="1"/>
        <v>600000</v>
      </c>
    </row>
    <row r="14">
      <c r="A14" s="7" t="s">
        <v>60</v>
      </c>
      <c r="B14" s="7" t="s">
        <v>34</v>
      </c>
      <c r="C14" s="7" t="s">
        <v>35</v>
      </c>
      <c r="D14" s="7" t="s">
        <v>27</v>
      </c>
      <c r="E14" s="7">
        <v>21.0</v>
      </c>
      <c r="F14" s="7">
        <v>2002.0</v>
      </c>
      <c r="G14" s="7">
        <v>8.0</v>
      </c>
      <c r="H14" s="7">
        <v>2.0</v>
      </c>
      <c r="I14" s="7">
        <v>210.0</v>
      </c>
      <c r="J14" s="7">
        <v>2.3</v>
      </c>
      <c r="K14" s="7">
        <v>1.0</v>
      </c>
      <c r="L14" s="7">
        <v>0.0</v>
      </c>
      <c r="M14" s="7">
        <v>1.0</v>
      </c>
      <c r="N14" s="7">
        <v>1.0</v>
      </c>
      <c r="O14" s="7">
        <v>0.0</v>
      </c>
      <c r="P14" s="7">
        <v>0.0</v>
      </c>
      <c r="Q14" s="7">
        <v>1.0</v>
      </c>
      <c r="R14" s="7">
        <v>0.0</v>
      </c>
      <c r="S14" s="7">
        <v>0.43</v>
      </c>
      <c r="T14" s="7">
        <v>0.0</v>
      </c>
      <c r="U14" s="7">
        <v>0.43</v>
      </c>
      <c r="V14" s="7">
        <v>0.43</v>
      </c>
      <c r="W14" s="7">
        <v>0.43</v>
      </c>
      <c r="X14" s="7" t="s">
        <v>678</v>
      </c>
      <c r="Y14" s="7" t="s">
        <v>687</v>
      </c>
      <c r="Z14" s="7">
        <v>1.0277777777777777</v>
      </c>
      <c r="AA14" s="7" t="str">
        <f t="shared" si="2"/>
        <v>D</v>
      </c>
      <c r="AB14" s="7">
        <f t="shared" si="3"/>
        <v>1.027777778</v>
      </c>
      <c r="AC14" s="7">
        <f t="shared" si="4"/>
        <v>0.972972973</v>
      </c>
      <c r="AD14" s="7"/>
      <c r="AE14" s="7"/>
      <c r="AF14" s="24">
        <f t="shared" si="1"/>
        <v>25000</v>
      </c>
    </row>
    <row r="15">
      <c r="A15" s="7" t="s">
        <v>60</v>
      </c>
      <c r="B15" s="7" t="s">
        <v>34</v>
      </c>
      <c r="C15" s="7" t="s">
        <v>35</v>
      </c>
      <c r="D15" s="7" t="s">
        <v>62</v>
      </c>
      <c r="E15" s="7">
        <v>21.0</v>
      </c>
      <c r="F15" s="7">
        <v>2002.0</v>
      </c>
      <c r="G15" s="7">
        <v>20.0</v>
      </c>
      <c r="H15" s="7">
        <v>14.0</v>
      </c>
      <c r="I15" s="25">
        <v>1360.0</v>
      </c>
      <c r="J15" s="7">
        <v>15.1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4.0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 t="s">
        <v>688</v>
      </c>
      <c r="Y15" s="7" t="s">
        <v>689</v>
      </c>
      <c r="Z15" s="7">
        <v>0.8055555555555556</v>
      </c>
      <c r="AA15" s="7" t="str">
        <f t="shared" si="2"/>
        <v>D</v>
      </c>
      <c r="AB15" s="7">
        <f t="shared" si="3"/>
        <v>0.8055555556</v>
      </c>
      <c r="AC15" s="7">
        <f t="shared" si="4"/>
        <v>1.24137931</v>
      </c>
      <c r="AD15" s="7"/>
      <c r="AE15" s="7"/>
      <c r="AF15" s="24">
        <f t="shared" si="1"/>
        <v>350000</v>
      </c>
    </row>
    <row r="16">
      <c r="A16" s="7" t="s">
        <v>64</v>
      </c>
      <c r="B16" s="7" t="s">
        <v>65</v>
      </c>
      <c r="C16" s="7" t="s">
        <v>55</v>
      </c>
      <c r="D16" s="7" t="s">
        <v>44</v>
      </c>
      <c r="E16" s="7">
        <v>24.0</v>
      </c>
      <c r="F16" s="7">
        <v>1999.0</v>
      </c>
      <c r="G16" s="7">
        <v>11.0</v>
      </c>
      <c r="H16" s="7">
        <v>3.0</v>
      </c>
      <c r="I16" s="7">
        <v>309.0</v>
      </c>
      <c r="J16" s="7">
        <v>3.4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 t="s">
        <v>690</v>
      </c>
      <c r="Y16" s="24" t="s">
        <v>691</v>
      </c>
      <c r="Z16" s="7">
        <v>1.1944444444444444</v>
      </c>
      <c r="AA16" s="7" t="str">
        <f t="shared" si="2"/>
        <v>A</v>
      </c>
      <c r="AB16" s="7">
        <f t="shared" si="3"/>
        <v>4.777777778</v>
      </c>
      <c r="AC16" s="7">
        <f t="shared" si="4"/>
        <v>0.2093023256</v>
      </c>
      <c r="AD16" s="7"/>
      <c r="AE16" s="7"/>
      <c r="AF16" s="24">
        <f t="shared" si="1"/>
        <v>88000</v>
      </c>
    </row>
    <row r="17">
      <c r="A17" s="7" t="s">
        <v>67</v>
      </c>
      <c r="B17" s="7" t="s">
        <v>25</v>
      </c>
      <c r="C17" s="7" t="s">
        <v>26</v>
      </c>
      <c r="D17" s="7" t="s">
        <v>27</v>
      </c>
      <c r="E17" s="7">
        <v>20.0</v>
      </c>
      <c r="F17" s="7">
        <v>2003.0</v>
      </c>
      <c r="G17" s="7">
        <v>22.0</v>
      </c>
      <c r="H17" s="7">
        <v>7.0</v>
      </c>
      <c r="I17" s="7">
        <v>725.0</v>
      </c>
      <c r="J17" s="7">
        <v>8.1</v>
      </c>
      <c r="K17" s="7">
        <v>2.0</v>
      </c>
      <c r="L17" s="7">
        <v>0.0</v>
      </c>
      <c r="M17" s="7">
        <v>2.0</v>
      </c>
      <c r="N17" s="7">
        <v>2.0</v>
      </c>
      <c r="O17" s="7">
        <v>0.0</v>
      </c>
      <c r="P17" s="7">
        <v>0.0</v>
      </c>
      <c r="Q17" s="7">
        <v>3.0</v>
      </c>
      <c r="R17" s="7">
        <v>0.0</v>
      </c>
      <c r="S17" s="7">
        <v>0.25</v>
      </c>
      <c r="T17" s="7">
        <v>0.0</v>
      </c>
      <c r="U17" s="7">
        <v>0.25</v>
      </c>
      <c r="V17" s="7">
        <v>0.25</v>
      </c>
      <c r="W17" s="7">
        <v>0.25</v>
      </c>
      <c r="X17" s="1" t="s">
        <v>692</v>
      </c>
      <c r="Y17" s="24" t="s">
        <v>677</v>
      </c>
      <c r="Z17" s="7">
        <v>1.0277777777777777</v>
      </c>
      <c r="AA17" s="7" t="str">
        <f t="shared" si="2"/>
        <v>M</v>
      </c>
      <c r="AB17" s="7">
        <f t="shared" si="3"/>
        <v>2.055555556</v>
      </c>
      <c r="AC17" s="7">
        <f t="shared" si="4"/>
        <v>0.4864864865</v>
      </c>
      <c r="AD17" s="7"/>
      <c r="AE17" s="7"/>
      <c r="AF17" s="24">
        <f t="shared" si="1"/>
        <v>19000</v>
      </c>
    </row>
    <row r="18">
      <c r="A18" s="7" t="s">
        <v>69</v>
      </c>
      <c r="B18" s="7" t="s">
        <v>70</v>
      </c>
      <c r="C18" s="7" t="s">
        <v>47</v>
      </c>
      <c r="D18" s="7" t="s">
        <v>58</v>
      </c>
      <c r="E18" s="7">
        <v>25.0</v>
      </c>
      <c r="F18" s="7">
        <v>1998.0</v>
      </c>
      <c r="G18" s="7">
        <v>13.0</v>
      </c>
      <c r="H18" s="7">
        <v>8.0</v>
      </c>
      <c r="I18" s="7">
        <v>669.0</v>
      </c>
      <c r="J18" s="7">
        <v>7.4</v>
      </c>
      <c r="K18" s="7">
        <v>1.0</v>
      </c>
      <c r="L18" s="7">
        <v>0.0</v>
      </c>
      <c r="M18" s="7">
        <v>1.0</v>
      </c>
      <c r="N18" s="7">
        <v>1.0</v>
      </c>
      <c r="O18" s="7">
        <v>0.0</v>
      </c>
      <c r="P18" s="7">
        <v>0.0</v>
      </c>
      <c r="Q18" s="7">
        <v>3.0</v>
      </c>
      <c r="R18" s="7">
        <v>0.0</v>
      </c>
      <c r="S18" s="7">
        <v>0.13</v>
      </c>
      <c r="T18" s="7">
        <v>0.0</v>
      </c>
      <c r="U18" s="7">
        <v>0.13</v>
      </c>
      <c r="V18" s="7">
        <v>0.13</v>
      </c>
      <c r="W18" s="7">
        <v>0.13</v>
      </c>
      <c r="X18" s="7" t="s">
        <v>693</v>
      </c>
      <c r="Y18" s="7" t="s">
        <v>694</v>
      </c>
      <c r="Z18" s="7">
        <v>0.75</v>
      </c>
      <c r="AA18" s="7" t="str">
        <f t="shared" si="2"/>
        <v>M</v>
      </c>
      <c r="AB18" s="7">
        <f t="shared" si="3"/>
        <v>1.5</v>
      </c>
      <c r="AC18" s="7">
        <f t="shared" si="4"/>
        <v>0.6666666667</v>
      </c>
      <c r="AD18" s="7"/>
      <c r="AE18" s="7"/>
      <c r="AF18" s="24">
        <f t="shared" si="1"/>
        <v>300000</v>
      </c>
    </row>
    <row r="19">
      <c r="A19" s="7" t="s">
        <v>72</v>
      </c>
      <c r="B19" s="7" t="s">
        <v>34</v>
      </c>
      <c r="C19" s="7" t="s">
        <v>35</v>
      </c>
      <c r="D19" s="7" t="s">
        <v>52</v>
      </c>
      <c r="E19" s="7">
        <v>30.0</v>
      </c>
      <c r="F19" s="7">
        <v>1993.0</v>
      </c>
      <c r="G19" s="7">
        <v>9.0</v>
      </c>
      <c r="H19" s="7">
        <v>9.0</v>
      </c>
      <c r="I19" s="25">
        <v>750.0</v>
      </c>
      <c r="J19" s="7">
        <v>8.3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1.0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 t="s">
        <v>678</v>
      </c>
      <c r="Y19" s="7" t="s">
        <v>695</v>
      </c>
      <c r="Z19" s="7">
        <v>0.8611111111111112</v>
      </c>
      <c r="AA19" s="7" t="str">
        <f t="shared" si="2"/>
        <v>D</v>
      </c>
      <c r="AB19" s="7">
        <f t="shared" si="3"/>
        <v>0.8611111111</v>
      </c>
      <c r="AC19" s="7">
        <f t="shared" si="4"/>
        <v>1.161290323</v>
      </c>
      <c r="AD19" s="7"/>
      <c r="AE19" s="7"/>
      <c r="AF19" s="24">
        <f t="shared" si="1"/>
        <v>75000</v>
      </c>
    </row>
    <row r="20">
      <c r="A20" s="7" t="s">
        <v>74</v>
      </c>
      <c r="B20" s="7" t="s">
        <v>25</v>
      </c>
      <c r="C20" s="7" t="s">
        <v>35</v>
      </c>
      <c r="D20" s="7" t="s">
        <v>36</v>
      </c>
      <c r="E20" s="7">
        <v>22.0</v>
      </c>
      <c r="F20" s="7">
        <v>2002.0</v>
      </c>
      <c r="G20" s="7">
        <v>27.0</v>
      </c>
      <c r="H20" s="7">
        <v>25.0</v>
      </c>
      <c r="I20" s="25">
        <v>2097.0</v>
      </c>
      <c r="J20" s="7">
        <v>23.3</v>
      </c>
      <c r="K20" s="7">
        <v>2.0</v>
      </c>
      <c r="L20" s="7">
        <v>1.0</v>
      </c>
      <c r="M20" s="7">
        <v>3.0</v>
      </c>
      <c r="N20" s="7">
        <v>2.0</v>
      </c>
      <c r="O20" s="7">
        <v>0.0</v>
      </c>
      <c r="P20" s="7">
        <v>0.0</v>
      </c>
      <c r="Q20" s="7">
        <v>2.0</v>
      </c>
      <c r="R20" s="7">
        <v>0.0</v>
      </c>
      <c r="S20" s="7">
        <v>0.09</v>
      </c>
      <c r="T20" s="7">
        <v>0.04</v>
      </c>
      <c r="U20" s="7">
        <v>0.13</v>
      </c>
      <c r="V20" s="7">
        <v>0.09</v>
      </c>
      <c r="W20" s="7">
        <v>0.13</v>
      </c>
      <c r="X20" s="7" t="s">
        <v>696</v>
      </c>
      <c r="Y20" s="24" t="s">
        <v>677</v>
      </c>
      <c r="Z20" s="7">
        <v>1.6111111111111112</v>
      </c>
      <c r="AA20" s="7" t="str">
        <f t="shared" si="2"/>
        <v>D</v>
      </c>
      <c r="AB20" s="7">
        <f t="shared" si="3"/>
        <v>1.611111111</v>
      </c>
      <c r="AC20" s="7">
        <f t="shared" si="4"/>
        <v>0.6206896552</v>
      </c>
      <c r="AD20" s="7"/>
      <c r="AE20" s="7"/>
      <c r="AF20" s="24">
        <f t="shared" si="1"/>
        <v>19000</v>
      </c>
    </row>
    <row r="21">
      <c r="A21" s="7" t="s">
        <v>76</v>
      </c>
      <c r="B21" s="7" t="s">
        <v>25</v>
      </c>
      <c r="C21" s="7" t="s">
        <v>77</v>
      </c>
      <c r="D21" s="7" t="s">
        <v>36</v>
      </c>
      <c r="E21" s="7">
        <v>18.0</v>
      </c>
      <c r="F21" s="7">
        <v>2005.0</v>
      </c>
      <c r="G21" s="7">
        <v>19.0</v>
      </c>
      <c r="H21" s="7">
        <v>17.0</v>
      </c>
      <c r="I21" s="25">
        <v>1590.0</v>
      </c>
      <c r="J21" s="7">
        <v>17.7</v>
      </c>
      <c r="K21" s="7">
        <v>0.0</v>
      </c>
      <c r="L21" s="7">
        <v>1.0</v>
      </c>
      <c r="M21" s="7">
        <v>1.0</v>
      </c>
      <c r="N21" s="7">
        <v>0.0</v>
      </c>
      <c r="O21" s="7">
        <v>0.0</v>
      </c>
      <c r="P21" s="7">
        <v>0.0</v>
      </c>
      <c r="Q21" s="7">
        <v>1.0</v>
      </c>
      <c r="R21" s="7">
        <v>0.0</v>
      </c>
      <c r="S21" s="7">
        <v>0.0</v>
      </c>
      <c r="T21" s="7">
        <v>0.06</v>
      </c>
      <c r="U21" s="7">
        <v>0.06</v>
      </c>
      <c r="V21" s="7">
        <v>0.0</v>
      </c>
      <c r="W21" s="7">
        <v>0.06</v>
      </c>
      <c r="X21" s="7" t="s">
        <v>676</v>
      </c>
      <c r="Y21" s="24" t="s">
        <v>677</v>
      </c>
      <c r="Z21" s="7">
        <v>1.6111111111111112</v>
      </c>
      <c r="AA21" s="7" t="str">
        <f t="shared" si="2"/>
        <v>D</v>
      </c>
      <c r="AB21" s="7">
        <f t="shared" si="3"/>
        <v>1.611111111</v>
      </c>
      <c r="AC21" s="7">
        <f t="shared" si="4"/>
        <v>0.6206896552</v>
      </c>
      <c r="AD21" s="7"/>
      <c r="AE21" s="7"/>
      <c r="AF21" s="24">
        <f t="shared" si="1"/>
        <v>19000</v>
      </c>
    </row>
    <row r="22">
      <c r="A22" s="7" t="s">
        <v>79</v>
      </c>
      <c r="B22" s="7" t="s">
        <v>25</v>
      </c>
      <c r="C22" s="7" t="s">
        <v>35</v>
      </c>
      <c r="D22" s="7" t="s">
        <v>80</v>
      </c>
      <c r="E22" s="7">
        <v>32.0</v>
      </c>
      <c r="F22" s="7">
        <v>1991.0</v>
      </c>
      <c r="G22" s="7">
        <v>26.0</v>
      </c>
      <c r="H22" s="7">
        <v>26.0</v>
      </c>
      <c r="I22" s="25">
        <v>2340.0</v>
      </c>
      <c r="J22" s="7">
        <v>26.0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3.0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 t="s">
        <v>676</v>
      </c>
      <c r="Y22" s="24" t="s">
        <v>697</v>
      </c>
      <c r="Z22" s="7">
        <v>1.3888888888888888</v>
      </c>
      <c r="AA22" s="7" t="str">
        <f t="shared" si="2"/>
        <v>D</v>
      </c>
      <c r="AB22" s="7">
        <f t="shared" si="3"/>
        <v>1.388888889</v>
      </c>
      <c r="AC22" s="7">
        <f t="shared" si="4"/>
        <v>0.72</v>
      </c>
      <c r="AD22" s="7"/>
      <c r="AE22" s="7"/>
      <c r="AF22" s="24">
        <f t="shared" si="1"/>
        <v>65000</v>
      </c>
    </row>
    <row r="23">
      <c r="A23" s="7" t="s">
        <v>82</v>
      </c>
      <c r="B23" s="7" t="s">
        <v>25</v>
      </c>
      <c r="C23" s="7" t="s">
        <v>83</v>
      </c>
      <c r="D23" s="7" t="s">
        <v>27</v>
      </c>
      <c r="E23" s="7">
        <v>26.0</v>
      </c>
      <c r="F23" s="7">
        <v>1997.0</v>
      </c>
      <c r="G23" s="7">
        <v>30.0</v>
      </c>
      <c r="H23" s="7">
        <v>29.0</v>
      </c>
      <c r="I23" s="25">
        <v>2552.0</v>
      </c>
      <c r="J23" s="7">
        <v>28.4</v>
      </c>
      <c r="K23" s="7">
        <v>1.0</v>
      </c>
      <c r="L23" s="7">
        <v>1.0</v>
      </c>
      <c r="M23" s="7">
        <v>2.0</v>
      </c>
      <c r="N23" s="7">
        <v>1.0</v>
      </c>
      <c r="O23" s="7">
        <v>0.0</v>
      </c>
      <c r="P23" s="7">
        <v>0.0</v>
      </c>
      <c r="Q23" s="7">
        <v>5.0</v>
      </c>
      <c r="R23" s="7">
        <v>0.0</v>
      </c>
      <c r="S23" s="7">
        <v>0.04</v>
      </c>
      <c r="T23" s="7">
        <v>0.04</v>
      </c>
      <c r="U23" s="7">
        <v>0.07</v>
      </c>
      <c r="V23" s="7">
        <v>0.04</v>
      </c>
      <c r="W23" s="7">
        <v>0.07</v>
      </c>
      <c r="X23" s="7" t="s">
        <v>676</v>
      </c>
      <c r="Y23" s="7" t="s">
        <v>668</v>
      </c>
      <c r="Z23" s="7">
        <v>1.0277777777777777</v>
      </c>
      <c r="AA23" s="7" t="str">
        <f t="shared" si="2"/>
        <v>D</v>
      </c>
      <c r="AB23" s="7">
        <f t="shared" si="3"/>
        <v>1.027777778</v>
      </c>
      <c r="AC23" s="7">
        <f t="shared" si="4"/>
        <v>0.972972973</v>
      </c>
      <c r="AD23" s="7"/>
      <c r="AE23" s="7"/>
      <c r="AF23" s="24">
        <f t="shared" si="1"/>
        <v>100000</v>
      </c>
    </row>
    <row r="24">
      <c r="A24" s="7" t="s">
        <v>85</v>
      </c>
      <c r="B24" s="7" t="s">
        <v>25</v>
      </c>
      <c r="C24" s="7" t="s">
        <v>26</v>
      </c>
      <c r="D24" s="7" t="s">
        <v>62</v>
      </c>
      <c r="E24" s="7">
        <v>24.0</v>
      </c>
      <c r="F24" s="7">
        <v>1999.0</v>
      </c>
      <c r="G24" s="7">
        <v>16.0</v>
      </c>
      <c r="H24" s="7">
        <v>10.0</v>
      </c>
      <c r="I24" s="7">
        <v>796.0</v>
      </c>
      <c r="J24" s="7">
        <v>8.8</v>
      </c>
      <c r="K24" s="7">
        <v>1.0</v>
      </c>
      <c r="L24" s="7">
        <v>2.0</v>
      </c>
      <c r="M24" s="7">
        <v>3.0</v>
      </c>
      <c r="N24" s="7">
        <v>1.0</v>
      </c>
      <c r="O24" s="7">
        <v>0.0</v>
      </c>
      <c r="P24" s="7">
        <v>0.0</v>
      </c>
      <c r="Q24" s="7">
        <v>4.0</v>
      </c>
      <c r="R24" s="7">
        <v>1.0</v>
      </c>
      <c r="S24" s="7">
        <v>0.11</v>
      </c>
      <c r="T24" s="7">
        <v>0.23</v>
      </c>
      <c r="U24" s="7">
        <v>0.34</v>
      </c>
      <c r="V24" s="7">
        <v>0.11</v>
      </c>
      <c r="W24" s="7">
        <v>0.34</v>
      </c>
      <c r="X24" s="7" t="s">
        <v>667</v>
      </c>
      <c r="Y24" s="7" t="s">
        <v>695</v>
      </c>
      <c r="Z24" s="7">
        <v>0.8055555555555556</v>
      </c>
      <c r="AA24" s="7" t="str">
        <f t="shared" si="2"/>
        <v>M</v>
      </c>
      <c r="AB24" s="7">
        <f t="shared" si="3"/>
        <v>1.611111111</v>
      </c>
      <c r="AC24" s="7">
        <f t="shared" si="4"/>
        <v>0.6206896552</v>
      </c>
      <c r="AD24" s="7"/>
      <c r="AE24" s="7"/>
      <c r="AF24" s="24">
        <f t="shared" si="1"/>
        <v>75000</v>
      </c>
    </row>
    <row r="25">
      <c r="A25" s="7" t="s">
        <v>85</v>
      </c>
      <c r="B25" s="7" t="s">
        <v>25</v>
      </c>
      <c r="C25" s="7" t="s">
        <v>87</v>
      </c>
      <c r="D25" s="7" t="s">
        <v>80</v>
      </c>
      <c r="E25" s="7">
        <v>24.0</v>
      </c>
      <c r="F25" s="7">
        <v>1999.0</v>
      </c>
      <c r="G25" s="7">
        <v>12.0</v>
      </c>
      <c r="H25" s="7">
        <v>12.0</v>
      </c>
      <c r="I25" s="25">
        <v>1025.0</v>
      </c>
      <c r="J25" s="7">
        <v>11.4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5.0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 t="s">
        <v>698</v>
      </c>
      <c r="Y25" s="24" t="s">
        <v>697</v>
      </c>
      <c r="Z25" s="7">
        <v>1.3888888888888888</v>
      </c>
      <c r="AA25" s="7" t="str">
        <f t="shared" si="2"/>
        <v>D</v>
      </c>
      <c r="AB25" s="7">
        <f t="shared" si="3"/>
        <v>1.388888889</v>
      </c>
      <c r="AC25" s="7">
        <f t="shared" si="4"/>
        <v>0.72</v>
      </c>
      <c r="AD25" s="7"/>
      <c r="AE25" s="7"/>
      <c r="AF25" s="24">
        <f t="shared" si="1"/>
        <v>65000</v>
      </c>
    </row>
    <row r="26">
      <c r="A26" s="7" t="s">
        <v>89</v>
      </c>
      <c r="B26" s="7" t="s">
        <v>34</v>
      </c>
      <c r="C26" s="7" t="s">
        <v>35</v>
      </c>
      <c r="D26" s="7" t="s">
        <v>80</v>
      </c>
      <c r="E26" s="7">
        <v>25.0</v>
      </c>
      <c r="F26" s="7">
        <v>1998.0</v>
      </c>
      <c r="G26" s="7">
        <v>22.0</v>
      </c>
      <c r="H26" s="7">
        <v>22.0</v>
      </c>
      <c r="I26" s="25">
        <v>1979.0</v>
      </c>
      <c r="J26" s="7">
        <v>22.0</v>
      </c>
      <c r="K26" s="7">
        <v>0.0</v>
      </c>
      <c r="L26" s="7">
        <v>1.0</v>
      </c>
      <c r="M26" s="7">
        <v>1.0</v>
      </c>
      <c r="N26" s="7">
        <v>0.0</v>
      </c>
      <c r="O26" s="7">
        <v>0.0</v>
      </c>
      <c r="P26" s="7">
        <v>0.0</v>
      </c>
      <c r="Q26" s="7">
        <v>5.0</v>
      </c>
      <c r="R26" s="7">
        <v>1.0</v>
      </c>
      <c r="S26" s="7">
        <v>0.0</v>
      </c>
      <c r="T26" s="7">
        <v>0.05</v>
      </c>
      <c r="U26" s="7">
        <v>0.05</v>
      </c>
      <c r="V26" s="7">
        <v>0.0</v>
      </c>
      <c r="W26" s="7">
        <v>0.05</v>
      </c>
      <c r="X26" s="7" t="s">
        <v>699</v>
      </c>
      <c r="Y26" s="24" t="s">
        <v>700</v>
      </c>
      <c r="Z26" s="7">
        <v>1.3888888888888888</v>
      </c>
      <c r="AA26" s="7" t="str">
        <f t="shared" si="2"/>
        <v>D</v>
      </c>
      <c r="AB26" s="7">
        <f t="shared" si="3"/>
        <v>1.388888889</v>
      </c>
      <c r="AC26" s="7">
        <f t="shared" si="4"/>
        <v>0.72</v>
      </c>
      <c r="AD26" s="7"/>
      <c r="AE26" s="7"/>
      <c r="AF26" s="24">
        <f t="shared" si="1"/>
        <v>20000</v>
      </c>
    </row>
    <row r="27">
      <c r="A27" s="7" t="s">
        <v>91</v>
      </c>
      <c r="B27" s="7" t="s">
        <v>70</v>
      </c>
      <c r="C27" s="7" t="s">
        <v>47</v>
      </c>
      <c r="D27" s="7" t="s">
        <v>44</v>
      </c>
      <c r="E27" s="7">
        <v>21.0</v>
      </c>
      <c r="F27" s="7">
        <v>2002.0</v>
      </c>
      <c r="G27" s="7">
        <v>11.0</v>
      </c>
      <c r="H27" s="7">
        <v>7.0</v>
      </c>
      <c r="I27" s="7">
        <v>589.0</v>
      </c>
      <c r="J27" s="7">
        <v>6.5</v>
      </c>
      <c r="K27" s="7">
        <v>2.0</v>
      </c>
      <c r="L27" s="7">
        <v>0.0</v>
      </c>
      <c r="M27" s="7">
        <v>2.0</v>
      </c>
      <c r="N27" s="7">
        <v>2.0</v>
      </c>
      <c r="O27" s="7">
        <v>0.0</v>
      </c>
      <c r="P27" s="7">
        <v>0.0</v>
      </c>
      <c r="Q27" s="7">
        <v>1.0</v>
      </c>
      <c r="R27" s="7">
        <v>0.0</v>
      </c>
      <c r="S27" s="7">
        <v>0.31</v>
      </c>
      <c r="T27" s="7">
        <v>0.0</v>
      </c>
      <c r="U27" s="7">
        <v>0.31</v>
      </c>
      <c r="V27" s="7">
        <v>0.31</v>
      </c>
      <c r="W27" s="7">
        <v>0.31</v>
      </c>
      <c r="X27" s="7" t="s">
        <v>682</v>
      </c>
      <c r="Y27" s="24" t="s">
        <v>701</v>
      </c>
      <c r="Z27" s="7">
        <v>1.1944444444444444</v>
      </c>
      <c r="AA27" s="7" t="str">
        <f t="shared" si="2"/>
        <v>M</v>
      </c>
      <c r="AB27" s="7">
        <f t="shared" si="3"/>
        <v>2.388888889</v>
      </c>
      <c r="AC27" s="7">
        <f t="shared" si="4"/>
        <v>0.4186046512</v>
      </c>
      <c r="AD27" s="7"/>
      <c r="AE27" s="7"/>
      <c r="AF27" s="24">
        <f t="shared" si="1"/>
        <v>86000</v>
      </c>
    </row>
    <row r="28">
      <c r="A28" s="7" t="s">
        <v>93</v>
      </c>
      <c r="B28" s="7" t="s">
        <v>94</v>
      </c>
      <c r="C28" s="7" t="s">
        <v>83</v>
      </c>
      <c r="D28" s="7" t="s">
        <v>27</v>
      </c>
      <c r="E28" s="7">
        <v>23.0</v>
      </c>
      <c r="F28" s="7">
        <v>2000.0</v>
      </c>
      <c r="G28" s="7">
        <v>18.0</v>
      </c>
      <c r="H28" s="7">
        <v>13.0</v>
      </c>
      <c r="I28" s="25">
        <v>1176.0</v>
      </c>
      <c r="J28" s="7">
        <v>13.1</v>
      </c>
      <c r="K28" s="7">
        <v>0.0</v>
      </c>
      <c r="L28" s="7">
        <v>1.0</v>
      </c>
      <c r="M28" s="7">
        <v>1.0</v>
      </c>
      <c r="N28" s="7">
        <v>0.0</v>
      </c>
      <c r="O28" s="7">
        <v>0.0</v>
      </c>
      <c r="P28" s="7">
        <v>0.0</v>
      </c>
      <c r="Q28" s="7">
        <v>2.0</v>
      </c>
      <c r="R28" s="7">
        <v>0.0</v>
      </c>
      <c r="S28" s="7">
        <v>0.0</v>
      </c>
      <c r="T28" s="7">
        <v>0.08</v>
      </c>
      <c r="U28" s="7">
        <v>0.08</v>
      </c>
      <c r="V28" s="7">
        <v>0.0</v>
      </c>
      <c r="W28" s="7">
        <v>0.08</v>
      </c>
      <c r="X28" s="7" t="s">
        <v>682</v>
      </c>
      <c r="Y28" s="24" t="s">
        <v>691</v>
      </c>
      <c r="Z28" s="7">
        <v>1.0277777777777777</v>
      </c>
      <c r="AA28" s="7" t="str">
        <f t="shared" si="2"/>
        <v>D</v>
      </c>
      <c r="AB28" s="7">
        <f t="shared" si="3"/>
        <v>1.027777778</v>
      </c>
      <c r="AC28" s="7">
        <f t="shared" si="4"/>
        <v>0.972972973</v>
      </c>
      <c r="AD28" s="7"/>
      <c r="AE28" s="7"/>
      <c r="AF28" s="24">
        <f t="shared" si="1"/>
        <v>88000</v>
      </c>
    </row>
    <row r="29">
      <c r="A29" s="7" t="s">
        <v>96</v>
      </c>
      <c r="B29" s="7" t="s">
        <v>97</v>
      </c>
      <c r="C29" s="7" t="s">
        <v>26</v>
      </c>
      <c r="D29" s="7" t="s">
        <v>98</v>
      </c>
      <c r="E29" s="7">
        <v>22.0</v>
      </c>
      <c r="F29" s="7">
        <v>2002.0</v>
      </c>
      <c r="G29" s="7">
        <v>18.0</v>
      </c>
      <c r="H29" s="7">
        <v>16.0</v>
      </c>
      <c r="I29" s="25">
        <v>1446.0</v>
      </c>
      <c r="J29" s="7">
        <v>16.1</v>
      </c>
      <c r="K29" s="7">
        <v>0.0</v>
      </c>
      <c r="L29" s="7">
        <v>3.0</v>
      </c>
      <c r="M29" s="7">
        <v>3.0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0.19</v>
      </c>
      <c r="U29" s="7">
        <v>0.19</v>
      </c>
      <c r="V29" s="7">
        <v>0.0</v>
      </c>
      <c r="W29" s="7">
        <v>0.19</v>
      </c>
      <c r="X29" s="7" t="s">
        <v>676</v>
      </c>
      <c r="Y29" s="24" t="s">
        <v>702</v>
      </c>
      <c r="Z29" s="7">
        <v>1.3055555555555556</v>
      </c>
      <c r="AA29" s="7" t="str">
        <f t="shared" si="2"/>
        <v>M</v>
      </c>
      <c r="AB29" s="7">
        <f t="shared" si="3"/>
        <v>2.611111111</v>
      </c>
      <c r="AC29" s="7">
        <f t="shared" si="4"/>
        <v>0.3829787234</v>
      </c>
      <c r="AD29" s="7"/>
      <c r="AE29" s="7"/>
      <c r="AF29" s="24">
        <f t="shared" si="1"/>
        <v>117000</v>
      </c>
    </row>
    <row r="30">
      <c r="A30" s="7" t="s">
        <v>100</v>
      </c>
      <c r="B30" s="7" t="s">
        <v>101</v>
      </c>
      <c r="C30" s="7" t="s">
        <v>35</v>
      </c>
      <c r="D30" s="7" t="s">
        <v>44</v>
      </c>
      <c r="E30" s="7">
        <v>23.0</v>
      </c>
      <c r="F30" s="7">
        <v>2000.0</v>
      </c>
      <c r="G30" s="7">
        <v>2.0</v>
      </c>
      <c r="H30" s="7">
        <v>1.0</v>
      </c>
      <c r="I30" s="7">
        <v>60.0</v>
      </c>
      <c r="J30" s="7">
        <v>0.7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1" t="s">
        <v>692</v>
      </c>
      <c r="Y30" s="24" t="s">
        <v>691</v>
      </c>
      <c r="Z30" s="7">
        <v>1.1944444444444444</v>
      </c>
      <c r="AA30" s="7" t="str">
        <f t="shared" si="2"/>
        <v>D</v>
      </c>
      <c r="AB30" s="7">
        <f t="shared" si="3"/>
        <v>1.194444444</v>
      </c>
      <c r="AC30" s="7">
        <f t="shared" si="4"/>
        <v>0.8372093023</v>
      </c>
      <c r="AD30" s="7"/>
      <c r="AE30" s="7"/>
      <c r="AF30" s="24">
        <f t="shared" si="1"/>
        <v>88000</v>
      </c>
    </row>
    <row r="31">
      <c r="A31" s="7" t="s">
        <v>103</v>
      </c>
      <c r="B31" s="7" t="s">
        <v>97</v>
      </c>
      <c r="C31" s="7" t="s">
        <v>83</v>
      </c>
      <c r="D31" s="7" t="s">
        <v>52</v>
      </c>
      <c r="E31" s="7">
        <v>26.0</v>
      </c>
      <c r="F31" s="7">
        <v>1997.0</v>
      </c>
      <c r="G31" s="7">
        <v>26.0</v>
      </c>
      <c r="H31" s="7">
        <v>20.0</v>
      </c>
      <c r="I31" s="25">
        <v>1662.0</v>
      </c>
      <c r="J31" s="7">
        <v>18.5</v>
      </c>
      <c r="K31" s="7">
        <v>1.0</v>
      </c>
      <c r="L31" s="7">
        <v>2.0</v>
      </c>
      <c r="M31" s="7">
        <v>3.0</v>
      </c>
      <c r="N31" s="7">
        <v>1.0</v>
      </c>
      <c r="O31" s="7">
        <v>0.0</v>
      </c>
      <c r="P31" s="7">
        <v>0.0</v>
      </c>
      <c r="Q31" s="7">
        <v>2.0</v>
      </c>
      <c r="R31" s="7">
        <v>0.0</v>
      </c>
      <c r="S31" s="7">
        <v>0.05</v>
      </c>
      <c r="T31" s="7">
        <v>0.11</v>
      </c>
      <c r="U31" s="7">
        <v>0.16</v>
      </c>
      <c r="V31" s="7">
        <v>0.05</v>
      </c>
      <c r="W31" s="7">
        <v>0.16</v>
      </c>
      <c r="X31" s="7" t="s">
        <v>682</v>
      </c>
      <c r="Y31" s="24" t="s">
        <v>703</v>
      </c>
      <c r="Z31" s="7">
        <v>0.8611111111111112</v>
      </c>
      <c r="AA31" s="7" t="str">
        <f t="shared" si="2"/>
        <v>D</v>
      </c>
      <c r="AB31" s="7">
        <f t="shared" si="3"/>
        <v>0.8611111111</v>
      </c>
      <c r="AC31" s="7">
        <f t="shared" si="4"/>
        <v>1.161290323</v>
      </c>
      <c r="AD31" s="7"/>
      <c r="AE31" s="7"/>
      <c r="AF31" s="24">
        <f t="shared" si="1"/>
        <v>39000</v>
      </c>
    </row>
    <row r="32">
      <c r="A32" s="7" t="s">
        <v>105</v>
      </c>
      <c r="B32" s="7" t="s">
        <v>25</v>
      </c>
      <c r="C32" s="7" t="s">
        <v>26</v>
      </c>
      <c r="D32" s="7" t="s">
        <v>98</v>
      </c>
      <c r="E32" s="7">
        <v>20.0</v>
      </c>
      <c r="F32" s="7">
        <v>2003.0</v>
      </c>
      <c r="G32" s="7">
        <v>29.0</v>
      </c>
      <c r="H32" s="7">
        <v>19.0</v>
      </c>
      <c r="I32" s="25">
        <v>1698.0</v>
      </c>
      <c r="J32" s="7">
        <v>18.9</v>
      </c>
      <c r="K32" s="7">
        <v>2.0</v>
      </c>
      <c r="L32" s="7">
        <v>3.0</v>
      </c>
      <c r="M32" s="7">
        <v>5.0</v>
      </c>
      <c r="N32" s="7">
        <v>2.0</v>
      </c>
      <c r="O32" s="7">
        <v>0.0</v>
      </c>
      <c r="P32" s="7">
        <v>0.0</v>
      </c>
      <c r="Q32" s="7">
        <v>6.0</v>
      </c>
      <c r="R32" s="7">
        <v>0.0</v>
      </c>
      <c r="S32" s="7">
        <v>0.11</v>
      </c>
      <c r="T32" s="7">
        <v>0.16</v>
      </c>
      <c r="U32" s="7">
        <v>0.27</v>
      </c>
      <c r="V32" s="7">
        <v>0.11</v>
      </c>
      <c r="W32" s="7">
        <v>0.27</v>
      </c>
      <c r="X32" s="7" t="s">
        <v>682</v>
      </c>
      <c r="Y32" s="24" t="s">
        <v>697</v>
      </c>
      <c r="Z32" s="7">
        <v>1.3055555555555556</v>
      </c>
      <c r="AA32" s="7" t="str">
        <f t="shared" si="2"/>
        <v>M</v>
      </c>
      <c r="AB32" s="7">
        <f t="shared" si="3"/>
        <v>2.611111111</v>
      </c>
      <c r="AC32" s="7">
        <f t="shared" si="4"/>
        <v>0.3829787234</v>
      </c>
      <c r="AD32" s="7"/>
      <c r="AE32" s="7"/>
      <c r="AF32" s="24">
        <f t="shared" si="1"/>
        <v>65000</v>
      </c>
    </row>
    <row r="33">
      <c r="A33" s="7" t="s">
        <v>107</v>
      </c>
      <c r="B33" s="7" t="s">
        <v>97</v>
      </c>
      <c r="C33" s="7" t="s">
        <v>35</v>
      </c>
      <c r="D33" s="7" t="s">
        <v>62</v>
      </c>
      <c r="E33" s="7">
        <v>24.0</v>
      </c>
      <c r="F33" s="7">
        <v>1999.0</v>
      </c>
      <c r="G33" s="7">
        <v>11.0</v>
      </c>
      <c r="H33" s="7">
        <v>4.0</v>
      </c>
      <c r="I33" s="7">
        <v>385.0</v>
      </c>
      <c r="J33" s="7">
        <v>4.3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2.0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 t="s">
        <v>704</v>
      </c>
      <c r="Y33" s="7" t="s">
        <v>668</v>
      </c>
      <c r="Z33" s="7">
        <v>0.8055555555555556</v>
      </c>
      <c r="AA33" s="7" t="str">
        <f t="shared" si="2"/>
        <v>D</v>
      </c>
      <c r="AB33" s="7">
        <f t="shared" si="3"/>
        <v>0.8055555556</v>
      </c>
      <c r="AC33" s="7">
        <f t="shared" si="4"/>
        <v>1.24137931</v>
      </c>
      <c r="AD33" s="7"/>
      <c r="AE33" s="7"/>
      <c r="AF33" s="24">
        <f t="shared" si="1"/>
        <v>100000</v>
      </c>
    </row>
    <row r="34">
      <c r="A34" s="7" t="s">
        <v>109</v>
      </c>
      <c r="B34" s="7" t="s">
        <v>34</v>
      </c>
      <c r="C34" s="7" t="s">
        <v>35</v>
      </c>
      <c r="D34" s="7" t="s">
        <v>80</v>
      </c>
      <c r="E34" s="7">
        <v>19.0</v>
      </c>
      <c r="F34" s="7">
        <v>2004.0</v>
      </c>
      <c r="G34" s="7">
        <v>4.0</v>
      </c>
      <c r="H34" s="7">
        <v>3.0</v>
      </c>
      <c r="I34" s="7">
        <v>284.0</v>
      </c>
      <c r="J34" s="7">
        <v>3.2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1.0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 t="s">
        <v>704</v>
      </c>
      <c r="Y34" s="7" t="s">
        <v>668</v>
      </c>
      <c r="Z34" s="7">
        <v>1.3888888888888888</v>
      </c>
      <c r="AA34" s="7" t="str">
        <f t="shared" si="2"/>
        <v>D</v>
      </c>
      <c r="AB34" s="7">
        <f t="shared" si="3"/>
        <v>1.388888889</v>
      </c>
      <c r="AC34" s="7">
        <f t="shared" si="4"/>
        <v>0.72</v>
      </c>
      <c r="AD34" s="7"/>
      <c r="AE34" s="7"/>
      <c r="AF34" s="24">
        <f t="shared" si="1"/>
        <v>100000</v>
      </c>
    </row>
    <row r="35">
      <c r="A35" s="7" t="s">
        <v>111</v>
      </c>
      <c r="B35" s="7" t="s">
        <v>25</v>
      </c>
      <c r="C35" s="7" t="s">
        <v>47</v>
      </c>
      <c r="D35" s="7" t="s">
        <v>27</v>
      </c>
      <c r="E35" s="7">
        <v>23.0</v>
      </c>
      <c r="F35" s="7">
        <v>2000.0</v>
      </c>
      <c r="G35" s="7">
        <v>34.0</v>
      </c>
      <c r="H35" s="7">
        <v>27.0</v>
      </c>
      <c r="I35" s="25">
        <v>2279.0</v>
      </c>
      <c r="J35" s="7">
        <v>25.3</v>
      </c>
      <c r="K35" s="7">
        <v>6.0</v>
      </c>
      <c r="L35" s="7">
        <v>13.0</v>
      </c>
      <c r="M35" s="7">
        <v>19.0</v>
      </c>
      <c r="N35" s="7">
        <v>5.0</v>
      </c>
      <c r="O35" s="7">
        <v>1.0</v>
      </c>
      <c r="P35" s="7">
        <v>1.0</v>
      </c>
      <c r="Q35" s="7">
        <v>2.0</v>
      </c>
      <c r="R35" s="7">
        <v>0.0</v>
      </c>
      <c r="S35" s="7">
        <v>0.24</v>
      </c>
      <c r="T35" s="7">
        <v>0.51</v>
      </c>
      <c r="U35" s="7">
        <v>0.75</v>
      </c>
      <c r="V35" s="7">
        <v>0.2</v>
      </c>
      <c r="W35" s="7">
        <v>0.71</v>
      </c>
      <c r="X35" s="7" t="s">
        <v>705</v>
      </c>
      <c r="Y35" s="24" t="s">
        <v>702</v>
      </c>
      <c r="Z35" s="7">
        <v>1.0277777777777777</v>
      </c>
      <c r="AA35" s="7" t="str">
        <f t="shared" si="2"/>
        <v>M</v>
      </c>
      <c r="AB35" s="7">
        <f t="shared" si="3"/>
        <v>2.055555556</v>
      </c>
      <c r="AC35" s="7">
        <f t="shared" si="4"/>
        <v>0.4864864865</v>
      </c>
      <c r="AD35" s="7"/>
      <c r="AE35" s="7"/>
      <c r="AF35" s="24">
        <f t="shared" si="1"/>
        <v>117000</v>
      </c>
    </row>
    <row r="36">
      <c r="A36" s="7" t="s">
        <v>113</v>
      </c>
      <c r="B36" s="7" t="s">
        <v>25</v>
      </c>
      <c r="C36" s="7" t="s">
        <v>77</v>
      </c>
      <c r="D36" s="7" t="s">
        <v>62</v>
      </c>
      <c r="E36" s="7">
        <v>38.0</v>
      </c>
      <c r="F36" s="7">
        <v>1985.0</v>
      </c>
      <c r="G36" s="7">
        <v>36.0</v>
      </c>
      <c r="H36" s="7">
        <v>36.0</v>
      </c>
      <c r="I36" s="25">
        <v>3240.0</v>
      </c>
      <c r="J36" s="7">
        <v>36.0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2.0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1" t="s">
        <v>692</v>
      </c>
      <c r="Y36" s="24" t="s">
        <v>677</v>
      </c>
      <c r="Z36" s="7">
        <v>0.8055555555555556</v>
      </c>
      <c r="AA36" s="7" t="str">
        <f t="shared" si="2"/>
        <v>D</v>
      </c>
      <c r="AB36" s="7">
        <f t="shared" si="3"/>
        <v>0.8055555556</v>
      </c>
      <c r="AC36" s="7">
        <f t="shared" si="4"/>
        <v>1.24137931</v>
      </c>
      <c r="AD36" s="7"/>
      <c r="AE36" s="7"/>
      <c r="AF36" s="24">
        <f t="shared" si="1"/>
        <v>19000</v>
      </c>
    </row>
    <row r="37">
      <c r="A37" s="7" t="s">
        <v>115</v>
      </c>
      <c r="B37" s="7" t="s">
        <v>25</v>
      </c>
      <c r="C37" s="7" t="s">
        <v>77</v>
      </c>
      <c r="D37" s="7" t="s">
        <v>52</v>
      </c>
      <c r="E37" s="7">
        <v>23.0</v>
      </c>
      <c r="F37" s="7">
        <v>2000.0</v>
      </c>
      <c r="G37" s="7">
        <v>36.0</v>
      </c>
      <c r="H37" s="7">
        <v>36.0</v>
      </c>
      <c r="I37" s="25">
        <v>3240.0</v>
      </c>
      <c r="J37" s="7">
        <v>36.0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3.0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 t="s">
        <v>682</v>
      </c>
      <c r="Y37" s="24" t="s">
        <v>700</v>
      </c>
      <c r="Z37" s="7">
        <v>0.8611111111111112</v>
      </c>
      <c r="AA37" s="7" t="str">
        <f t="shared" si="2"/>
        <v>D</v>
      </c>
      <c r="AB37" s="7">
        <f t="shared" si="3"/>
        <v>0.8611111111</v>
      </c>
      <c r="AC37" s="7">
        <f t="shared" si="4"/>
        <v>1.161290323</v>
      </c>
      <c r="AD37" s="7"/>
      <c r="AE37" s="7"/>
      <c r="AF37" s="24">
        <f t="shared" si="1"/>
        <v>20000</v>
      </c>
    </row>
    <row r="38">
      <c r="A38" s="7" t="s">
        <v>117</v>
      </c>
      <c r="B38" s="7" t="s">
        <v>25</v>
      </c>
      <c r="C38" s="7" t="s">
        <v>26</v>
      </c>
      <c r="D38" s="7" t="s">
        <v>44</v>
      </c>
      <c r="E38" s="7">
        <v>22.0</v>
      </c>
      <c r="F38" s="7">
        <v>2001.0</v>
      </c>
      <c r="G38" s="7">
        <v>16.0</v>
      </c>
      <c r="H38" s="7">
        <v>4.0</v>
      </c>
      <c r="I38" s="7">
        <v>415.0</v>
      </c>
      <c r="J38" s="7">
        <v>4.6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>
        <v>0.0</v>
      </c>
      <c r="Q38" s="7">
        <v>2.0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 t="s">
        <v>682</v>
      </c>
      <c r="Y38" s="24" t="s">
        <v>677</v>
      </c>
      <c r="Z38" s="7">
        <v>1.1944444444444444</v>
      </c>
      <c r="AA38" s="7" t="str">
        <f t="shared" si="2"/>
        <v>M</v>
      </c>
      <c r="AB38" s="7">
        <f t="shared" si="3"/>
        <v>2.388888889</v>
      </c>
      <c r="AC38" s="7">
        <f t="shared" si="4"/>
        <v>0.4186046512</v>
      </c>
      <c r="AD38" s="7"/>
      <c r="AE38" s="7"/>
      <c r="AF38" s="24">
        <f t="shared" si="1"/>
        <v>19000</v>
      </c>
    </row>
    <row r="39">
      <c r="A39" s="7" t="s">
        <v>119</v>
      </c>
      <c r="B39" s="7" t="s">
        <v>25</v>
      </c>
      <c r="C39" s="7" t="s">
        <v>55</v>
      </c>
      <c r="D39" s="7" t="s">
        <v>36</v>
      </c>
      <c r="E39" s="7">
        <v>20.0</v>
      </c>
      <c r="F39" s="7">
        <v>2003.0</v>
      </c>
      <c r="G39" s="7">
        <v>1.0</v>
      </c>
      <c r="H39" s="7">
        <v>0.0</v>
      </c>
      <c r="I39" s="7">
        <v>34.0</v>
      </c>
      <c r="J39" s="7">
        <v>0.4</v>
      </c>
      <c r="K39" s="7">
        <v>1.0</v>
      </c>
      <c r="L39" s="7">
        <v>0.0</v>
      </c>
      <c r="M39" s="7">
        <v>1.0</v>
      </c>
      <c r="N39" s="7">
        <v>1.0</v>
      </c>
      <c r="O39" s="7">
        <v>0.0</v>
      </c>
      <c r="P39" s="7">
        <v>0.0</v>
      </c>
      <c r="Q39" s="7">
        <v>0.0</v>
      </c>
      <c r="R39" s="7">
        <v>0.0</v>
      </c>
      <c r="S39" s="7">
        <v>2.65</v>
      </c>
      <c r="T39" s="7">
        <v>0.0</v>
      </c>
      <c r="U39" s="7">
        <v>2.65</v>
      </c>
      <c r="V39" s="7">
        <v>2.65</v>
      </c>
      <c r="W39" s="7">
        <v>2.65</v>
      </c>
      <c r="X39" s="1" t="s">
        <v>692</v>
      </c>
      <c r="Y39" s="24" t="s">
        <v>706</v>
      </c>
      <c r="Z39" s="7">
        <v>1.6111111111111112</v>
      </c>
      <c r="AA39" s="7" t="str">
        <f t="shared" si="2"/>
        <v>A</v>
      </c>
      <c r="AB39" s="7">
        <f t="shared" si="3"/>
        <v>6.444444444</v>
      </c>
      <c r="AC39" s="7">
        <f t="shared" si="4"/>
        <v>0.1551724138</v>
      </c>
      <c r="AD39" s="7"/>
      <c r="AE39" s="7"/>
      <c r="AF39" s="24">
        <f t="shared" si="1"/>
        <v>72000</v>
      </c>
    </row>
    <row r="40">
      <c r="A40" s="7" t="s">
        <v>121</v>
      </c>
      <c r="B40" s="7" t="s">
        <v>97</v>
      </c>
      <c r="C40" s="7" t="s">
        <v>83</v>
      </c>
      <c r="D40" s="7" t="s">
        <v>52</v>
      </c>
      <c r="E40" s="7">
        <v>27.0</v>
      </c>
      <c r="F40" s="7">
        <v>1996.0</v>
      </c>
      <c r="G40" s="7">
        <v>15.0</v>
      </c>
      <c r="H40" s="7">
        <v>12.0</v>
      </c>
      <c r="I40" s="25">
        <v>1039.0</v>
      </c>
      <c r="J40" s="7">
        <v>11.5</v>
      </c>
      <c r="K40" s="7">
        <v>1.0</v>
      </c>
      <c r="L40" s="7">
        <v>0.0</v>
      </c>
      <c r="M40" s="7">
        <v>1.0</v>
      </c>
      <c r="N40" s="7">
        <v>1.0</v>
      </c>
      <c r="O40" s="7">
        <v>0.0</v>
      </c>
      <c r="P40" s="7">
        <v>0.0</v>
      </c>
      <c r="Q40" s="7">
        <v>0.0</v>
      </c>
      <c r="R40" s="7">
        <v>0.0</v>
      </c>
      <c r="S40" s="7">
        <v>0.09</v>
      </c>
      <c r="T40" s="7">
        <v>0.0</v>
      </c>
      <c r="U40" s="7">
        <v>0.09</v>
      </c>
      <c r="V40" s="7">
        <v>0.09</v>
      </c>
      <c r="W40" s="7">
        <v>0.09</v>
      </c>
      <c r="X40" s="7" t="s">
        <v>685</v>
      </c>
      <c r="Y40" s="7" t="s">
        <v>707</v>
      </c>
      <c r="Z40" s="7">
        <v>0.8611111111111112</v>
      </c>
      <c r="AA40" s="7" t="str">
        <f t="shared" si="2"/>
        <v>D</v>
      </c>
      <c r="AB40" s="7">
        <f t="shared" si="3"/>
        <v>0.8611111111</v>
      </c>
      <c r="AC40" s="7">
        <f t="shared" si="4"/>
        <v>1.161290323</v>
      </c>
      <c r="AD40" s="7"/>
      <c r="AE40" s="7"/>
      <c r="AF40" s="24">
        <f t="shared" si="1"/>
        <v>150000</v>
      </c>
    </row>
    <row r="41">
      <c r="A41" s="7" t="s">
        <v>123</v>
      </c>
      <c r="B41" s="7" t="s">
        <v>70</v>
      </c>
      <c r="C41" s="7" t="s">
        <v>30</v>
      </c>
      <c r="D41" s="7" t="s">
        <v>80</v>
      </c>
      <c r="E41" s="7">
        <v>24.0</v>
      </c>
      <c r="F41" s="7">
        <v>1999.0</v>
      </c>
      <c r="G41" s="7">
        <v>17.0</v>
      </c>
      <c r="H41" s="7">
        <v>7.0</v>
      </c>
      <c r="I41" s="7">
        <v>801.0</v>
      </c>
      <c r="J41" s="7">
        <v>8.9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>
        <v>0.0</v>
      </c>
      <c r="Q41" s="7">
        <v>5.0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1" t="s">
        <v>692</v>
      </c>
      <c r="Y41" s="24" t="s">
        <v>702</v>
      </c>
      <c r="Z41" s="7">
        <v>1.3888888888888888</v>
      </c>
      <c r="AA41" s="7" t="str">
        <f t="shared" si="2"/>
        <v>M</v>
      </c>
      <c r="AB41" s="7">
        <f t="shared" si="3"/>
        <v>2.777777778</v>
      </c>
      <c r="AC41" s="7">
        <f t="shared" si="4"/>
        <v>0.36</v>
      </c>
      <c r="AD41" s="7"/>
      <c r="AE41" s="7"/>
      <c r="AF41" s="24">
        <f t="shared" si="1"/>
        <v>117000</v>
      </c>
    </row>
    <row r="42">
      <c r="A42" s="7" t="s">
        <v>125</v>
      </c>
      <c r="B42" s="7" t="s">
        <v>34</v>
      </c>
      <c r="C42" s="7" t="s">
        <v>83</v>
      </c>
      <c r="D42" s="7" t="s">
        <v>52</v>
      </c>
      <c r="E42" s="7">
        <v>25.0</v>
      </c>
      <c r="F42" s="7">
        <v>1998.0</v>
      </c>
      <c r="G42" s="7">
        <v>21.0</v>
      </c>
      <c r="H42" s="7">
        <v>18.0</v>
      </c>
      <c r="I42" s="25">
        <v>1672.0</v>
      </c>
      <c r="J42" s="7">
        <v>18.6</v>
      </c>
      <c r="K42" s="7">
        <v>0.0</v>
      </c>
      <c r="L42" s="7">
        <v>2.0</v>
      </c>
      <c r="M42" s="7">
        <v>2.0</v>
      </c>
      <c r="N42" s="7">
        <v>0.0</v>
      </c>
      <c r="O42" s="7">
        <v>0.0</v>
      </c>
      <c r="P42" s="7">
        <v>0.0</v>
      </c>
      <c r="Q42" s="7">
        <v>2.0</v>
      </c>
      <c r="R42" s="7">
        <v>0.0</v>
      </c>
      <c r="S42" s="7">
        <v>0.0</v>
      </c>
      <c r="T42" s="7">
        <v>0.11</v>
      </c>
      <c r="U42" s="7">
        <v>0.11</v>
      </c>
      <c r="V42" s="7">
        <v>0.0</v>
      </c>
      <c r="W42" s="7">
        <v>0.11</v>
      </c>
      <c r="X42" s="7" t="s">
        <v>699</v>
      </c>
      <c r="Y42" s="24" t="s">
        <v>702</v>
      </c>
      <c r="Z42" s="7">
        <v>0.8611111111111112</v>
      </c>
      <c r="AA42" s="7" t="str">
        <f t="shared" si="2"/>
        <v>D</v>
      </c>
      <c r="AB42" s="7">
        <f t="shared" si="3"/>
        <v>0.8611111111</v>
      </c>
      <c r="AC42" s="7">
        <f t="shared" si="4"/>
        <v>1.161290323</v>
      </c>
      <c r="AD42" s="7"/>
      <c r="AE42" s="7"/>
      <c r="AF42" s="24">
        <f t="shared" si="1"/>
        <v>117000</v>
      </c>
    </row>
    <row r="43">
      <c r="A43" s="7" t="s">
        <v>127</v>
      </c>
      <c r="B43" s="7" t="s">
        <v>34</v>
      </c>
      <c r="C43" s="7" t="s">
        <v>35</v>
      </c>
      <c r="D43" s="7" t="s">
        <v>128</v>
      </c>
      <c r="E43" s="7">
        <v>21.0</v>
      </c>
      <c r="F43" s="7">
        <v>2002.0</v>
      </c>
      <c r="G43" s="7">
        <v>22.0</v>
      </c>
      <c r="H43" s="7">
        <v>18.0</v>
      </c>
      <c r="I43" s="25">
        <v>1559.0</v>
      </c>
      <c r="J43" s="7">
        <v>17.3</v>
      </c>
      <c r="K43" s="7">
        <v>0.0</v>
      </c>
      <c r="L43" s="7">
        <v>1.0</v>
      </c>
      <c r="M43" s="7">
        <v>1.0</v>
      </c>
      <c r="N43" s="7">
        <v>0.0</v>
      </c>
      <c r="O43" s="7">
        <v>0.0</v>
      </c>
      <c r="P43" s="7">
        <v>0.0</v>
      </c>
      <c r="Q43" s="7">
        <v>6.0</v>
      </c>
      <c r="R43" s="7">
        <v>0.0</v>
      </c>
      <c r="S43" s="7">
        <v>0.0</v>
      </c>
      <c r="T43" s="7">
        <v>0.06</v>
      </c>
      <c r="U43" s="7">
        <v>0.06</v>
      </c>
      <c r="V43" s="7">
        <v>0.0</v>
      </c>
      <c r="W43" s="7">
        <v>0.06</v>
      </c>
      <c r="X43" s="7" t="s">
        <v>699</v>
      </c>
      <c r="Y43" s="24" t="s">
        <v>701</v>
      </c>
      <c r="Z43" s="7">
        <v>1.4166666666666667</v>
      </c>
      <c r="AA43" s="7" t="str">
        <f t="shared" si="2"/>
        <v>D</v>
      </c>
      <c r="AB43" s="7">
        <f t="shared" si="3"/>
        <v>1.416666667</v>
      </c>
      <c r="AC43" s="7">
        <f t="shared" si="4"/>
        <v>0.7058823529</v>
      </c>
      <c r="AD43" s="7"/>
      <c r="AE43" s="7"/>
      <c r="AF43" s="24">
        <f t="shared" si="1"/>
        <v>86000</v>
      </c>
    </row>
    <row r="44">
      <c r="A44" s="7" t="s">
        <v>130</v>
      </c>
      <c r="B44" s="7" t="s">
        <v>34</v>
      </c>
      <c r="C44" s="7" t="s">
        <v>47</v>
      </c>
      <c r="D44" s="7" t="s">
        <v>98</v>
      </c>
      <c r="E44" s="7">
        <v>26.0</v>
      </c>
      <c r="F44" s="7">
        <v>1997.0</v>
      </c>
      <c r="G44" s="7">
        <v>25.0</v>
      </c>
      <c r="H44" s="7">
        <v>17.0</v>
      </c>
      <c r="I44" s="25">
        <v>1497.0</v>
      </c>
      <c r="J44" s="7">
        <v>16.6</v>
      </c>
      <c r="K44" s="7">
        <v>4.0</v>
      </c>
      <c r="L44" s="7">
        <v>2.0</v>
      </c>
      <c r="M44" s="7">
        <v>6.0</v>
      </c>
      <c r="N44" s="7">
        <v>4.0</v>
      </c>
      <c r="O44" s="7">
        <v>0.0</v>
      </c>
      <c r="P44" s="7">
        <v>0.0</v>
      </c>
      <c r="Q44" s="7">
        <v>1.0</v>
      </c>
      <c r="R44" s="7">
        <v>0.0</v>
      </c>
      <c r="S44" s="7">
        <v>0.24</v>
      </c>
      <c r="T44" s="7">
        <v>0.12</v>
      </c>
      <c r="U44" s="7">
        <v>0.36</v>
      </c>
      <c r="V44" s="7">
        <v>0.24</v>
      </c>
      <c r="W44" s="7">
        <v>0.36</v>
      </c>
      <c r="X44" s="1" t="s">
        <v>692</v>
      </c>
      <c r="Y44" s="24" t="s">
        <v>708</v>
      </c>
      <c r="Z44" s="7">
        <v>1.3055555555555556</v>
      </c>
      <c r="AA44" s="7" t="str">
        <f t="shared" si="2"/>
        <v>M</v>
      </c>
      <c r="AB44" s="7">
        <f t="shared" si="3"/>
        <v>2.611111111</v>
      </c>
      <c r="AC44" s="7">
        <f t="shared" si="4"/>
        <v>0.3829787234</v>
      </c>
      <c r="AD44" s="7"/>
      <c r="AE44" s="7"/>
      <c r="AF44" s="24">
        <f t="shared" si="1"/>
        <v>52000</v>
      </c>
    </row>
    <row r="45">
      <c r="A45" s="7" t="s">
        <v>132</v>
      </c>
      <c r="B45" s="7" t="s">
        <v>25</v>
      </c>
      <c r="C45" s="7" t="s">
        <v>26</v>
      </c>
      <c r="D45" s="7" t="s">
        <v>27</v>
      </c>
      <c r="E45" s="7">
        <v>31.0</v>
      </c>
      <c r="F45" s="7">
        <v>1992.0</v>
      </c>
      <c r="G45" s="7">
        <v>36.0</v>
      </c>
      <c r="H45" s="7">
        <v>32.0</v>
      </c>
      <c r="I45" s="25">
        <v>2933.0</v>
      </c>
      <c r="J45" s="7">
        <v>32.6</v>
      </c>
      <c r="K45" s="7">
        <v>4.0</v>
      </c>
      <c r="L45" s="7">
        <v>2.0</v>
      </c>
      <c r="M45" s="7">
        <v>6.0</v>
      </c>
      <c r="N45" s="7">
        <v>1.0</v>
      </c>
      <c r="O45" s="7">
        <v>3.0</v>
      </c>
      <c r="P45" s="7">
        <v>3.0</v>
      </c>
      <c r="Q45" s="7">
        <v>6.0</v>
      </c>
      <c r="R45" s="7">
        <v>0.0</v>
      </c>
      <c r="S45" s="7">
        <v>0.12</v>
      </c>
      <c r="T45" s="7">
        <v>0.06</v>
      </c>
      <c r="U45" s="7">
        <v>0.18</v>
      </c>
      <c r="V45" s="7">
        <v>0.03</v>
      </c>
      <c r="W45" s="7">
        <v>0.09</v>
      </c>
      <c r="X45" s="7" t="s">
        <v>699</v>
      </c>
      <c r="Y45" s="7" t="s">
        <v>671</v>
      </c>
      <c r="Z45" s="7">
        <v>1.0277777777777777</v>
      </c>
      <c r="AA45" s="7" t="str">
        <f t="shared" si="2"/>
        <v>M</v>
      </c>
      <c r="AB45" s="7">
        <f t="shared" si="3"/>
        <v>2.055555556</v>
      </c>
      <c r="AC45" s="7">
        <f t="shared" si="4"/>
        <v>0.4864864865</v>
      </c>
      <c r="AD45" s="7"/>
      <c r="AE45" s="7"/>
      <c r="AF45" s="24">
        <f t="shared" si="1"/>
        <v>50000</v>
      </c>
    </row>
    <row r="46">
      <c r="A46" s="7" t="s">
        <v>134</v>
      </c>
      <c r="B46" s="7" t="s">
        <v>25</v>
      </c>
      <c r="C46" s="7" t="s">
        <v>26</v>
      </c>
      <c r="D46" s="7" t="s">
        <v>31</v>
      </c>
      <c r="E46" s="7">
        <v>18.0</v>
      </c>
      <c r="F46" s="7">
        <v>2005.0</v>
      </c>
      <c r="G46" s="7">
        <v>5.0</v>
      </c>
      <c r="H46" s="7">
        <v>0.0</v>
      </c>
      <c r="I46" s="7">
        <v>62.0</v>
      </c>
      <c r="J46" s="7">
        <v>0.7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1" t="s">
        <v>692</v>
      </c>
      <c r="Y46" s="24" t="s">
        <v>701</v>
      </c>
      <c r="Z46" s="7">
        <v>0.9722222222222222</v>
      </c>
      <c r="AA46" s="7" t="str">
        <f t="shared" si="2"/>
        <v>M</v>
      </c>
      <c r="AB46" s="7">
        <f t="shared" si="3"/>
        <v>1.944444444</v>
      </c>
      <c r="AC46" s="7">
        <f t="shared" si="4"/>
        <v>0.5142857143</v>
      </c>
      <c r="AD46" s="7"/>
      <c r="AE46" s="7"/>
      <c r="AF46" s="24">
        <f t="shared" si="1"/>
        <v>86000</v>
      </c>
    </row>
    <row r="47">
      <c r="A47" s="7" t="s">
        <v>136</v>
      </c>
      <c r="B47" s="7" t="s">
        <v>25</v>
      </c>
      <c r="C47" s="7" t="s">
        <v>35</v>
      </c>
      <c r="D47" s="7" t="s">
        <v>44</v>
      </c>
      <c r="E47" s="7">
        <v>21.0</v>
      </c>
      <c r="F47" s="7">
        <v>2003.0</v>
      </c>
      <c r="G47" s="7">
        <v>26.0</v>
      </c>
      <c r="H47" s="7">
        <v>23.0</v>
      </c>
      <c r="I47" s="25">
        <v>2076.0</v>
      </c>
      <c r="J47" s="7">
        <v>23.1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7.0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 t="s">
        <v>688</v>
      </c>
      <c r="Y47" s="7" t="s">
        <v>671</v>
      </c>
      <c r="Z47" s="7">
        <v>1.1944444444444444</v>
      </c>
      <c r="AA47" s="7" t="str">
        <f t="shared" si="2"/>
        <v>D</v>
      </c>
      <c r="AB47" s="7">
        <f t="shared" si="3"/>
        <v>1.194444444</v>
      </c>
      <c r="AC47" s="7">
        <f t="shared" si="4"/>
        <v>0.8372093023</v>
      </c>
      <c r="AD47" s="7"/>
      <c r="AE47" s="7"/>
      <c r="AF47" s="24">
        <f t="shared" si="1"/>
        <v>50000</v>
      </c>
    </row>
    <row r="48">
      <c r="A48" s="7" t="s">
        <v>138</v>
      </c>
      <c r="B48" s="7" t="s">
        <v>25</v>
      </c>
      <c r="C48" s="7" t="s">
        <v>55</v>
      </c>
      <c r="D48" s="7" t="s">
        <v>31</v>
      </c>
      <c r="E48" s="7">
        <v>17.0</v>
      </c>
      <c r="F48" s="7">
        <v>2006.0</v>
      </c>
      <c r="G48" s="7">
        <v>2.0</v>
      </c>
      <c r="H48" s="7">
        <v>0.0</v>
      </c>
      <c r="I48" s="7">
        <v>19.0</v>
      </c>
      <c r="J48" s="7">
        <v>0.2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 t="s">
        <v>678</v>
      </c>
      <c r="Y48" s="24" t="s">
        <v>697</v>
      </c>
      <c r="Z48" s="7">
        <v>0.9722222222222222</v>
      </c>
      <c r="AA48" s="7" t="str">
        <f t="shared" si="2"/>
        <v>A</v>
      </c>
      <c r="AB48" s="7">
        <f t="shared" si="3"/>
        <v>3.888888889</v>
      </c>
      <c r="AC48" s="7">
        <f t="shared" si="4"/>
        <v>0.2571428571</v>
      </c>
      <c r="AD48" s="7"/>
      <c r="AE48" s="7"/>
      <c r="AF48" s="24">
        <f t="shared" si="1"/>
        <v>65000</v>
      </c>
    </row>
    <row r="49">
      <c r="A49" s="7" t="s">
        <v>140</v>
      </c>
      <c r="B49" s="7" t="s">
        <v>25</v>
      </c>
      <c r="C49" s="7" t="s">
        <v>55</v>
      </c>
      <c r="D49" s="7" t="s">
        <v>27</v>
      </c>
      <c r="E49" s="7">
        <v>21.0</v>
      </c>
      <c r="F49" s="7">
        <v>2003.0</v>
      </c>
      <c r="G49" s="7">
        <v>18.0</v>
      </c>
      <c r="H49" s="7">
        <v>2.0</v>
      </c>
      <c r="I49" s="7">
        <v>403.0</v>
      </c>
      <c r="J49" s="7">
        <v>4.5</v>
      </c>
      <c r="K49" s="7">
        <v>1.0</v>
      </c>
      <c r="L49" s="7">
        <v>1.0</v>
      </c>
      <c r="M49" s="7">
        <v>2.0</v>
      </c>
      <c r="N49" s="7">
        <v>1.0</v>
      </c>
      <c r="O49" s="7">
        <v>0.0</v>
      </c>
      <c r="P49" s="7">
        <v>0.0</v>
      </c>
      <c r="Q49" s="7">
        <v>1.0</v>
      </c>
      <c r="R49" s="7">
        <v>0.0</v>
      </c>
      <c r="S49" s="7">
        <v>0.22</v>
      </c>
      <c r="T49" s="7">
        <v>0.22</v>
      </c>
      <c r="U49" s="7">
        <v>0.45</v>
      </c>
      <c r="V49" s="7">
        <v>0.22</v>
      </c>
      <c r="W49" s="7">
        <v>0.45</v>
      </c>
      <c r="X49" s="7" t="s">
        <v>685</v>
      </c>
      <c r="Y49" s="7" t="s">
        <v>671</v>
      </c>
      <c r="Z49" s="7">
        <v>1.0277777777777777</v>
      </c>
      <c r="AA49" s="7" t="str">
        <f t="shared" si="2"/>
        <v>A</v>
      </c>
      <c r="AB49" s="7">
        <f t="shared" si="3"/>
        <v>4.111111111</v>
      </c>
      <c r="AC49" s="7">
        <f t="shared" si="4"/>
        <v>0.2432432432</v>
      </c>
      <c r="AD49" s="7"/>
      <c r="AE49" s="7"/>
      <c r="AF49" s="24">
        <f t="shared" si="1"/>
        <v>50000</v>
      </c>
    </row>
    <row r="50">
      <c r="A50" s="7" t="s">
        <v>142</v>
      </c>
      <c r="B50" s="7" t="s">
        <v>25</v>
      </c>
      <c r="C50" s="7" t="s">
        <v>35</v>
      </c>
      <c r="D50" s="7" t="s">
        <v>52</v>
      </c>
      <c r="E50" s="7">
        <v>32.0</v>
      </c>
      <c r="F50" s="7">
        <v>1991.0</v>
      </c>
      <c r="G50" s="7">
        <v>24.0</v>
      </c>
      <c r="H50" s="7">
        <v>18.0</v>
      </c>
      <c r="I50" s="25">
        <v>1622.0</v>
      </c>
      <c r="J50" s="7">
        <v>18.0</v>
      </c>
      <c r="K50" s="7">
        <v>1.0</v>
      </c>
      <c r="L50" s="7">
        <v>1.0</v>
      </c>
      <c r="M50" s="7">
        <v>2.0</v>
      </c>
      <c r="N50" s="7">
        <v>1.0</v>
      </c>
      <c r="O50" s="7">
        <v>0.0</v>
      </c>
      <c r="P50" s="7">
        <v>0.0</v>
      </c>
      <c r="Q50" s="7">
        <v>4.0</v>
      </c>
      <c r="R50" s="7">
        <v>0.0</v>
      </c>
      <c r="S50" s="7">
        <v>0.06</v>
      </c>
      <c r="T50" s="7">
        <v>0.06</v>
      </c>
      <c r="U50" s="7">
        <v>0.11</v>
      </c>
      <c r="V50" s="7">
        <v>0.06</v>
      </c>
      <c r="W50" s="7">
        <v>0.11</v>
      </c>
      <c r="X50" s="1" t="s">
        <v>692</v>
      </c>
      <c r="Y50" s="24" t="s">
        <v>708</v>
      </c>
      <c r="Z50" s="7">
        <v>0.8611111111111112</v>
      </c>
      <c r="AA50" s="7" t="str">
        <f t="shared" si="2"/>
        <v>D</v>
      </c>
      <c r="AB50" s="7">
        <f t="shared" si="3"/>
        <v>0.8611111111</v>
      </c>
      <c r="AC50" s="7">
        <f t="shared" si="4"/>
        <v>1.161290323</v>
      </c>
      <c r="AD50" s="7"/>
      <c r="AE50" s="7"/>
      <c r="AF50" s="24">
        <f t="shared" si="1"/>
        <v>52000</v>
      </c>
    </row>
    <row r="51">
      <c r="A51" s="7" t="s">
        <v>144</v>
      </c>
      <c r="B51" s="7" t="s">
        <v>97</v>
      </c>
      <c r="C51" s="7" t="s">
        <v>26</v>
      </c>
      <c r="D51" s="7" t="s">
        <v>80</v>
      </c>
      <c r="E51" s="7">
        <v>20.0</v>
      </c>
      <c r="F51" s="7">
        <v>2003.0</v>
      </c>
      <c r="G51" s="7">
        <v>5.0</v>
      </c>
      <c r="H51" s="7">
        <v>2.0</v>
      </c>
      <c r="I51" s="7">
        <v>205.0</v>
      </c>
      <c r="J51" s="7">
        <v>2.3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 t="s">
        <v>690</v>
      </c>
      <c r="Y51" s="24" t="s">
        <v>703</v>
      </c>
      <c r="Z51" s="7">
        <v>1.3888888888888888</v>
      </c>
      <c r="AA51" s="7" t="str">
        <f t="shared" si="2"/>
        <v>M</v>
      </c>
      <c r="AB51" s="7">
        <f t="shared" si="3"/>
        <v>2.777777778</v>
      </c>
      <c r="AC51" s="7">
        <f t="shared" si="4"/>
        <v>0.36</v>
      </c>
      <c r="AD51" s="7"/>
      <c r="AE51" s="7"/>
      <c r="AF51" s="24">
        <f t="shared" si="1"/>
        <v>39000</v>
      </c>
    </row>
    <row r="52">
      <c r="A52" s="7" t="s">
        <v>146</v>
      </c>
      <c r="B52" s="7" t="s">
        <v>97</v>
      </c>
      <c r="C52" s="7" t="s">
        <v>26</v>
      </c>
      <c r="D52" s="7" t="s">
        <v>52</v>
      </c>
      <c r="E52" s="7">
        <v>28.0</v>
      </c>
      <c r="F52" s="7">
        <v>1996.0</v>
      </c>
      <c r="G52" s="7">
        <v>4.0</v>
      </c>
      <c r="H52" s="7">
        <v>0.0</v>
      </c>
      <c r="I52" s="7">
        <v>19.0</v>
      </c>
      <c r="J52" s="7">
        <v>0.2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1" t="s">
        <v>692</v>
      </c>
      <c r="Y52" s="24" t="s">
        <v>706</v>
      </c>
      <c r="Z52" s="7">
        <v>0.8611111111111112</v>
      </c>
      <c r="AA52" s="7" t="str">
        <f t="shared" si="2"/>
        <v>M</v>
      </c>
      <c r="AB52" s="7">
        <f t="shared" si="3"/>
        <v>1.722222222</v>
      </c>
      <c r="AC52" s="7">
        <f t="shared" si="4"/>
        <v>0.5806451613</v>
      </c>
      <c r="AD52" s="7"/>
      <c r="AE52" s="7"/>
      <c r="AF52" s="24">
        <f t="shared" si="1"/>
        <v>72000</v>
      </c>
    </row>
    <row r="53">
      <c r="A53" s="7" t="s">
        <v>148</v>
      </c>
      <c r="B53" s="7" t="s">
        <v>25</v>
      </c>
      <c r="C53" s="7" t="s">
        <v>55</v>
      </c>
      <c r="D53" s="7" t="s">
        <v>62</v>
      </c>
      <c r="E53" s="7">
        <v>15.0</v>
      </c>
      <c r="F53" s="7">
        <v>2008.0</v>
      </c>
      <c r="G53" s="7">
        <v>1.0</v>
      </c>
      <c r="H53" s="7">
        <v>0.0</v>
      </c>
      <c r="I53" s="7">
        <v>5.0</v>
      </c>
      <c r="J53" s="7">
        <v>0.1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 t="s">
        <v>698</v>
      </c>
      <c r="Y53" s="24" t="s">
        <v>700</v>
      </c>
      <c r="Z53" s="7">
        <v>0.8055555555555556</v>
      </c>
      <c r="AA53" s="7" t="str">
        <f t="shared" si="2"/>
        <v>A</v>
      </c>
      <c r="AB53" s="7">
        <f t="shared" si="3"/>
        <v>3.222222222</v>
      </c>
      <c r="AC53" s="7">
        <f t="shared" si="4"/>
        <v>0.3103448276</v>
      </c>
      <c r="AD53" s="7"/>
      <c r="AE53" s="7"/>
      <c r="AF53" s="24">
        <f t="shared" si="1"/>
        <v>20000</v>
      </c>
    </row>
    <row r="54">
      <c r="A54" s="7" t="s">
        <v>150</v>
      </c>
      <c r="B54" s="7" t="s">
        <v>25</v>
      </c>
      <c r="C54" s="7" t="s">
        <v>35</v>
      </c>
      <c r="D54" s="7" t="s">
        <v>62</v>
      </c>
      <c r="E54" s="7">
        <v>29.0</v>
      </c>
      <c r="F54" s="7">
        <v>1994.0</v>
      </c>
      <c r="G54" s="7">
        <v>14.0</v>
      </c>
      <c r="H54" s="7">
        <v>9.0</v>
      </c>
      <c r="I54" s="7">
        <v>822.0</v>
      </c>
      <c r="J54" s="7">
        <v>9.1</v>
      </c>
      <c r="K54" s="7">
        <v>0.0</v>
      </c>
      <c r="L54" s="7">
        <v>1.0</v>
      </c>
      <c r="M54" s="7">
        <v>1.0</v>
      </c>
      <c r="N54" s="7">
        <v>0.0</v>
      </c>
      <c r="O54" s="7">
        <v>0.0</v>
      </c>
      <c r="P54" s="7">
        <v>0.0</v>
      </c>
      <c r="Q54" s="7">
        <v>2.0</v>
      </c>
      <c r="R54" s="7">
        <v>0.0</v>
      </c>
      <c r="S54" s="7">
        <v>0.0</v>
      </c>
      <c r="T54" s="7">
        <v>0.11</v>
      </c>
      <c r="U54" s="7">
        <v>0.11</v>
      </c>
      <c r="V54" s="7">
        <v>0.0</v>
      </c>
      <c r="W54" s="7">
        <v>0.11</v>
      </c>
      <c r="X54" s="7" t="s">
        <v>690</v>
      </c>
      <c r="Y54" s="7" t="s">
        <v>671</v>
      </c>
      <c r="Z54" s="7">
        <v>0.8055555555555556</v>
      </c>
      <c r="AA54" s="7" t="str">
        <f t="shared" si="2"/>
        <v>D</v>
      </c>
      <c r="AB54" s="7">
        <f t="shared" si="3"/>
        <v>0.8055555556</v>
      </c>
      <c r="AC54" s="7">
        <f t="shared" si="4"/>
        <v>1.24137931</v>
      </c>
      <c r="AD54" s="7"/>
      <c r="AE54" s="7"/>
      <c r="AF54" s="24">
        <f t="shared" si="1"/>
        <v>50000</v>
      </c>
    </row>
    <row r="55">
      <c r="A55" s="7" t="s">
        <v>152</v>
      </c>
      <c r="B55" s="7" t="s">
        <v>25</v>
      </c>
      <c r="C55" s="7" t="s">
        <v>55</v>
      </c>
      <c r="D55" s="7" t="s">
        <v>52</v>
      </c>
      <c r="E55" s="7">
        <v>23.0</v>
      </c>
      <c r="F55" s="7">
        <v>2000.0</v>
      </c>
      <c r="G55" s="7">
        <v>10.0</v>
      </c>
      <c r="H55" s="7">
        <v>2.0</v>
      </c>
      <c r="I55" s="7">
        <v>287.0</v>
      </c>
      <c r="J55" s="7">
        <v>3.2</v>
      </c>
      <c r="K55" s="7">
        <v>1.0</v>
      </c>
      <c r="L55" s="7">
        <v>0.0</v>
      </c>
      <c r="M55" s="7">
        <v>1.0</v>
      </c>
      <c r="N55" s="7">
        <v>1.0</v>
      </c>
      <c r="O55" s="7">
        <v>0.0</v>
      </c>
      <c r="P55" s="7">
        <v>0.0</v>
      </c>
      <c r="Q55" s="7">
        <v>0.0</v>
      </c>
      <c r="R55" s="7">
        <v>0.0</v>
      </c>
      <c r="S55" s="7">
        <v>0.31</v>
      </c>
      <c r="T55" s="7">
        <v>0.0</v>
      </c>
      <c r="U55" s="7">
        <v>0.31</v>
      </c>
      <c r="V55" s="7">
        <v>0.31</v>
      </c>
      <c r="W55" s="7">
        <v>0.31</v>
      </c>
      <c r="X55" s="7" t="s">
        <v>690</v>
      </c>
      <c r="Y55" s="7" t="s">
        <v>671</v>
      </c>
      <c r="Z55" s="7">
        <v>0.8611111111111112</v>
      </c>
      <c r="AA55" s="7" t="str">
        <f t="shared" si="2"/>
        <v>A</v>
      </c>
      <c r="AB55" s="7">
        <f t="shared" si="3"/>
        <v>3.444444444</v>
      </c>
      <c r="AC55" s="7">
        <f t="shared" si="4"/>
        <v>0.2903225806</v>
      </c>
      <c r="AD55" s="7"/>
      <c r="AE55" s="7"/>
      <c r="AF55" s="24">
        <f t="shared" si="1"/>
        <v>50000</v>
      </c>
    </row>
    <row r="56">
      <c r="A56" s="7" t="s">
        <v>154</v>
      </c>
      <c r="B56" s="7" t="s">
        <v>25</v>
      </c>
      <c r="C56" s="7" t="s">
        <v>47</v>
      </c>
      <c r="D56" s="7" t="s">
        <v>31</v>
      </c>
      <c r="E56" s="7">
        <v>21.0</v>
      </c>
      <c r="F56" s="7">
        <v>2003.0</v>
      </c>
      <c r="G56" s="7">
        <v>19.0</v>
      </c>
      <c r="H56" s="7">
        <v>10.0</v>
      </c>
      <c r="I56" s="7">
        <v>857.0</v>
      </c>
      <c r="J56" s="7">
        <v>9.5</v>
      </c>
      <c r="K56" s="7">
        <v>0.0</v>
      </c>
      <c r="L56" s="7">
        <v>4.0</v>
      </c>
      <c r="M56" s="7">
        <v>4.0</v>
      </c>
      <c r="N56" s="7">
        <v>0.0</v>
      </c>
      <c r="O56" s="7">
        <v>0.0</v>
      </c>
      <c r="P56" s="7">
        <v>0.0</v>
      </c>
      <c r="Q56" s="7">
        <v>3.0</v>
      </c>
      <c r="R56" s="7">
        <v>0.0</v>
      </c>
      <c r="S56" s="7">
        <v>0.0</v>
      </c>
      <c r="T56" s="7">
        <v>0.42</v>
      </c>
      <c r="U56" s="7">
        <v>0.42</v>
      </c>
      <c r="V56" s="7">
        <v>0.0</v>
      </c>
      <c r="W56" s="7">
        <v>0.42</v>
      </c>
      <c r="X56" s="1" t="s">
        <v>692</v>
      </c>
      <c r="Y56" s="7" t="s">
        <v>707</v>
      </c>
      <c r="Z56" s="7">
        <v>0.9722222222222222</v>
      </c>
      <c r="AA56" s="7" t="str">
        <f t="shared" si="2"/>
        <v>M</v>
      </c>
      <c r="AB56" s="7">
        <f t="shared" si="3"/>
        <v>1.944444444</v>
      </c>
      <c r="AC56" s="7">
        <f t="shared" si="4"/>
        <v>0.5142857143</v>
      </c>
      <c r="AD56" s="7"/>
      <c r="AE56" s="7"/>
      <c r="AF56" s="24">
        <f t="shared" si="1"/>
        <v>150000</v>
      </c>
    </row>
    <row r="57">
      <c r="A57" s="7" t="s">
        <v>156</v>
      </c>
      <c r="B57" s="7" t="s">
        <v>157</v>
      </c>
      <c r="C57" s="7" t="s">
        <v>47</v>
      </c>
      <c r="D57" s="7" t="s">
        <v>98</v>
      </c>
      <c r="E57" s="7">
        <v>20.0</v>
      </c>
      <c r="F57" s="7">
        <v>2003.0</v>
      </c>
      <c r="G57" s="7">
        <v>13.0</v>
      </c>
      <c r="H57" s="7">
        <v>2.0</v>
      </c>
      <c r="I57" s="7">
        <v>219.0</v>
      </c>
      <c r="J57" s="7">
        <v>2.4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>
        <v>0.0</v>
      </c>
      <c r="Q57" s="7">
        <v>1.0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7">
        <v>0.0</v>
      </c>
      <c r="X57" s="1" t="s">
        <v>692</v>
      </c>
      <c r="Y57" s="24" t="s">
        <v>706</v>
      </c>
      <c r="Z57" s="7">
        <v>1.3055555555555556</v>
      </c>
      <c r="AA57" s="7" t="str">
        <f t="shared" si="2"/>
        <v>M</v>
      </c>
      <c r="AB57" s="7">
        <f t="shared" si="3"/>
        <v>2.611111111</v>
      </c>
      <c r="AC57" s="7">
        <f t="shared" si="4"/>
        <v>0.3829787234</v>
      </c>
      <c r="AD57" s="7"/>
      <c r="AE57" s="7"/>
      <c r="AF57" s="24">
        <f t="shared" si="1"/>
        <v>72000</v>
      </c>
    </row>
    <row r="58">
      <c r="A58" s="7" t="s">
        <v>159</v>
      </c>
      <c r="B58" s="7" t="s">
        <v>34</v>
      </c>
      <c r="C58" s="7" t="s">
        <v>26</v>
      </c>
      <c r="D58" s="7" t="s">
        <v>128</v>
      </c>
      <c r="E58" s="7">
        <v>23.0</v>
      </c>
      <c r="F58" s="7">
        <v>2000.0</v>
      </c>
      <c r="G58" s="7">
        <v>35.0</v>
      </c>
      <c r="H58" s="7">
        <v>35.0</v>
      </c>
      <c r="I58" s="25">
        <v>2963.0</v>
      </c>
      <c r="J58" s="7">
        <v>32.9</v>
      </c>
      <c r="K58" s="7">
        <v>4.0</v>
      </c>
      <c r="L58" s="7">
        <v>0.0</v>
      </c>
      <c r="M58" s="7">
        <v>4.0</v>
      </c>
      <c r="N58" s="7">
        <v>4.0</v>
      </c>
      <c r="O58" s="7">
        <v>0.0</v>
      </c>
      <c r="P58" s="7">
        <v>0.0</v>
      </c>
      <c r="Q58" s="7">
        <v>7.0</v>
      </c>
      <c r="R58" s="7">
        <v>0.0</v>
      </c>
      <c r="S58" s="7">
        <v>0.12</v>
      </c>
      <c r="T58" s="7">
        <v>0.0</v>
      </c>
      <c r="U58" s="7">
        <v>0.12</v>
      </c>
      <c r="V58" s="7">
        <v>0.12</v>
      </c>
      <c r="W58" s="7">
        <v>0.12</v>
      </c>
      <c r="X58" s="7" t="s">
        <v>709</v>
      </c>
      <c r="Y58" s="24" t="s">
        <v>691</v>
      </c>
      <c r="Z58" s="7">
        <v>1.4166666666666667</v>
      </c>
      <c r="AA58" s="7" t="str">
        <f t="shared" si="2"/>
        <v>M</v>
      </c>
      <c r="AB58" s="7">
        <f t="shared" si="3"/>
        <v>2.833333333</v>
      </c>
      <c r="AC58" s="7">
        <f t="shared" si="4"/>
        <v>0.3529411765</v>
      </c>
      <c r="AD58" s="7"/>
      <c r="AE58" s="7"/>
      <c r="AF58" s="24">
        <f t="shared" si="1"/>
        <v>88000</v>
      </c>
    </row>
    <row r="59">
      <c r="A59" s="7" t="s">
        <v>161</v>
      </c>
      <c r="B59" s="7" t="s">
        <v>34</v>
      </c>
      <c r="C59" s="7" t="s">
        <v>47</v>
      </c>
      <c r="D59" s="7" t="s">
        <v>98</v>
      </c>
      <c r="E59" s="7">
        <v>23.0</v>
      </c>
      <c r="F59" s="7">
        <v>2000.0</v>
      </c>
      <c r="G59" s="7">
        <v>33.0</v>
      </c>
      <c r="H59" s="7">
        <v>28.0</v>
      </c>
      <c r="I59" s="25">
        <v>2382.0</v>
      </c>
      <c r="J59" s="7">
        <v>26.5</v>
      </c>
      <c r="K59" s="7">
        <v>3.0</v>
      </c>
      <c r="L59" s="7">
        <v>3.0</v>
      </c>
      <c r="M59" s="7">
        <v>6.0</v>
      </c>
      <c r="N59" s="7">
        <v>3.0</v>
      </c>
      <c r="O59" s="7">
        <v>0.0</v>
      </c>
      <c r="P59" s="7">
        <v>0.0</v>
      </c>
      <c r="Q59" s="7">
        <v>6.0</v>
      </c>
      <c r="R59" s="7">
        <v>0.0</v>
      </c>
      <c r="S59" s="7">
        <v>0.11</v>
      </c>
      <c r="T59" s="7">
        <v>0.11</v>
      </c>
      <c r="U59" s="7">
        <v>0.23</v>
      </c>
      <c r="V59" s="7">
        <v>0.11</v>
      </c>
      <c r="W59" s="7">
        <v>0.23</v>
      </c>
      <c r="X59" s="7" t="s">
        <v>710</v>
      </c>
      <c r="Y59" s="7" t="s">
        <v>711</v>
      </c>
      <c r="Z59" s="7">
        <v>1.3055555555555556</v>
      </c>
      <c r="AA59" s="7" t="str">
        <f t="shared" si="2"/>
        <v>M</v>
      </c>
      <c r="AB59" s="7">
        <f t="shared" si="3"/>
        <v>2.611111111</v>
      </c>
      <c r="AC59" s="7">
        <f t="shared" si="4"/>
        <v>0.3829787234</v>
      </c>
      <c r="AD59" s="7"/>
      <c r="AE59" s="7"/>
      <c r="AF59" s="24">
        <f t="shared" si="1"/>
        <v>125000</v>
      </c>
    </row>
    <row r="60">
      <c r="A60" s="7" t="s">
        <v>163</v>
      </c>
      <c r="B60" s="7" t="s">
        <v>25</v>
      </c>
      <c r="C60" s="7" t="s">
        <v>83</v>
      </c>
      <c r="D60" s="7" t="s">
        <v>36</v>
      </c>
      <c r="E60" s="7">
        <v>25.0</v>
      </c>
      <c r="F60" s="7">
        <v>1998.0</v>
      </c>
      <c r="G60" s="7">
        <v>26.0</v>
      </c>
      <c r="H60" s="7">
        <v>21.0</v>
      </c>
      <c r="I60" s="25">
        <v>1906.0</v>
      </c>
      <c r="J60" s="7">
        <v>21.2</v>
      </c>
      <c r="K60" s="7">
        <v>1.0</v>
      </c>
      <c r="L60" s="7">
        <v>3.0</v>
      </c>
      <c r="M60" s="7">
        <v>4.0</v>
      </c>
      <c r="N60" s="7">
        <v>1.0</v>
      </c>
      <c r="O60" s="7">
        <v>0.0</v>
      </c>
      <c r="P60" s="7">
        <v>0.0</v>
      </c>
      <c r="Q60" s="7">
        <v>0.0</v>
      </c>
      <c r="R60" s="7">
        <v>0.0</v>
      </c>
      <c r="S60" s="7">
        <v>0.05</v>
      </c>
      <c r="T60" s="7">
        <v>0.14</v>
      </c>
      <c r="U60" s="7">
        <v>0.19</v>
      </c>
      <c r="V60" s="7">
        <v>0.05</v>
      </c>
      <c r="W60" s="7">
        <v>0.19</v>
      </c>
      <c r="X60" s="7" t="s">
        <v>688</v>
      </c>
      <c r="Y60" s="24" t="s">
        <v>703</v>
      </c>
      <c r="Z60" s="7">
        <v>1.6111111111111112</v>
      </c>
      <c r="AA60" s="7" t="str">
        <f t="shared" si="2"/>
        <v>D</v>
      </c>
      <c r="AB60" s="7">
        <f t="shared" si="3"/>
        <v>1.611111111</v>
      </c>
      <c r="AC60" s="7">
        <f t="shared" si="4"/>
        <v>0.6206896552</v>
      </c>
      <c r="AD60" s="7"/>
      <c r="AE60" s="7"/>
      <c r="AF60" s="24">
        <f t="shared" si="1"/>
        <v>39000</v>
      </c>
    </row>
    <row r="61">
      <c r="A61" s="7" t="s">
        <v>165</v>
      </c>
      <c r="B61" s="7" t="s">
        <v>25</v>
      </c>
      <c r="C61" s="7" t="s">
        <v>77</v>
      </c>
      <c r="D61" s="7" t="s">
        <v>58</v>
      </c>
      <c r="E61" s="7">
        <v>25.0</v>
      </c>
      <c r="F61" s="7">
        <v>1998.0</v>
      </c>
      <c r="G61" s="7">
        <v>36.0</v>
      </c>
      <c r="H61" s="7">
        <v>36.0</v>
      </c>
      <c r="I61" s="25">
        <v>3240.0</v>
      </c>
      <c r="J61" s="7">
        <v>36.0</v>
      </c>
      <c r="K61" s="7">
        <v>0.0</v>
      </c>
      <c r="L61" s="7">
        <v>1.0</v>
      </c>
      <c r="M61" s="7">
        <v>1.0</v>
      </c>
      <c r="N61" s="7">
        <v>0.0</v>
      </c>
      <c r="O61" s="7">
        <v>0.0</v>
      </c>
      <c r="P61" s="7">
        <v>0.0</v>
      </c>
      <c r="Q61" s="7">
        <v>2.0</v>
      </c>
      <c r="R61" s="7">
        <v>0.0</v>
      </c>
      <c r="S61" s="7">
        <v>0.0</v>
      </c>
      <c r="T61" s="7">
        <v>0.03</v>
      </c>
      <c r="U61" s="7">
        <v>0.03</v>
      </c>
      <c r="V61" s="7">
        <v>0.0</v>
      </c>
      <c r="W61" s="7">
        <v>0.03</v>
      </c>
      <c r="X61" s="7" t="s">
        <v>712</v>
      </c>
      <c r="Y61" s="24" t="s">
        <v>706</v>
      </c>
      <c r="Z61" s="7">
        <v>0.75</v>
      </c>
      <c r="AA61" s="7" t="str">
        <f t="shared" si="2"/>
        <v>D</v>
      </c>
      <c r="AB61" s="7">
        <f t="shared" si="3"/>
        <v>0.75</v>
      </c>
      <c r="AC61" s="7">
        <f t="shared" si="4"/>
        <v>1.333333333</v>
      </c>
      <c r="AD61" s="7"/>
      <c r="AE61" s="7"/>
      <c r="AF61" s="24">
        <f t="shared" si="1"/>
        <v>72000</v>
      </c>
    </row>
    <row r="62">
      <c r="A62" s="7" t="s">
        <v>167</v>
      </c>
      <c r="B62" s="7" t="s">
        <v>25</v>
      </c>
      <c r="C62" s="7" t="s">
        <v>35</v>
      </c>
      <c r="D62" s="7" t="s">
        <v>27</v>
      </c>
      <c r="E62" s="7">
        <v>26.0</v>
      </c>
      <c r="F62" s="7">
        <v>1997.0</v>
      </c>
      <c r="G62" s="7">
        <v>19.0</v>
      </c>
      <c r="H62" s="7">
        <v>18.0</v>
      </c>
      <c r="I62" s="25">
        <v>1561.0</v>
      </c>
      <c r="J62" s="7">
        <v>17.3</v>
      </c>
      <c r="K62" s="7">
        <v>1.0</v>
      </c>
      <c r="L62" s="7">
        <v>1.0</v>
      </c>
      <c r="M62" s="7">
        <v>2.0</v>
      </c>
      <c r="N62" s="7">
        <v>1.0</v>
      </c>
      <c r="O62" s="7">
        <v>0.0</v>
      </c>
      <c r="P62" s="7">
        <v>0.0</v>
      </c>
      <c r="Q62" s="7">
        <v>6.0</v>
      </c>
      <c r="R62" s="7">
        <v>0.0</v>
      </c>
      <c r="S62" s="7">
        <v>0.06</v>
      </c>
      <c r="T62" s="7">
        <v>0.06</v>
      </c>
      <c r="U62" s="7">
        <v>0.12</v>
      </c>
      <c r="V62" s="7">
        <v>0.06</v>
      </c>
      <c r="W62" s="7">
        <v>0.12</v>
      </c>
      <c r="X62" s="7" t="s">
        <v>670</v>
      </c>
      <c r="Y62" s="24" t="s">
        <v>706</v>
      </c>
      <c r="Z62" s="7">
        <v>1.0277777777777777</v>
      </c>
      <c r="AA62" s="7" t="str">
        <f t="shared" si="2"/>
        <v>D</v>
      </c>
      <c r="AB62" s="7">
        <f t="shared" si="3"/>
        <v>1.027777778</v>
      </c>
      <c r="AC62" s="7">
        <f t="shared" si="4"/>
        <v>0.972972973</v>
      </c>
      <c r="AD62" s="7"/>
      <c r="AE62" s="7"/>
      <c r="AF62" s="24">
        <f t="shared" si="1"/>
        <v>72000</v>
      </c>
    </row>
    <row r="63">
      <c r="A63" s="7" t="s">
        <v>169</v>
      </c>
      <c r="B63" s="7" t="s">
        <v>25</v>
      </c>
      <c r="C63" s="7" t="s">
        <v>26</v>
      </c>
      <c r="D63" s="7" t="s">
        <v>62</v>
      </c>
      <c r="E63" s="7">
        <v>33.0</v>
      </c>
      <c r="F63" s="7">
        <v>1990.0</v>
      </c>
      <c r="G63" s="7">
        <v>33.0</v>
      </c>
      <c r="H63" s="7">
        <v>31.0</v>
      </c>
      <c r="I63" s="25">
        <v>2528.0</v>
      </c>
      <c r="J63" s="7">
        <v>28.1</v>
      </c>
      <c r="K63" s="7">
        <v>1.0</v>
      </c>
      <c r="L63" s="7">
        <v>3.0</v>
      </c>
      <c r="M63" s="7">
        <v>4.0</v>
      </c>
      <c r="N63" s="7">
        <v>0.0</v>
      </c>
      <c r="O63" s="7">
        <v>1.0</v>
      </c>
      <c r="P63" s="7">
        <v>1.0</v>
      </c>
      <c r="Q63" s="7">
        <v>15.0</v>
      </c>
      <c r="R63" s="7">
        <v>0.0</v>
      </c>
      <c r="S63" s="7">
        <v>0.04</v>
      </c>
      <c r="T63" s="7">
        <v>0.11</v>
      </c>
      <c r="U63" s="7">
        <v>0.14</v>
      </c>
      <c r="V63" s="7">
        <v>0.0</v>
      </c>
      <c r="W63" s="7">
        <v>0.11</v>
      </c>
      <c r="X63" s="7" t="s">
        <v>693</v>
      </c>
      <c r="Y63" s="24" t="s">
        <v>708</v>
      </c>
      <c r="Z63" s="7">
        <v>0.8055555555555556</v>
      </c>
      <c r="AA63" s="7" t="str">
        <f t="shared" si="2"/>
        <v>M</v>
      </c>
      <c r="AB63" s="7">
        <f t="shared" si="3"/>
        <v>1.611111111</v>
      </c>
      <c r="AC63" s="7">
        <f t="shared" si="4"/>
        <v>0.6206896552</v>
      </c>
      <c r="AD63" s="7"/>
      <c r="AE63" s="7"/>
      <c r="AF63" s="24">
        <f t="shared" si="1"/>
        <v>52000</v>
      </c>
    </row>
    <row r="64">
      <c r="A64" s="7" t="s">
        <v>171</v>
      </c>
      <c r="B64" s="7" t="s">
        <v>25</v>
      </c>
      <c r="C64" s="7" t="s">
        <v>83</v>
      </c>
      <c r="D64" s="7" t="s">
        <v>62</v>
      </c>
      <c r="E64" s="7">
        <v>30.0</v>
      </c>
      <c r="F64" s="7">
        <v>1993.0</v>
      </c>
      <c r="G64" s="7">
        <v>16.0</v>
      </c>
      <c r="H64" s="7">
        <v>5.0</v>
      </c>
      <c r="I64" s="7">
        <v>570.0</v>
      </c>
      <c r="J64" s="7">
        <v>6.3</v>
      </c>
      <c r="K64" s="7">
        <v>1.0</v>
      </c>
      <c r="L64" s="7">
        <v>0.0</v>
      </c>
      <c r="M64" s="7">
        <v>1.0</v>
      </c>
      <c r="N64" s="7">
        <v>1.0</v>
      </c>
      <c r="O64" s="7">
        <v>0.0</v>
      </c>
      <c r="P64" s="7">
        <v>0.0</v>
      </c>
      <c r="Q64" s="7">
        <v>1.0</v>
      </c>
      <c r="R64" s="7">
        <v>0.0</v>
      </c>
      <c r="S64" s="7">
        <v>0.16</v>
      </c>
      <c r="T64" s="7">
        <v>0.0</v>
      </c>
      <c r="U64" s="7">
        <v>0.16</v>
      </c>
      <c r="V64" s="7">
        <v>0.16</v>
      </c>
      <c r="W64" s="7">
        <v>0.16</v>
      </c>
      <c r="X64" s="1" t="s">
        <v>692</v>
      </c>
      <c r="Y64" s="24" t="s">
        <v>691</v>
      </c>
      <c r="Z64" s="7">
        <v>0.8055555555555556</v>
      </c>
      <c r="AA64" s="7" t="str">
        <f t="shared" si="2"/>
        <v>D</v>
      </c>
      <c r="AB64" s="7">
        <f t="shared" si="3"/>
        <v>0.8055555556</v>
      </c>
      <c r="AC64" s="7">
        <f t="shared" si="4"/>
        <v>1.24137931</v>
      </c>
      <c r="AD64" s="7"/>
      <c r="AE64" s="7"/>
      <c r="AF64" s="24">
        <f t="shared" si="1"/>
        <v>88000</v>
      </c>
    </row>
    <row r="65">
      <c r="A65" s="7" t="s">
        <v>173</v>
      </c>
      <c r="B65" s="7" t="s">
        <v>25</v>
      </c>
      <c r="C65" s="7" t="s">
        <v>35</v>
      </c>
      <c r="D65" s="7" t="s">
        <v>128</v>
      </c>
      <c r="E65" s="7">
        <v>18.0</v>
      </c>
      <c r="F65" s="7">
        <v>2005.0</v>
      </c>
      <c r="G65" s="7">
        <v>4.0</v>
      </c>
      <c r="H65" s="7">
        <v>3.0</v>
      </c>
      <c r="I65" s="7">
        <v>187.0</v>
      </c>
      <c r="J65" s="7">
        <v>2.1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Q65" s="7">
        <v>3.0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 t="s">
        <v>673</v>
      </c>
      <c r="Y65" s="7" t="s">
        <v>671</v>
      </c>
      <c r="Z65" s="7">
        <v>1.4166666666666667</v>
      </c>
      <c r="AA65" s="7" t="str">
        <f t="shared" si="2"/>
        <v>D</v>
      </c>
      <c r="AB65" s="7">
        <f t="shared" si="3"/>
        <v>1.416666667</v>
      </c>
      <c r="AC65" s="7">
        <f t="shared" si="4"/>
        <v>0.7058823529</v>
      </c>
      <c r="AD65" s="7"/>
      <c r="AE65" s="7"/>
      <c r="AF65" s="24">
        <f t="shared" si="1"/>
        <v>50000</v>
      </c>
    </row>
    <row r="66">
      <c r="A66" s="7" t="s">
        <v>175</v>
      </c>
      <c r="B66" s="7" t="s">
        <v>25</v>
      </c>
      <c r="C66" s="7" t="s">
        <v>26</v>
      </c>
      <c r="D66" s="7" t="s">
        <v>31</v>
      </c>
      <c r="E66" s="7">
        <v>17.0</v>
      </c>
      <c r="F66" s="7">
        <v>2006.0</v>
      </c>
      <c r="G66" s="7">
        <v>6.0</v>
      </c>
      <c r="H66" s="7">
        <v>3.0</v>
      </c>
      <c r="I66" s="7">
        <v>300.0</v>
      </c>
      <c r="J66" s="7">
        <v>3.3</v>
      </c>
      <c r="K66" s="7">
        <v>1.0</v>
      </c>
      <c r="L66" s="7">
        <v>0.0</v>
      </c>
      <c r="M66" s="7">
        <v>1.0</v>
      </c>
      <c r="N66" s="7">
        <v>1.0</v>
      </c>
      <c r="O66" s="7">
        <v>0.0</v>
      </c>
      <c r="P66" s="7">
        <v>0.0</v>
      </c>
      <c r="Q66" s="7">
        <v>0.0</v>
      </c>
      <c r="R66" s="7">
        <v>0.0</v>
      </c>
      <c r="S66" s="7">
        <v>0.3</v>
      </c>
      <c r="T66" s="7">
        <v>0.0</v>
      </c>
      <c r="U66" s="7">
        <v>0.3</v>
      </c>
      <c r="V66" s="7">
        <v>0.3</v>
      </c>
      <c r="W66" s="7">
        <v>0.3</v>
      </c>
      <c r="X66" s="7" t="s">
        <v>678</v>
      </c>
      <c r="Y66" s="24" t="s">
        <v>708</v>
      </c>
      <c r="Z66" s="7">
        <v>0.9722222222222222</v>
      </c>
      <c r="AA66" s="7" t="str">
        <f t="shared" si="2"/>
        <v>M</v>
      </c>
      <c r="AB66" s="7">
        <f t="shared" si="3"/>
        <v>1.944444444</v>
      </c>
      <c r="AC66" s="7">
        <f t="shared" si="4"/>
        <v>0.5142857143</v>
      </c>
      <c r="AD66" s="7"/>
      <c r="AE66" s="7"/>
      <c r="AF66" s="24">
        <f t="shared" si="1"/>
        <v>52000</v>
      </c>
    </row>
    <row r="67">
      <c r="A67" s="7" t="s">
        <v>177</v>
      </c>
      <c r="B67" s="7" t="s">
        <v>25</v>
      </c>
      <c r="C67" s="7" t="s">
        <v>26</v>
      </c>
      <c r="D67" s="7" t="s">
        <v>128</v>
      </c>
      <c r="E67" s="7">
        <v>16.0</v>
      </c>
      <c r="F67" s="7">
        <v>2008.0</v>
      </c>
      <c r="G67" s="7">
        <v>3.0</v>
      </c>
      <c r="H67" s="7">
        <v>0.0</v>
      </c>
      <c r="I67" s="7">
        <v>35.0</v>
      </c>
      <c r="J67" s="7">
        <v>0.4</v>
      </c>
      <c r="K67" s="7">
        <v>0.0</v>
      </c>
      <c r="L67" s="7">
        <v>0.0</v>
      </c>
      <c r="M67" s="7">
        <v>0.0</v>
      </c>
      <c r="N67" s="7">
        <v>0.0</v>
      </c>
      <c r="O67" s="7">
        <v>0.0</v>
      </c>
      <c r="P67" s="7">
        <v>0.0</v>
      </c>
      <c r="Q67" s="7">
        <v>0.0</v>
      </c>
      <c r="R67" s="7">
        <v>0.0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1" t="s">
        <v>692</v>
      </c>
      <c r="Y67" s="24" t="s">
        <v>708</v>
      </c>
      <c r="Z67" s="7">
        <v>1.4166666666666667</v>
      </c>
      <c r="AA67" s="7" t="str">
        <f t="shared" si="2"/>
        <v>M</v>
      </c>
      <c r="AB67" s="7">
        <f t="shared" si="3"/>
        <v>2.833333333</v>
      </c>
      <c r="AC67" s="7">
        <f t="shared" si="4"/>
        <v>0.3529411765</v>
      </c>
      <c r="AD67" s="7"/>
      <c r="AE67" s="7"/>
      <c r="AF67" s="24">
        <f t="shared" si="1"/>
        <v>52000</v>
      </c>
    </row>
    <row r="68">
      <c r="A68" s="7" t="s">
        <v>179</v>
      </c>
      <c r="B68" s="7" t="s">
        <v>34</v>
      </c>
      <c r="C68" s="7" t="s">
        <v>35</v>
      </c>
      <c r="D68" s="7" t="s">
        <v>80</v>
      </c>
      <c r="E68" s="7">
        <v>22.0</v>
      </c>
      <c r="F68" s="7">
        <v>2002.0</v>
      </c>
      <c r="G68" s="7">
        <v>9.0</v>
      </c>
      <c r="H68" s="7">
        <v>8.0</v>
      </c>
      <c r="I68" s="7">
        <v>691.0</v>
      </c>
      <c r="J68" s="7">
        <v>7.7</v>
      </c>
      <c r="K68" s="7">
        <v>0.0</v>
      </c>
      <c r="L68" s="7">
        <v>0.0</v>
      </c>
      <c r="M68" s="7">
        <v>0.0</v>
      </c>
      <c r="N68" s="7">
        <v>0.0</v>
      </c>
      <c r="O68" s="7">
        <v>0.0</v>
      </c>
      <c r="P68" s="7">
        <v>0.0</v>
      </c>
      <c r="Q68" s="7">
        <v>1.0</v>
      </c>
      <c r="R68" s="7">
        <v>0.0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 t="s">
        <v>688</v>
      </c>
      <c r="Y68" s="7" t="s">
        <v>713</v>
      </c>
      <c r="Z68" s="7">
        <v>1.3888888888888888</v>
      </c>
      <c r="AA68" s="7" t="str">
        <f t="shared" si="2"/>
        <v>D</v>
      </c>
      <c r="AB68" s="7">
        <f t="shared" si="3"/>
        <v>1.388888889</v>
      </c>
      <c r="AC68" s="7">
        <f t="shared" si="4"/>
        <v>0.72</v>
      </c>
      <c r="AD68" s="7"/>
      <c r="AE68" s="7"/>
      <c r="AF68" s="24">
        <f t="shared" si="1"/>
        <v>375000</v>
      </c>
    </row>
    <row r="69">
      <c r="A69" s="7" t="s">
        <v>181</v>
      </c>
      <c r="B69" s="7" t="s">
        <v>25</v>
      </c>
      <c r="C69" s="7" t="s">
        <v>35</v>
      </c>
      <c r="D69" s="7" t="s">
        <v>31</v>
      </c>
      <c r="E69" s="7">
        <v>27.0</v>
      </c>
      <c r="F69" s="7">
        <v>1996.0</v>
      </c>
      <c r="G69" s="7">
        <v>31.0</v>
      </c>
      <c r="H69" s="7">
        <v>29.0</v>
      </c>
      <c r="I69" s="25">
        <v>2514.0</v>
      </c>
      <c r="J69" s="7">
        <v>27.9</v>
      </c>
      <c r="K69" s="7">
        <v>1.0</v>
      </c>
      <c r="L69" s="7">
        <v>1.0</v>
      </c>
      <c r="M69" s="7">
        <v>2.0</v>
      </c>
      <c r="N69" s="7">
        <v>1.0</v>
      </c>
      <c r="O69" s="7">
        <v>0.0</v>
      </c>
      <c r="P69" s="7">
        <v>0.0</v>
      </c>
      <c r="Q69" s="7">
        <v>10.0</v>
      </c>
      <c r="R69" s="7">
        <v>0.0</v>
      </c>
      <c r="S69" s="7">
        <v>0.04</v>
      </c>
      <c r="T69" s="7">
        <v>0.04</v>
      </c>
      <c r="U69" s="7">
        <v>0.07</v>
      </c>
      <c r="V69" s="7">
        <v>0.04</v>
      </c>
      <c r="W69" s="7">
        <v>0.07</v>
      </c>
      <c r="X69" s="7" t="s">
        <v>709</v>
      </c>
      <c r="Y69" s="24" t="s">
        <v>701</v>
      </c>
      <c r="Z69" s="7">
        <v>0.9722222222222222</v>
      </c>
      <c r="AA69" s="7" t="str">
        <f t="shared" si="2"/>
        <v>D</v>
      </c>
      <c r="AB69" s="7">
        <f t="shared" si="3"/>
        <v>0.9722222222</v>
      </c>
      <c r="AC69" s="7">
        <f t="shared" si="4"/>
        <v>1.028571429</v>
      </c>
      <c r="AD69" s="7"/>
      <c r="AE69" s="7"/>
      <c r="AF69" s="24">
        <f t="shared" si="1"/>
        <v>86000</v>
      </c>
    </row>
    <row r="70">
      <c r="A70" s="7" t="s">
        <v>183</v>
      </c>
      <c r="B70" s="7" t="s">
        <v>25</v>
      </c>
      <c r="C70" s="7" t="s">
        <v>26</v>
      </c>
      <c r="D70" s="7" t="s">
        <v>52</v>
      </c>
      <c r="E70" s="7">
        <v>27.0</v>
      </c>
      <c r="F70" s="7">
        <v>1996.0</v>
      </c>
      <c r="G70" s="7">
        <v>26.0</v>
      </c>
      <c r="H70" s="7">
        <v>12.0</v>
      </c>
      <c r="I70" s="25">
        <v>1154.0</v>
      </c>
      <c r="J70" s="7">
        <v>12.8</v>
      </c>
      <c r="K70" s="7">
        <v>1.0</v>
      </c>
      <c r="L70" s="7">
        <v>3.0</v>
      </c>
      <c r="M70" s="7">
        <v>4.0</v>
      </c>
      <c r="N70" s="7">
        <v>1.0</v>
      </c>
      <c r="O70" s="7">
        <v>0.0</v>
      </c>
      <c r="P70" s="7">
        <v>0.0</v>
      </c>
      <c r="Q70" s="7">
        <v>2.0</v>
      </c>
      <c r="R70" s="7">
        <v>0.0</v>
      </c>
      <c r="S70" s="7">
        <v>0.08</v>
      </c>
      <c r="T70" s="7">
        <v>0.23</v>
      </c>
      <c r="U70" s="7">
        <v>0.31</v>
      </c>
      <c r="V70" s="7">
        <v>0.08</v>
      </c>
      <c r="W70" s="7">
        <v>0.31</v>
      </c>
      <c r="X70" s="7" t="s">
        <v>688</v>
      </c>
      <c r="Y70" s="7" t="s">
        <v>707</v>
      </c>
      <c r="Z70" s="7">
        <v>0.8611111111111112</v>
      </c>
      <c r="AA70" s="7" t="str">
        <f t="shared" si="2"/>
        <v>M</v>
      </c>
      <c r="AB70" s="7">
        <f t="shared" si="3"/>
        <v>1.722222222</v>
      </c>
      <c r="AC70" s="7">
        <f t="shared" si="4"/>
        <v>0.5806451613</v>
      </c>
      <c r="AD70" s="7"/>
      <c r="AE70" s="7"/>
      <c r="AF70" s="24">
        <f t="shared" si="1"/>
        <v>150000</v>
      </c>
    </row>
    <row r="71">
      <c r="A71" s="7" t="s">
        <v>185</v>
      </c>
      <c r="B71" s="7" t="s">
        <v>25</v>
      </c>
      <c r="C71" s="7" t="s">
        <v>47</v>
      </c>
      <c r="D71" s="7" t="s">
        <v>31</v>
      </c>
      <c r="E71" s="7">
        <v>25.0</v>
      </c>
      <c r="F71" s="7">
        <v>1998.0</v>
      </c>
      <c r="G71" s="7">
        <v>10.0</v>
      </c>
      <c r="H71" s="7">
        <v>7.0</v>
      </c>
      <c r="I71" s="7">
        <v>614.0</v>
      </c>
      <c r="J71" s="7">
        <v>6.8</v>
      </c>
      <c r="K71" s="7">
        <v>1.0</v>
      </c>
      <c r="L71" s="7">
        <v>1.0</v>
      </c>
      <c r="M71" s="7">
        <v>2.0</v>
      </c>
      <c r="N71" s="7">
        <v>1.0</v>
      </c>
      <c r="O71" s="7">
        <v>0.0</v>
      </c>
      <c r="P71" s="7">
        <v>0.0</v>
      </c>
      <c r="Q71" s="7">
        <v>1.0</v>
      </c>
      <c r="R71" s="7">
        <v>0.0</v>
      </c>
      <c r="S71" s="7">
        <v>0.15</v>
      </c>
      <c r="T71" s="7">
        <v>0.15</v>
      </c>
      <c r="U71" s="7">
        <v>0.29</v>
      </c>
      <c r="V71" s="7">
        <v>0.15</v>
      </c>
      <c r="W71" s="7">
        <v>0.29</v>
      </c>
      <c r="X71" s="7" t="s">
        <v>688</v>
      </c>
      <c r="Y71" s="7" t="s">
        <v>695</v>
      </c>
      <c r="Z71" s="7">
        <v>0.9722222222222222</v>
      </c>
      <c r="AA71" s="7" t="str">
        <f t="shared" si="2"/>
        <v>M</v>
      </c>
      <c r="AB71" s="7">
        <f t="shared" si="3"/>
        <v>1.944444444</v>
      </c>
      <c r="AC71" s="7">
        <f t="shared" si="4"/>
        <v>0.5142857143</v>
      </c>
      <c r="AD71" s="7"/>
      <c r="AE71" s="7"/>
      <c r="AF71" s="24">
        <f t="shared" si="1"/>
        <v>75000</v>
      </c>
    </row>
    <row r="72">
      <c r="A72" s="7" t="s">
        <v>187</v>
      </c>
      <c r="B72" s="7" t="s">
        <v>25</v>
      </c>
      <c r="C72" s="7" t="s">
        <v>55</v>
      </c>
      <c r="D72" s="7" t="s">
        <v>58</v>
      </c>
      <c r="E72" s="7">
        <v>16.0</v>
      </c>
      <c r="F72" s="7">
        <v>2007.0</v>
      </c>
      <c r="G72" s="7">
        <v>1.0</v>
      </c>
      <c r="H72" s="7">
        <v>0.0</v>
      </c>
      <c r="I72" s="7">
        <v>1.0</v>
      </c>
      <c r="J72" s="7">
        <v>0.0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 t="s">
        <v>696</v>
      </c>
      <c r="Y72" s="24" t="s">
        <v>691</v>
      </c>
      <c r="Z72" s="7">
        <v>0.75</v>
      </c>
      <c r="AA72" s="7" t="str">
        <f t="shared" si="2"/>
        <v>A</v>
      </c>
      <c r="AB72" s="7">
        <f t="shared" si="3"/>
        <v>3</v>
      </c>
      <c r="AC72" s="7">
        <f t="shared" si="4"/>
        <v>0.3333333333</v>
      </c>
      <c r="AD72" s="7"/>
      <c r="AE72" s="7"/>
      <c r="AF72" s="24">
        <f t="shared" si="1"/>
        <v>88000</v>
      </c>
    </row>
    <row r="73">
      <c r="A73" s="7" t="s">
        <v>189</v>
      </c>
      <c r="B73" s="7" t="s">
        <v>25</v>
      </c>
      <c r="C73" s="7" t="s">
        <v>47</v>
      </c>
      <c r="D73" s="7" t="s">
        <v>44</v>
      </c>
      <c r="E73" s="7">
        <v>24.0</v>
      </c>
      <c r="F73" s="7">
        <v>1999.0</v>
      </c>
      <c r="G73" s="7">
        <v>29.0</v>
      </c>
      <c r="H73" s="7">
        <v>16.0</v>
      </c>
      <c r="I73" s="25">
        <v>1332.0</v>
      </c>
      <c r="J73" s="7">
        <v>14.8</v>
      </c>
      <c r="K73" s="7">
        <v>3.0</v>
      </c>
      <c r="L73" s="7">
        <v>1.0</v>
      </c>
      <c r="M73" s="7">
        <v>4.0</v>
      </c>
      <c r="N73" s="7">
        <v>3.0</v>
      </c>
      <c r="O73" s="7">
        <v>0.0</v>
      </c>
      <c r="P73" s="7">
        <v>0.0</v>
      </c>
      <c r="Q73" s="7">
        <v>6.0</v>
      </c>
      <c r="R73" s="7">
        <v>0.0</v>
      </c>
      <c r="S73" s="7">
        <v>0.2</v>
      </c>
      <c r="T73" s="7">
        <v>0.07</v>
      </c>
      <c r="U73" s="7">
        <v>0.27</v>
      </c>
      <c r="V73" s="7">
        <v>0.2</v>
      </c>
      <c r="W73" s="7">
        <v>0.27</v>
      </c>
      <c r="X73" s="7" t="s">
        <v>690</v>
      </c>
      <c r="Y73" s="24" t="s">
        <v>691</v>
      </c>
      <c r="Z73" s="7">
        <v>1.1944444444444444</v>
      </c>
      <c r="AA73" s="7" t="str">
        <f t="shared" si="2"/>
        <v>M</v>
      </c>
      <c r="AB73" s="7">
        <f t="shared" si="3"/>
        <v>2.388888889</v>
      </c>
      <c r="AC73" s="7">
        <f t="shared" si="4"/>
        <v>0.4186046512</v>
      </c>
      <c r="AD73" s="7"/>
      <c r="AE73" s="7"/>
      <c r="AF73" s="24">
        <f t="shared" si="1"/>
        <v>88000</v>
      </c>
    </row>
    <row r="74">
      <c r="A74" s="7" t="s">
        <v>191</v>
      </c>
      <c r="B74" s="7" t="s">
        <v>70</v>
      </c>
      <c r="C74" s="7" t="s">
        <v>30</v>
      </c>
      <c r="D74" s="7" t="s">
        <v>52</v>
      </c>
      <c r="E74" s="7">
        <v>28.0</v>
      </c>
      <c r="F74" s="7">
        <v>1995.0</v>
      </c>
      <c r="G74" s="7">
        <v>32.0</v>
      </c>
      <c r="H74" s="7">
        <v>14.0</v>
      </c>
      <c r="I74" s="25">
        <v>1499.0</v>
      </c>
      <c r="J74" s="7">
        <v>16.7</v>
      </c>
      <c r="K74" s="7">
        <v>7.0</v>
      </c>
      <c r="L74" s="7">
        <v>2.0</v>
      </c>
      <c r="M74" s="7">
        <v>9.0</v>
      </c>
      <c r="N74" s="7">
        <v>7.0</v>
      </c>
      <c r="O74" s="7">
        <v>0.0</v>
      </c>
      <c r="P74" s="7">
        <v>0.0</v>
      </c>
      <c r="Q74" s="7">
        <v>4.0</v>
      </c>
      <c r="R74" s="7">
        <v>0.0</v>
      </c>
      <c r="S74" s="7">
        <v>0.42</v>
      </c>
      <c r="T74" s="7">
        <v>0.12</v>
      </c>
      <c r="U74" s="7">
        <v>0.54</v>
      </c>
      <c r="V74" s="7">
        <v>0.42</v>
      </c>
      <c r="W74" s="7">
        <v>0.54</v>
      </c>
      <c r="X74" s="7" t="s">
        <v>699</v>
      </c>
      <c r="Y74" s="7" t="s">
        <v>707</v>
      </c>
      <c r="Z74" s="7">
        <v>0.8611111111111112</v>
      </c>
      <c r="AA74" s="7" t="str">
        <f t="shared" si="2"/>
        <v>M</v>
      </c>
      <c r="AB74" s="7">
        <f t="shared" si="3"/>
        <v>1.722222222</v>
      </c>
      <c r="AC74" s="7">
        <f t="shared" si="4"/>
        <v>0.5806451613</v>
      </c>
      <c r="AD74" s="7"/>
      <c r="AE74" s="7"/>
      <c r="AF74" s="24">
        <f t="shared" si="1"/>
        <v>150000</v>
      </c>
    </row>
    <row r="75">
      <c r="A75" s="7" t="s">
        <v>193</v>
      </c>
      <c r="B75" s="7" t="s">
        <v>25</v>
      </c>
      <c r="C75" s="7" t="s">
        <v>77</v>
      </c>
      <c r="D75" s="7" t="s">
        <v>27</v>
      </c>
      <c r="E75" s="7">
        <v>29.0</v>
      </c>
      <c r="F75" s="7">
        <v>1994.0</v>
      </c>
      <c r="G75" s="7">
        <v>20.0</v>
      </c>
      <c r="H75" s="7">
        <v>20.0</v>
      </c>
      <c r="I75" s="25">
        <v>1800.0</v>
      </c>
      <c r="J75" s="7">
        <v>20.0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2.0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1" t="s">
        <v>692</v>
      </c>
      <c r="Y75" s="24" t="s">
        <v>701</v>
      </c>
      <c r="Z75" s="7">
        <v>1.0277777777777777</v>
      </c>
      <c r="AA75" s="7" t="str">
        <f t="shared" si="2"/>
        <v>D</v>
      </c>
      <c r="AB75" s="7">
        <f t="shared" si="3"/>
        <v>1.027777778</v>
      </c>
      <c r="AC75" s="7">
        <f t="shared" si="4"/>
        <v>0.972972973</v>
      </c>
      <c r="AD75" s="7"/>
      <c r="AE75" s="7"/>
      <c r="AF75" s="24">
        <f t="shared" si="1"/>
        <v>86000</v>
      </c>
    </row>
    <row r="76">
      <c r="A76" s="7" t="s">
        <v>195</v>
      </c>
      <c r="B76" s="7" t="s">
        <v>25</v>
      </c>
      <c r="C76" s="7" t="s">
        <v>26</v>
      </c>
      <c r="D76" s="7" t="s">
        <v>80</v>
      </c>
      <c r="E76" s="7">
        <v>25.0</v>
      </c>
      <c r="F76" s="7">
        <v>1998.0</v>
      </c>
      <c r="G76" s="7">
        <v>13.0</v>
      </c>
      <c r="H76" s="7">
        <v>1.0</v>
      </c>
      <c r="I76" s="7">
        <v>325.0</v>
      </c>
      <c r="J76" s="7">
        <v>3.6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</v>
      </c>
      <c r="X76" s="1" t="s">
        <v>692</v>
      </c>
      <c r="Y76" s="24" t="s">
        <v>708</v>
      </c>
      <c r="Z76" s="7">
        <v>1.3888888888888888</v>
      </c>
      <c r="AA76" s="7" t="str">
        <f t="shared" si="2"/>
        <v>M</v>
      </c>
      <c r="AB76" s="7">
        <f t="shared" si="3"/>
        <v>2.777777778</v>
      </c>
      <c r="AC76" s="7">
        <f t="shared" si="4"/>
        <v>0.36</v>
      </c>
      <c r="AD76" s="7"/>
      <c r="AE76" s="7"/>
      <c r="AF76" s="24">
        <f t="shared" si="1"/>
        <v>52000</v>
      </c>
    </row>
    <row r="77">
      <c r="A77" s="7" t="s">
        <v>197</v>
      </c>
      <c r="B77" s="7" t="s">
        <v>97</v>
      </c>
      <c r="C77" s="7" t="s">
        <v>26</v>
      </c>
      <c r="D77" s="7" t="s">
        <v>31</v>
      </c>
      <c r="E77" s="7">
        <v>21.0</v>
      </c>
      <c r="F77" s="7">
        <v>2002.0</v>
      </c>
      <c r="G77" s="7">
        <v>28.0</v>
      </c>
      <c r="H77" s="7">
        <v>23.0</v>
      </c>
      <c r="I77" s="25">
        <v>2086.0</v>
      </c>
      <c r="J77" s="7">
        <v>23.2</v>
      </c>
      <c r="K77" s="7">
        <v>5.0</v>
      </c>
      <c r="L77" s="7">
        <v>5.0</v>
      </c>
      <c r="M77" s="7">
        <v>10.0</v>
      </c>
      <c r="N77" s="7">
        <v>5.0</v>
      </c>
      <c r="O77" s="7">
        <v>0.0</v>
      </c>
      <c r="P77" s="7">
        <v>0.0</v>
      </c>
      <c r="Q77" s="7">
        <v>4.0</v>
      </c>
      <c r="R77" s="7">
        <v>0.0</v>
      </c>
      <c r="S77" s="7">
        <v>0.22</v>
      </c>
      <c r="T77" s="7">
        <v>0.22</v>
      </c>
      <c r="U77" s="7">
        <v>0.43</v>
      </c>
      <c r="V77" s="7">
        <v>0.22</v>
      </c>
      <c r="W77" s="7">
        <v>0.43</v>
      </c>
      <c r="X77" s="7" t="s">
        <v>698</v>
      </c>
      <c r="Y77" s="7" t="s">
        <v>668</v>
      </c>
      <c r="Z77" s="7">
        <v>0.9722222222222222</v>
      </c>
      <c r="AA77" s="7" t="str">
        <f t="shared" si="2"/>
        <v>M</v>
      </c>
      <c r="AB77" s="7">
        <f t="shared" si="3"/>
        <v>1.944444444</v>
      </c>
      <c r="AC77" s="7">
        <f t="shared" si="4"/>
        <v>0.5142857143</v>
      </c>
      <c r="AD77" s="7"/>
      <c r="AE77" s="7"/>
      <c r="AF77" s="24">
        <f t="shared" si="1"/>
        <v>100000</v>
      </c>
    </row>
    <row r="78">
      <c r="A78" s="7" t="s">
        <v>199</v>
      </c>
      <c r="B78" s="7" t="s">
        <v>25</v>
      </c>
      <c r="C78" s="7" t="s">
        <v>35</v>
      </c>
      <c r="D78" s="7" t="s">
        <v>98</v>
      </c>
      <c r="E78" s="7">
        <v>25.0</v>
      </c>
      <c r="F78" s="7">
        <v>1998.0</v>
      </c>
      <c r="G78" s="7">
        <v>33.0</v>
      </c>
      <c r="H78" s="7">
        <v>32.0</v>
      </c>
      <c r="I78" s="25">
        <v>2815.0</v>
      </c>
      <c r="J78" s="7">
        <v>31.3</v>
      </c>
      <c r="K78" s="7">
        <v>2.0</v>
      </c>
      <c r="L78" s="7">
        <v>3.0</v>
      </c>
      <c r="M78" s="7">
        <v>5.0</v>
      </c>
      <c r="N78" s="7">
        <v>2.0</v>
      </c>
      <c r="O78" s="7">
        <v>0.0</v>
      </c>
      <c r="P78" s="7">
        <v>0.0</v>
      </c>
      <c r="Q78" s="7">
        <v>7.0</v>
      </c>
      <c r="R78" s="7">
        <v>1.0</v>
      </c>
      <c r="S78" s="7">
        <v>0.06</v>
      </c>
      <c r="T78" s="7">
        <v>0.1</v>
      </c>
      <c r="U78" s="7">
        <v>0.16</v>
      </c>
      <c r="V78" s="7">
        <v>0.06</v>
      </c>
      <c r="W78" s="7">
        <v>0.16</v>
      </c>
      <c r="X78" s="7" t="s">
        <v>667</v>
      </c>
      <c r="Y78" s="7" t="s">
        <v>714</v>
      </c>
      <c r="Z78" s="7">
        <v>1.3055555555555556</v>
      </c>
      <c r="AA78" s="7" t="str">
        <f t="shared" si="2"/>
        <v>D</v>
      </c>
      <c r="AB78" s="7">
        <f t="shared" si="3"/>
        <v>1.305555556</v>
      </c>
      <c r="AC78" s="7">
        <f t="shared" si="4"/>
        <v>0.7659574468</v>
      </c>
      <c r="AD78" s="7"/>
      <c r="AE78" s="7"/>
      <c r="AF78" s="24">
        <f t="shared" si="1"/>
        <v>450000</v>
      </c>
    </row>
    <row r="79">
      <c r="A79" s="7" t="s">
        <v>201</v>
      </c>
      <c r="B79" s="7" t="s">
        <v>25</v>
      </c>
      <c r="C79" s="7" t="s">
        <v>26</v>
      </c>
      <c r="D79" s="7" t="s">
        <v>36</v>
      </c>
      <c r="E79" s="7">
        <v>26.0</v>
      </c>
      <c r="F79" s="7">
        <v>1997.0</v>
      </c>
      <c r="G79" s="7">
        <v>34.0</v>
      </c>
      <c r="H79" s="7">
        <v>30.0</v>
      </c>
      <c r="I79" s="25">
        <v>2625.0</v>
      </c>
      <c r="J79" s="7">
        <v>29.2</v>
      </c>
      <c r="K79" s="7">
        <v>1.0</v>
      </c>
      <c r="L79" s="7">
        <v>4.0</v>
      </c>
      <c r="M79" s="7">
        <v>5.0</v>
      </c>
      <c r="N79" s="7">
        <v>1.0</v>
      </c>
      <c r="O79" s="7">
        <v>0.0</v>
      </c>
      <c r="P79" s="7">
        <v>0.0</v>
      </c>
      <c r="Q79" s="7">
        <v>8.0</v>
      </c>
      <c r="R79" s="7">
        <v>0.0</v>
      </c>
      <c r="S79" s="7">
        <v>0.03</v>
      </c>
      <c r="T79" s="7">
        <v>0.14</v>
      </c>
      <c r="U79" s="7">
        <v>0.17</v>
      </c>
      <c r="V79" s="7">
        <v>0.03</v>
      </c>
      <c r="W79" s="7">
        <v>0.17</v>
      </c>
      <c r="X79" s="7" t="s">
        <v>715</v>
      </c>
      <c r="Y79" s="24" t="s">
        <v>703</v>
      </c>
      <c r="Z79" s="7">
        <v>1.6111111111111112</v>
      </c>
      <c r="AA79" s="7" t="str">
        <f t="shared" si="2"/>
        <v>M</v>
      </c>
      <c r="AB79" s="7">
        <f t="shared" si="3"/>
        <v>3.222222222</v>
      </c>
      <c r="AC79" s="7">
        <f t="shared" si="4"/>
        <v>0.3103448276</v>
      </c>
      <c r="AD79" s="7"/>
      <c r="AE79" s="7"/>
      <c r="AF79" s="24">
        <f t="shared" si="1"/>
        <v>39000</v>
      </c>
    </row>
    <row r="80">
      <c r="A80" s="7" t="s">
        <v>203</v>
      </c>
      <c r="B80" s="7" t="s">
        <v>25</v>
      </c>
      <c r="C80" s="7" t="s">
        <v>47</v>
      </c>
      <c r="D80" s="7" t="s">
        <v>31</v>
      </c>
      <c r="E80" s="7">
        <v>22.0</v>
      </c>
      <c r="F80" s="7">
        <v>2001.0</v>
      </c>
      <c r="G80" s="7">
        <v>27.0</v>
      </c>
      <c r="H80" s="7">
        <v>19.0</v>
      </c>
      <c r="I80" s="25">
        <v>1739.0</v>
      </c>
      <c r="J80" s="7">
        <v>19.3</v>
      </c>
      <c r="K80" s="7">
        <v>1.0</v>
      </c>
      <c r="L80" s="7">
        <v>2.0</v>
      </c>
      <c r="M80" s="7">
        <v>3.0</v>
      </c>
      <c r="N80" s="7">
        <v>1.0</v>
      </c>
      <c r="O80" s="7">
        <v>0.0</v>
      </c>
      <c r="P80" s="7">
        <v>0.0</v>
      </c>
      <c r="Q80" s="7">
        <v>4.0</v>
      </c>
      <c r="R80" s="7">
        <v>0.0</v>
      </c>
      <c r="S80" s="7">
        <v>0.05</v>
      </c>
      <c r="T80" s="7">
        <v>0.1</v>
      </c>
      <c r="U80" s="7">
        <v>0.16</v>
      </c>
      <c r="V80" s="7">
        <v>0.05</v>
      </c>
      <c r="W80" s="7">
        <v>0.16</v>
      </c>
      <c r="X80" s="7" t="s">
        <v>712</v>
      </c>
      <c r="Y80" s="24" t="s">
        <v>706</v>
      </c>
      <c r="Z80" s="7">
        <v>0.9722222222222222</v>
      </c>
      <c r="AA80" s="7" t="str">
        <f t="shared" si="2"/>
        <v>M</v>
      </c>
      <c r="AB80" s="7">
        <f t="shared" si="3"/>
        <v>1.944444444</v>
      </c>
      <c r="AC80" s="7">
        <f t="shared" si="4"/>
        <v>0.5142857143</v>
      </c>
      <c r="AD80" s="7"/>
      <c r="AE80" s="7"/>
      <c r="AF80" s="24">
        <f t="shared" si="1"/>
        <v>72000</v>
      </c>
    </row>
    <row r="81">
      <c r="A81" s="7" t="s">
        <v>205</v>
      </c>
      <c r="B81" s="7" t="s">
        <v>25</v>
      </c>
      <c r="C81" s="7" t="s">
        <v>83</v>
      </c>
      <c r="D81" s="7" t="s">
        <v>98</v>
      </c>
      <c r="E81" s="7">
        <v>23.0</v>
      </c>
      <c r="F81" s="7">
        <v>2000.0</v>
      </c>
      <c r="G81" s="7">
        <v>35.0</v>
      </c>
      <c r="H81" s="7">
        <v>35.0</v>
      </c>
      <c r="I81" s="25">
        <v>3037.0</v>
      </c>
      <c r="J81" s="7">
        <v>33.7</v>
      </c>
      <c r="K81" s="7">
        <v>2.0</v>
      </c>
      <c r="L81" s="7">
        <v>1.0</v>
      </c>
      <c r="M81" s="7">
        <v>3.0</v>
      </c>
      <c r="N81" s="7">
        <v>2.0</v>
      </c>
      <c r="O81" s="7">
        <v>0.0</v>
      </c>
      <c r="P81" s="7">
        <v>0.0</v>
      </c>
      <c r="Q81" s="7">
        <v>8.0</v>
      </c>
      <c r="R81" s="7">
        <v>0.0</v>
      </c>
      <c r="S81" s="7">
        <v>0.06</v>
      </c>
      <c r="T81" s="7">
        <v>0.03</v>
      </c>
      <c r="U81" s="7">
        <v>0.09</v>
      </c>
      <c r="V81" s="7">
        <v>0.06</v>
      </c>
      <c r="W81" s="7">
        <v>0.09</v>
      </c>
      <c r="X81" s="7" t="s">
        <v>715</v>
      </c>
      <c r="Y81" s="7" t="s">
        <v>716</v>
      </c>
      <c r="Z81" s="7">
        <v>1.3055555555555556</v>
      </c>
      <c r="AA81" s="7" t="str">
        <f t="shared" si="2"/>
        <v>D</v>
      </c>
      <c r="AB81" s="7">
        <f t="shared" si="3"/>
        <v>1.305555556</v>
      </c>
      <c r="AC81" s="7">
        <f t="shared" si="4"/>
        <v>0.7659574468</v>
      </c>
      <c r="AD81" s="7"/>
      <c r="AE81" s="7"/>
      <c r="AF81" s="24">
        <f t="shared" si="1"/>
        <v>175000</v>
      </c>
    </row>
    <row r="82">
      <c r="A82" s="7" t="s">
        <v>207</v>
      </c>
      <c r="B82" s="7" t="s">
        <v>25</v>
      </c>
      <c r="C82" s="7" t="s">
        <v>47</v>
      </c>
      <c r="D82" s="7" t="s">
        <v>80</v>
      </c>
      <c r="E82" s="7">
        <v>31.0</v>
      </c>
      <c r="F82" s="7">
        <v>1992.0</v>
      </c>
      <c r="G82" s="7">
        <v>36.0</v>
      </c>
      <c r="H82" s="7">
        <v>34.0</v>
      </c>
      <c r="I82" s="25">
        <v>2994.0</v>
      </c>
      <c r="J82" s="7">
        <v>33.3</v>
      </c>
      <c r="K82" s="7">
        <v>4.0</v>
      </c>
      <c r="L82" s="7">
        <v>4.0</v>
      </c>
      <c r="M82" s="7">
        <v>8.0</v>
      </c>
      <c r="N82" s="7">
        <v>4.0</v>
      </c>
      <c r="O82" s="7">
        <v>0.0</v>
      </c>
      <c r="P82" s="7">
        <v>0.0</v>
      </c>
      <c r="Q82" s="7">
        <v>2.0</v>
      </c>
      <c r="R82" s="7">
        <v>0.0</v>
      </c>
      <c r="S82" s="7">
        <v>0.12</v>
      </c>
      <c r="T82" s="7">
        <v>0.12</v>
      </c>
      <c r="U82" s="7">
        <v>0.24</v>
      </c>
      <c r="V82" s="7">
        <v>0.12</v>
      </c>
      <c r="W82" s="7">
        <v>0.24</v>
      </c>
      <c r="X82" s="7" t="s">
        <v>717</v>
      </c>
      <c r="Y82" s="24" t="s">
        <v>700</v>
      </c>
      <c r="Z82" s="7">
        <v>1.3888888888888888</v>
      </c>
      <c r="AA82" s="7" t="str">
        <f t="shared" si="2"/>
        <v>M</v>
      </c>
      <c r="AB82" s="7">
        <f t="shared" si="3"/>
        <v>2.777777778</v>
      </c>
      <c r="AC82" s="7">
        <f t="shared" si="4"/>
        <v>0.36</v>
      </c>
      <c r="AD82" s="7"/>
      <c r="AE82" s="7"/>
      <c r="AF82" s="24">
        <f t="shared" si="1"/>
        <v>20000</v>
      </c>
    </row>
    <row r="83">
      <c r="A83" s="7" t="s">
        <v>209</v>
      </c>
      <c r="B83" s="7" t="s">
        <v>25</v>
      </c>
      <c r="C83" s="7" t="s">
        <v>47</v>
      </c>
      <c r="D83" s="7" t="s">
        <v>62</v>
      </c>
      <c r="E83" s="7">
        <v>25.0</v>
      </c>
      <c r="F83" s="7">
        <v>1998.0</v>
      </c>
      <c r="G83" s="7">
        <v>36.0</v>
      </c>
      <c r="H83" s="7">
        <v>24.0</v>
      </c>
      <c r="I83" s="25">
        <v>2304.0</v>
      </c>
      <c r="J83" s="7">
        <v>25.6</v>
      </c>
      <c r="K83" s="7">
        <v>2.0</v>
      </c>
      <c r="L83" s="7">
        <v>1.0</v>
      </c>
      <c r="M83" s="7">
        <v>3.0</v>
      </c>
      <c r="N83" s="7">
        <v>2.0</v>
      </c>
      <c r="O83" s="7">
        <v>0.0</v>
      </c>
      <c r="P83" s="7">
        <v>0.0</v>
      </c>
      <c r="Q83" s="7">
        <v>5.0</v>
      </c>
      <c r="R83" s="7">
        <v>0.0</v>
      </c>
      <c r="S83" s="7">
        <v>0.08</v>
      </c>
      <c r="T83" s="7">
        <v>0.04</v>
      </c>
      <c r="U83" s="7">
        <v>0.12</v>
      </c>
      <c r="V83" s="7">
        <v>0.08</v>
      </c>
      <c r="W83" s="7">
        <v>0.12</v>
      </c>
      <c r="X83" s="7" t="s">
        <v>682</v>
      </c>
      <c r="Y83" s="7" t="s">
        <v>668</v>
      </c>
      <c r="Z83" s="7">
        <v>0.8055555555555556</v>
      </c>
      <c r="AA83" s="7" t="str">
        <f t="shared" si="2"/>
        <v>M</v>
      </c>
      <c r="AB83" s="7">
        <f t="shared" si="3"/>
        <v>1.611111111</v>
      </c>
      <c r="AC83" s="7">
        <f t="shared" si="4"/>
        <v>0.6206896552</v>
      </c>
      <c r="AD83" s="7"/>
      <c r="AE83" s="7"/>
      <c r="AF83" s="24">
        <f t="shared" si="1"/>
        <v>100000</v>
      </c>
    </row>
    <row r="84">
      <c r="A84" s="7" t="s">
        <v>211</v>
      </c>
      <c r="B84" s="7" t="s">
        <v>25</v>
      </c>
      <c r="C84" s="7" t="s">
        <v>35</v>
      </c>
      <c r="D84" s="7" t="s">
        <v>36</v>
      </c>
      <c r="E84" s="7">
        <v>33.0</v>
      </c>
      <c r="F84" s="7">
        <v>1990.0</v>
      </c>
      <c r="G84" s="7">
        <v>19.0</v>
      </c>
      <c r="H84" s="7">
        <v>13.0</v>
      </c>
      <c r="I84" s="25">
        <v>1176.0</v>
      </c>
      <c r="J84" s="7">
        <v>13.1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4.0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 t="s">
        <v>678</v>
      </c>
      <c r="Y84" s="24" t="s">
        <v>702</v>
      </c>
      <c r="Z84" s="7">
        <v>1.6111111111111112</v>
      </c>
      <c r="AA84" s="7" t="str">
        <f t="shared" si="2"/>
        <v>D</v>
      </c>
      <c r="AB84" s="7">
        <f t="shared" si="3"/>
        <v>1.611111111</v>
      </c>
      <c r="AC84" s="7">
        <f t="shared" si="4"/>
        <v>0.6206896552</v>
      </c>
      <c r="AD84" s="7"/>
      <c r="AE84" s="7"/>
      <c r="AF84" s="24">
        <f t="shared" si="1"/>
        <v>117000</v>
      </c>
    </row>
    <row r="85">
      <c r="A85" s="7" t="s">
        <v>213</v>
      </c>
      <c r="B85" s="7" t="s">
        <v>25</v>
      </c>
      <c r="C85" s="7" t="s">
        <v>26</v>
      </c>
      <c r="D85" s="7" t="s">
        <v>44</v>
      </c>
      <c r="E85" s="7">
        <v>22.0</v>
      </c>
      <c r="F85" s="7">
        <v>2001.0</v>
      </c>
      <c r="G85" s="7">
        <v>13.0</v>
      </c>
      <c r="H85" s="7">
        <v>13.0</v>
      </c>
      <c r="I85" s="25">
        <v>1166.0</v>
      </c>
      <c r="J85" s="7">
        <v>13.0</v>
      </c>
      <c r="K85" s="7">
        <v>4.0</v>
      </c>
      <c r="L85" s="7">
        <v>3.0</v>
      </c>
      <c r="M85" s="7">
        <v>7.0</v>
      </c>
      <c r="N85" s="7">
        <v>4.0</v>
      </c>
      <c r="O85" s="7">
        <v>0.0</v>
      </c>
      <c r="P85" s="7">
        <v>1.0</v>
      </c>
      <c r="Q85" s="7">
        <v>6.0</v>
      </c>
      <c r="R85" s="7">
        <v>0.0</v>
      </c>
      <c r="S85" s="7">
        <v>0.31</v>
      </c>
      <c r="T85" s="7">
        <v>0.23</v>
      </c>
      <c r="U85" s="7">
        <v>0.54</v>
      </c>
      <c r="V85" s="7">
        <v>0.31</v>
      </c>
      <c r="W85" s="7">
        <v>0.54</v>
      </c>
      <c r="X85" s="7" t="s">
        <v>718</v>
      </c>
      <c r="Y85" s="24" t="s">
        <v>702</v>
      </c>
      <c r="Z85" s="7">
        <v>1.1944444444444444</v>
      </c>
      <c r="AA85" s="7" t="str">
        <f t="shared" si="2"/>
        <v>M</v>
      </c>
      <c r="AB85" s="7">
        <f t="shared" si="3"/>
        <v>2.388888889</v>
      </c>
      <c r="AC85" s="7">
        <f t="shared" si="4"/>
        <v>0.4186046512</v>
      </c>
      <c r="AD85" s="7"/>
      <c r="AE85" s="7"/>
      <c r="AF85" s="24">
        <f t="shared" si="1"/>
        <v>117000</v>
      </c>
    </row>
    <row r="86">
      <c r="A86" s="7" t="s">
        <v>215</v>
      </c>
      <c r="B86" s="7" t="s">
        <v>25</v>
      </c>
      <c r="C86" s="7" t="s">
        <v>47</v>
      </c>
      <c r="D86" s="7" t="s">
        <v>44</v>
      </c>
      <c r="E86" s="7">
        <v>25.0</v>
      </c>
      <c r="F86" s="7">
        <v>1998.0</v>
      </c>
      <c r="G86" s="7">
        <v>35.0</v>
      </c>
      <c r="H86" s="7">
        <v>32.0</v>
      </c>
      <c r="I86" s="25">
        <v>2822.0</v>
      </c>
      <c r="J86" s="7">
        <v>31.4</v>
      </c>
      <c r="K86" s="7">
        <v>7.0</v>
      </c>
      <c r="L86" s="7">
        <v>10.0</v>
      </c>
      <c r="M86" s="7">
        <v>17.0</v>
      </c>
      <c r="N86" s="7">
        <v>5.0</v>
      </c>
      <c r="O86" s="7">
        <v>2.0</v>
      </c>
      <c r="P86" s="7">
        <v>3.0</v>
      </c>
      <c r="Q86" s="7">
        <v>5.0</v>
      </c>
      <c r="R86" s="7">
        <v>0.0</v>
      </c>
      <c r="S86" s="7">
        <v>0.22</v>
      </c>
      <c r="T86" s="7">
        <v>0.32</v>
      </c>
      <c r="U86" s="7">
        <v>0.54</v>
      </c>
      <c r="V86" s="7">
        <v>0.16</v>
      </c>
      <c r="W86" s="7">
        <v>0.48</v>
      </c>
      <c r="X86" s="7" t="s">
        <v>698</v>
      </c>
      <c r="Y86" s="24" t="s">
        <v>697</v>
      </c>
      <c r="Z86" s="7">
        <v>1.1944444444444444</v>
      </c>
      <c r="AA86" s="7" t="str">
        <f t="shared" si="2"/>
        <v>M</v>
      </c>
      <c r="AB86" s="7">
        <f t="shared" si="3"/>
        <v>2.388888889</v>
      </c>
      <c r="AC86" s="7">
        <f t="shared" si="4"/>
        <v>0.4186046512</v>
      </c>
      <c r="AD86" s="7"/>
      <c r="AE86" s="7"/>
      <c r="AF86" s="24">
        <f t="shared" si="1"/>
        <v>65000</v>
      </c>
    </row>
    <row r="87">
      <c r="A87" s="7" t="s">
        <v>217</v>
      </c>
      <c r="B87" s="7" t="s">
        <v>25</v>
      </c>
      <c r="C87" s="7" t="s">
        <v>26</v>
      </c>
      <c r="D87" s="7" t="s">
        <v>98</v>
      </c>
      <c r="E87" s="7">
        <v>21.0</v>
      </c>
      <c r="F87" s="7">
        <v>2002.0</v>
      </c>
      <c r="G87" s="7">
        <v>28.0</v>
      </c>
      <c r="H87" s="7">
        <v>19.0</v>
      </c>
      <c r="I87" s="25">
        <v>1658.0</v>
      </c>
      <c r="J87" s="7">
        <v>18.4</v>
      </c>
      <c r="K87" s="7">
        <v>3.0</v>
      </c>
      <c r="L87" s="7">
        <v>1.0</v>
      </c>
      <c r="M87" s="7">
        <v>4.0</v>
      </c>
      <c r="N87" s="7">
        <v>3.0</v>
      </c>
      <c r="O87" s="7">
        <v>0.0</v>
      </c>
      <c r="P87" s="7">
        <v>0.0</v>
      </c>
      <c r="Q87" s="7">
        <v>6.0</v>
      </c>
      <c r="R87" s="7">
        <v>0.0</v>
      </c>
      <c r="S87" s="7">
        <v>0.16</v>
      </c>
      <c r="T87" s="7">
        <v>0.05</v>
      </c>
      <c r="U87" s="7">
        <v>0.22</v>
      </c>
      <c r="V87" s="7">
        <v>0.16</v>
      </c>
      <c r="W87" s="7">
        <v>0.22</v>
      </c>
      <c r="X87" s="7" t="s">
        <v>719</v>
      </c>
      <c r="Y87" s="24" t="s">
        <v>702</v>
      </c>
      <c r="Z87" s="7">
        <v>1.3055555555555556</v>
      </c>
      <c r="AA87" s="7" t="str">
        <f t="shared" si="2"/>
        <v>M</v>
      </c>
      <c r="AB87" s="7">
        <f t="shared" si="3"/>
        <v>2.611111111</v>
      </c>
      <c r="AC87" s="7">
        <f t="shared" si="4"/>
        <v>0.3829787234</v>
      </c>
      <c r="AD87" s="7"/>
      <c r="AE87" s="7"/>
      <c r="AF87" s="24">
        <f t="shared" si="1"/>
        <v>117000</v>
      </c>
    </row>
    <row r="88">
      <c r="A88" s="7" t="s">
        <v>219</v>
      </c>
      <c r="B88" s="7" t="s">
        <v>25</v>
      </c>
      <c r="C88" s="7" t="s">
        <v>26</v>
      </c>
      <c r="D88" s="7" t="s">
        <v>58</v>
      </c>
      <c r="E88" s="7">
        <v>23.0</v>
      </c>
      <c r="F88" s="7">
        <v>2000.0</v>
      </c>
      <c r="G88" s="7">
        <v>15.0</v>
      </c>
      <c r="H88" s="7">
        <v>1.0</v>
      </c>
      <c r="I88" s="7">
        <v>262.0</v>
      </c>
      <c r="J88" s="7">
        <v>2.9</v>
      </c>
      <c r="K88" s="7">
        <v>0.0</v>
      </c>
      <c r="L88" s="7">
        <v>0.0</v>
      </c>
      <c r="M88" s="7">
        <v>0.0</v>
      </c>
      <c r="N88" s="7">
        <v>0.0</v>
      </c>
      <c r="O88" s="7">
        <v>0.0</v>
      </c>
      <c r="P88" s="7">
        <v>0.0</v>
      </c>
      <c r="Q88" s="7">
        <v>2.0</v>
      </c>
      <c r="R88" s="7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 t="s">
        <v>688</v>
      </c>
      <c r="Y88" s="7" t="s">
        <v>707</v>
      </c>
      <c r="Z88" s="7">
        <v>0.75</v>
      </c>
      <c r="AA88" s="7" t="str">
        <f t="shared" si="2"/>
        <v>M</v>
      </c>
      <c r="AB88" s="7">
        <f t="shared" si="3"/>
        <v>1.5</v>
      </c>
      <c r="AC88" s="7">
        <f t="shared" si="4"/>
        <v>0.6666666667</v>
      </c>
      <c r="AD88" s="7"/>
      <c r="AE88" s="7"/>
      <c r="AF88" s="24">
        <f t="shared" si="1"/>
        <v>150000</v>
      </c>
    </row>
    <row r="89">
      <c r="A89" s="7" t="s">
        <v>221</v>
      </c>
      <c r="B89" s="7" t="s">
        <v>70</v>
      </c>
      <c r="C89" s="7" t="s">
        <v>26</v>
      </c>
      <c r="D89" s="7" t="s">
        <v>44</v>
      </c>
      <c r="E89" s="7">
        <v>28.0</v>
      </c>
      <c r="F89" s="7">
        <v>1995.0</v>
      </c>
      <c r="G89" s="7">
        <v>26.0</v>
      </c>
      <c r="H89" s="7">
        <v>6.0</v>
      </c>
      <c r="I89" s="7">
        <v>737.0</v>
      </c>
      <c r="J89" s="7">
        <v>8.2</v>
      </c>
      <c r="K89" s="7">
        <v>1.0</v>
      </c>
      <c r="L89" s="7">
        <v>1.0</v>
      </c>
      <c r="M89" s="7">
        <v>2.0</v>
      </c>
      <c r="N89" s="7">
        <v>1.0</v>
      </c>
      <c r="O89" s="7">
        <v>0.0</v>
      </c>
      <c r="P89" s="7">
        <v>0.0</v>
      </c>
      <c r="Q89" s="7">
        <v>4.0</v>
      </c>
      <c r="R89" s="7">
        <v>0.0</v>
      </c>
      <c r="S89" s="7">
        <v>0.12</v>
      </c>
      <c r="T89" s="7">
        <v>0.12</v>
      </c>
      <c r="U89" s="7">
        <v>0.24</v>
      </c>
      <c r="V89" s="7">
        <v>0.12</v>
      </c>
      <c r="W89" s="7">
        <v>0.24</v>
      </c>
      <c r="X89" s="1" t="s">
        <v>692</v>
      </c>
      <c r="Y89" s="24" t="s">
        <v>701</v>
      </c>
      <c r="Z89" s="7">
        <v>1.1944444444444444</v>
      </c>
      <c r="AA89" s="7" t="str">
        <f t="shared" si="2"/>
        <v>M</v>
      </c>
      <c r="AB89" s="7">
        <f t="shared" si="3"/>
        <v>2.388888889</v>
      </c>
      <c r="AC89" s="7">
        <f t="shared" si="4"/>
        <v>0.4186046512</v>
      </c>
      <c r="AD89" s="7"/>
      <c r="AE89" s="7"/>
      <c r="AF89" s="24">
        <f t="shared" si="1"/>
        <v>86000</v>
      </c>
    </row>
    <row r="90">
      <c r="A90" s="7" t="s">
        <v>223</v>
      </c>
      <c r="B90" s="7" t="s">
        <v>34</v>
      </c>
      <c r="C90" s="7" t="s">
        <v>55</v>
      </c>
      <c r="D90" s="7" t="s">
        <v>36</v>
      </c>
      <c r="E90" s="7">
        <v>22.0</v>
      </c>
      <c r="F90" s="7">
        <v>2001.0</v>
      </c>
      <c r="G90" s="7">
        <v>14.0</v>
      </c>
      <c r="H90" s="7">
        <v>14.0</v>
      </c>
      <c r="I90" s="25">
        <v>1160.0</v>
      </c>
      <c r="J90" s="7">
        <v>12.9</v>
      </c>
      <c r="K90" s="7">
        <v>6.0</v>
      </c>
      <c r="L90" s="7">
        <v>2.0</v>
      </c>
      <c r="M90" s="7">
        <v>8.0</v>
      </c>
      <c r="N90" s="7">
        <v>3.0</v>
      </c>
      <c r="O90" s="7">
        <v>3.0</v>
      </c>
      <c r="P90" s="7">
        <v>3.0</v>
      </c>
      <c r="Q90" s="7">
        <v>4.0</v>
      </c>
      <c r="R90" s="7">
        <v>0.0</v>
      </c>
      <c r="S90" s="7">
        <v>0.47</v>
      </c>
      <c r="T90" s="7">
        <v>0.16</v>
      </c>
      <c r="U90" s="7">
        <v>0.62</v>
      </c>
      <c r="V90" s="7">
        <v>0.23</v>
      </c>
      <c r="W90" s="7">
        <v>0.39</v>
      </c>
      <c r="X90" s="7" t="s">
        <v>718</v>
      </c>
      <c r="Y90" s="7" t="s">
        <v>716</v>
      </c>
      <c r="Z90" s="7">
        <v>1.6111111111111112</v>
      </c>
      <c r="AA90" s="7" t="str">
        <f t="shared" si="2"/>
        <v>A</v>
      </c>
      <c r="AB90" s="7">
        <f t="shared" si="3"/>
        <v>6.444444444</v>
      </c>
      <c r="AC90" s="7">
        <f t="shared" si="4"/>
        <v>0.1551724138</v>
      </c>
      <c r="AD90" s="7"/>
      <c r="AE90" s="7"/>
      <c r="AF90" s="24">
        <f t="shared" si="1"/>
        <v>175000</v>
      </c>
    </row>
    <row r="91">
      <c r="A91" s="7" t="s">
        <v>225</v>
      </c>
      <c r="B91" s="7" t="s">
        <v>34</v>
      </c>
      <c r="C91" s="7" t="s">
        <v>35</v>
      </c>
      <c r="D91" s="7" t="s">
        <v>52</v>
      </c>
      <c r="E91" s="7">
        <v>21.0</v>
      </c>
      <c r="F91" s="7">
        <v>2002.0</v>
      </c>
      <c r="G91" s="7">
        <v>3.0</v>
      </c>
      <c r="H91" s="7">
        <v>2.0</v>
      </c>
      <c r="I91" s="7">
        <v>175.0</v>
      </c>
      <c r="J91" s="7">
        <v>1.9</v>
      </c>
      <c r="K91" s="7">
        <v>0.0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Q91" s="7">
        <v>2.0</v>
      </c>
      <c r="R91" s="7">
        <v>0.0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 t="s">
        <v>698</v>
      </c>
      <c r="Y91" s="7" t="s">
        <v>687</v>
      </c>
      <c r="Z91" s="7">
        <v>0.8611111111111112</v>
      </c>
      <c r="AA91" s="7" t="str">
        <f t="shared" si="2"/>
        <v>D</v>
      </c>
      <c r="AB91" s="7">
        <f t="shared" si="3"/>
        <v>0.8611111111</v>
      </c>
      <c r="AC91" s="7">
        <f t="shared" si="4"/>
        <v>1.161290323</v>
      </c>
      <c r="AD91" s="7"/>
      <c r="AE91" s="7"/>
      <c r="AF91" s="24">
        <f t="shared" si="1"/>
        <v>25000</v>
      </c>
    </row>
    <row r="92">
      <c r="A92" s="7" t="s">
        <v>227</v>
      </c>
      <c r="B92" s="7" t="s">
        <v>25</v>
      </c>
      <c r="C92" s="7" t="s">
        <v>26</v>
      </c>
      <c r="D92" s="7" t="s">
        <v>44</v>
      </c>
      <c r="E92" s="7">
        <v>28.0</v>
      </c>
      <c r="F92" s="7">
        <v>1995.0</v>
      </c>
      <c r="G92" s="7">
        <v>19.0</v>
      </c>
      <c r="H92" s="7">
        <v>10.0</v>
      </c>
      <c r="I92" s="7">
        <v>967.0</v>
      </c>
      <c r="J92" s="7">
        <v>10.7</v>
      </c>
      <c r="K92" s="7">
        <v>0.0</v>
      </c>
      <c r="L92" s="7">
        <v>2.0</v>
      </c>
      <c r="M92" s="7">
        <v>2.0</v>
      </c>
      <c r="N92" s="7">
        <v>0.0</v>
      </c>
      <c r="O92" s="7">
        <v>0.0</v>
      </c>
      <c r="P92" s="7">
        <v>0.0</v>
      </c>
      <c r="Q92" s="7">
        <v>4.0</v>
      </c>
      <c r="R92" s="7">
        <v>0.0</v>
      </c>
      <c r="S92" s="7">
        <v>0.0</v>
      </c>
      <c r="T92" s="7">
        <v>0.19</v>
      </c>
      <c r="U92" s="7">
        <v>0.19</v>
      </c>
      <c r="V92" s="7">
        <v>0.0</v>
      </c>
      <c r="W92" s="7">
        <v>0.19</v>
      </c>
      <c r="X92" s="7" t="s">
        <v>720</v>
      </c>
      <c r="Y92" s="7" t="s">
        <v>694</v>
      </c>
      <c r="Z92" s="7">
        <v>1.1944444444444444</v>
      </c>
      <c r="AA92" s="7" t="str">
        <f t="shared" si="2"/>
        <v>M</v>
      </c>
      <c r="AB92" s="7">
        <f t="shared" si="3"/>
        <v>2.388888889</v>
      </c>
      <c r="AC92" s="7">
        <f t="shared" si="4"/>
        <v>0.4186046512</v>
      </c>
      <c r="AD92" s="7"/>
      <c r="AE92" s="7"/>
      <c r="AF92" s="24">
        <f t="shared" si="1"/>
        <v>300000</v>
      </c>
    </row>
    <row r="93">
      <c r="A93" s="7" t="s">
        <v>229</v>
      </c>
      <c r="B93" s="7" t="s">
        <v>25</v>
      </c>
      <c r="C93" s="7" t="s">
        <v>26</v>
      </c>
      <c r="D93" s="7" t="s">
        <v>31</v>
      </c>
      <c r="E93" s="7">
        <v>26.0</v>
      </c>
      <c r="F93" s="7">
        <v>1997.0</v>
      </c>
      <c r="G93" s="7">
        <v>30.0</v>
      </c>
      <c r="H93" s="7">
        <v>27.0</v>
      </c>
      <c r="I93" s="25">
        <v>2220.0</v>
      </c>
      <c r="J93" s="7">
        <v>24.7</v>
      </c>
      <c r="K93" s="7">
        <v>4.0</v>
      </c>
      <c r="L93" s="7">
        <v>7.0</v>
      </c>
      <c r="M93" s="7">
        <v>11.0</v>
      </c>
      <c r="N93" s="7">
        <v>4.0</v>
      </c>
      <c r="O93" s="7">
        <v>0.0</v>
      </c>
      <c r="P93" s="7">
        <v>1.0</v>
      </c>
      <c r="Q93" s="7">
        <v>6.0</v>
      </c>
      <c r="R93" s="7">
        <v>0.0</v>
      </c>
      <c r="S93" s="7">
        <v>0.16</v>
      </c>
      <c r="T93" s="7">
        <v>0.28</v>
      </c>
      <c r="U93" s="7">
        <v>0.45</v>
      </c>
      <c r="V93" s="7">
        <v>0.16</v>
      </c>
      <c r="W93" s="7">
        <v>0.45</v>
      </c>
      <c r="X93" s="7" t="s">
        <v>688</v>
      </c>
      <c r="Y93" s="24" t="s">
        <v>697</v>
      </c>
      <c r="Z93" s="7">
        <v>0.9722222222222222</v>
      </c>
      <c r="AA93" s="7" t="str">
        <f t="shared" si="2"/>
        <v>M</v>
      </c>
      <c r="AB93" s="7">
        <f t="shared" si="3"/>
        <v>1.944444444</v>
      </c>
      <c r="AC93" s="7">
        <f t="shared" si="4"/>
        <v>0.5142857143</v>
      </c>
      <c r="AD93" s="7"/>
      <c r="AE93" s="7"/>
      <c r="AF93" s="24">
        <f t="shared" si="1"/>
        <v>65000</v>
      </c>
    </row>
    <row r="94">
      <c r="A94" s="7" t="s">
        <v>231</v>
      </c>
      <c r="B94" s="7" t="s">
        <v>25</v>
      </c>
      <c r="C94" s="7" t="s">
        <v>77</v>
      </c>
      <c r="D94" s="7" t="s">
        <v>128</v>
      </c>
      <c r="E94" s="7">
        <v>24.0</v>
      </c>
      <c r="F94" s="7">
        <v>1999.0</v>
      </c>
      <c r="G94" s="7">
        <v>36.0</v>
      </c>
      <c r="H94" s="7">
        <v>36.0</v>
      </c>
      <c r="I94" s="25">
        <v>3231.0</v>
      </c>
      <c r="J94" s="7">
        <v>35.9</v>
      </c>
      <c r="K94" s="7">
        <v>0.0</v>
      </c>
      <c r="L94" s="7">
        <v>0.0</v>
      </c>
      <c r="M94" s="7">
        <v>0.0</v>
      </c>
      <c r="N94" s="7">
        <v>0.0</v>
      </c>
      <c r="O94" s="7">
        <v>0.0</v>
      </c>
      <c r="P94" s="7">
        <v>0.0</v>
      </c>
      <c r="Q94" s="7">
        <v>2.0</v>
      </c>
      <c r="R94" s="7">
        <v>0.0</v>
      </c>
      <c r="S94" s="7">
        <v>0.0</v>
      </c>
      <c r="T94" s="7">
        <v>0.0</v>
      </c>
      <c r="U94" s="7">
        <v>0.0</v>
      </c>
      <c r="V94" s="7">
        <v>0.0</v>
      </c>
      <c r="W94" s="7">
        <v>0.0</v>
      </c>
      <c r="X94" s="1" t="s">
        <v>692</v>
      </c>
      <c r="Y94" s="24" t="s">
        <v>701</v>
      </c>
      <c r="Z94" s="7">
        <v>1.4166666666666667</v>
      </c>
      <c r="AA94" s="7" t="str">
        <f t="shared" si="2"/>
        <v>D</v>
      </c>
      <c r="AB94" s="7">
        <f t="shared" si="3"/>
        <v>1.416666667</v>
      </c>
      <c r="AC94" s="7">
        <f t="shared" si="4"/>
        <v>0.7058823529</v>
      </c>
      <c r="AD94" s="7"/>
      <c r="AE94" s="7"/>
      <c r="AF94" s="24">
        <f t="shared" si="1"/>
        <v>86000</v>
      </c>
    </row>
    <row r="95">
      <c r="A95" s="7" t="s">
        <v>233</v>
      </c>
      <c r="B95" s="7" t="s">
        <v>25</v>
      </c>
      <c r="C95" s="7" t="s">
        <v>26</v>
      </c>
      <c r="D95" s="7" t="s">
        <v>62</v>
      </c>
      <c r="E95" s="7">
        <v>22.0</v>
      </c>
      <c r="F95" s="7">
        <v>2001.0</v>
      </c>
      <c r="G95" s="7">
        <v>36.0</v>
      </c>
      <c r="H95" s="7">
        <v>33.0</v>
      </c>
      <c r="I95" s="25">
        <v>2646.0</v>
      </c>
      <c r="J95" s="7">
        <v>29.4</v>
      </c>
      <c r="K95" s="7">
        <v>4.0</v>
      </c>
      <c r="L95" s="7">
        <v>1.0</v>
      </c>
      <c r="M95" s="7">
        <v>5.0</v>
      </c>
      <c r="N95" s="7">
        <v>4.0</v>
      </c>
      <c r="O95" s="7">
        <v>0.0</v>
      </c>
      <c r="P95" s="7">
        <v>0.0</v>
      </c>
      <c r="Q95" s="7">
        <v>0.0</v>
      </c>
      <c r="R95" s="7">
        <v>0.0</v>
      </c>
      <c r="S95" s="7">
        <v>0.14</v>
      </c>
      <c r="T95" s="7">
        <v>0.03</v>
      </c>
      <c r="U95" s="7">
        <v>0.17</v>
      </c>
      <c r="V95" s="7">
        <v>0.14</v>
      </c>
      <c r="W95" s="7">
        <v>0.17</v>
      </c>
      <c r="X95" s="7" t="s">
        <v>690</v>
      </c>
      <c r="Y95" s="7" t="s">
        <v>695</v>
      </c>
      <c r="Z95" s="7">
        <v>0.8055555555555556</v>
      </c>
      <c r="AA95" s="7" t="str">
        <f t="shared" si="2"/>
        <v>M</v>
      </c>
      <c r="AB95" s="7">
        <f t="shared" si="3"/>
        <v>1.611111111</v>
      </c>
      <c r="AC95" s="7">
        <f t="shared" si="4"/>
        <v>0.6206896552</v>
      </c>
      <c r="AD95" s="7"/>
      <c r="AE95" s="7"/>
      <c r="AF95" s="24">
        <f t="shared" si="1"/>
        <v>75000</v>
      </c>
    </row>
    <row r="96">
      <c r="A96" s="7" t="s">
        <v>235</v>
      </c>
      <c r="B96" s="7" t="s">
        <v>34</v>
      </c>
      <c r="C96" s="7" t="s">
        <v>87</v>
      </c>
      <c r="D96" s="7" t="s">
        <v>36</v>
      </c>
      <c r="E96" s="7">
        <v>20.0</v>
      </c>
      <c r="F96" s="7">
        <v>2003.0</v>
      </c>
      <c r="G96" s="7">
        <v>14.0</v>
      </c>
      <c r="H96" s="7">
        <v>14.0</v>
      </c>
      <c r="I96" s="25">
        <v>1101.0</v>
      </c>
      <c r="J96" s="7">
        <v>12.2</v>
      </c>
      <c r="K96" s="7">
        <v>1.0</v>
      </c>
      <c r="L96" s="7">
        <v>0.0</v>
      </c>
      <c r="M96" s="7">
        <v>1.0</v>
      </c>
      <c r="N96" s="7">
        <v>1.0</v>
      </c>
      <c r="O96" s="7">
        <v>0.0</v>
      </c>
      <c r="P96" s="7">
        <v>0.0</v>
      </c>
      <c r="Q96" s="7">
        <v>4.0</v>
      </c>
      <c r="R96" s="7">
        <v>0.0</v>
      </c>
      <c r="S96" s="7">
        <v>0.08</v>
      </c>
      <c r="T96" s="7">
        <v>0.0</v>
      </c>
      <c r="U96" s="7">
        <v>0.08</v>
      </c>
      <c r="V96" s="7">
        <v>0.08</v>
      </c>
      <c r="W96" s="7">
        <v>0.08</v>
      </c>
      <c r="X96" s="7" t="s">
        <v>688</v>
      </c>
      <c r="Y96" s="7" t="s">
        <v>721</v>
      </c>
      <c r="Z96" s="7">
        <v>1.6111111111111112</v>
      </c>
      <c r="AA96" s="7" t="str">
        <f t="shared" si="2"/>
        <v>D</v>
      </c>
      <c r="AB96" s="7">
        <f t="shared" si="3"/>
        <v>1.611111111</v>
      </c>
      <c r="AC96" s="7">
        <f t="shared" si="4"/>
        <v>0.6206896552</v>
      </c>
      <c r="AD96" s="7"/>
      <c r="AE96" s="7"/>
      <c r="AF96" s="24">
        <f t="shared" si="1"/>
        <v>250000</v>
      </c>
    </row>
    <row r="97">
      <c r="A97" s="7" t="s">
        <v>237</v>
      </c>
      <c r="B97" s="7" t="s">
        <v>34</v>
      </c>
      <c r="C97" s="7" t="s">
        <v>26</v>
      </c>
      <c r="D97" s="7" t="s">
        <v>128</v>
      </c>
      <c r="E97" s="7">
        <v>23.0</v>
      </c>
      <c r="F97" s="7">
        <v>2001.0</v>
      </c>
      <c r="G97" s="7">
        <v>34.0</v>
      </c>
      <c r="H97" s="7">
        <v>33.0</v>
      </c>
      <c r="I97" s="25">
        <v>2764.0</v>
      </c>
      <c r="J97" s="7">
        <v>30.7</v>
      </c>
      <c r="K97" s="7">
        <v>9.0</v>
      </c>
      <c r="L97" s="7">
        <v>4.0</v>
      </c>
      <c r="M97" s="7">
        <v>13.0</v>
      </c>
      <c r="N97" s="7">
        <v>7.0</v>
      </c>
      <c r="O97" s="7">
        <v>2.0</v>
      </c>
      <c r="P97" s="7">
        <v>2.0</v>
      </c>
      <c r="Q97" s="7">
        <v>7.0</v>
      </c>
      <c r="R97" s="7">
        <v>0.0</v>
      </c>
      <c r="S97" s="7">
        <v>0.29</v>
      </c>
      <c r="T97" s="7">
        <v>0.13</v>
      </c>
      <c r="U97" s="7">
        <v>0.42</v>
      </c>
      <c r="V97" s="7">
        <v>0.23</v>
      </c>
      <c r="W97" s="7">
        <v>0.36</v>
      </c>
      <c r="X97" s="7" t="s">
        <v>722</v>
      </c>
      <c r="Y97" s="24" t="s">
        <v>697</v>
      </c>
      <c r="Z97" s="7">
        <v>1.4166666666666667</v>
      </c>
      <c r="AA97" s="7" t="str">
        <f t="shared" si="2"/>
        <v>M</v>
      </c>
      <c r="AB97" s="7">
        <f t="shared" si="3"/>
        <v>2.833333333</v>
      </c>
      <c r="AC97" s="7">
        <f t="shared" si="4"/>
        <v>0.3529411765</v>
      </c>
      <c r="AD97" s="7"/>
      <c r="AE97" s="7"/>
      <c r="AF97" s="24">
        <f t="shared" si="1"/>
        <v>65000</v>
      </c>
    </row>
    <row r="98">
      <c r="A98" s="7" t="s">
        <v>239</v>
      </c>
      <c r="B98" s="7"/>
      <c r="C98" s="7" t="s">
        <v>26</v>
      </c>
      <c r="D98" s="7" t="s">
        <v>36</v>
      </c>
      <c r="E98" s="7">
        <v>18.0</v>
      </c>
      <c r="F98" s="7">
        <v>2005.0</v>
      </c>
      <c r="G98" s="7">
        <v>1.0</v>
      </c>
      <c r="H98" s="7">
        <v>0.0</v>
      </c>
      <c r="I98" s="7">
        <v>15.0</v>
      </c>
      <c r="J98" s="7">
        <v>0.2</v>
      </c>
      <c r="K98" s="7">
        <v>0.0</v>
      </c>
      <c r="L98" s="7">
        <v>0.0</v>
      </c>
      <c r="M98" s="7">
        <v>0.0</v>
      </c>
      <c r="N98" s="7">
        <v>0.0</v>
      </c>
      <c r="O98" s="7">
        <v>0.0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0.0</v>
      </c>
      <c r="X98" s="1" t="s">
        <v>692</v>
      </c>
      <c r="Y98" s="24" t="s">
        <v>708</v>
      </c>
      <c r="Z98" s="7">
        <v>1.6111111111111112</v>
      </c>
      <c r="AA98" s="7" t="str">
        <f t="shared" si="2"/>
        <v>M</v>
      </c>
      <c r="AB98" s="7">
        <f t="shared" si="3"/>
        <v>3.222222222</v>
      </c>
      <c r="AC98" s="7">
        <f t="shared" si="4"/>
        <v>0.3103448276</v>
      </c>
      <c r="AD98" s="7"/>
      <c r="AE98" s="7"/>
      <c r="AF98" s="24">
        <f t="shared" si="1"/>
        <v>52000</v>
      </c>
    </row>
    <row r="99">
      <c r="A99" s="7" t="s">
        <v>241</v>
      </c>
      <c r="B99" s="7" t="s">
        <v>97</v>
      </c>
      <c r="C99" s="7" t="s">
        <v>55</v>
      </c>
      <c r="D99" s="7" t="s">
        <v>80</v>
      </c>
      <c r="E99" s="7">
        <v>18.0</v>
      </c>
      <c r="F99" s="7">
        <v>2005.0</v>
      </c>
      <c r="G99" s="7">
        <v>25.0</v>
      </c>
      <c r="H99" s="7">
        <v>9.0</v>
      </c>
      <c r="I99" s="7">
        <v>864.0</v>
      </c>
      <c r="J99" s="7">
        <v>9.6</v>
      </c>
      <c r="K99" s="7">
        <v>2.0</v>
      </c>
      <c r="L99" s="7">
        <v>1.0</v>
      </c>
      <c r="M99" s="7">
        <v>3.0</v>
      </c>
      <c r="N99" s="7">
        <v>2.0</v>
      </c>
      <c r="O99" s="7">
        <v>0.0</v>
      </c>
      <c r="P99" s="7">
        <v>0.0</v>
      </c>
      <c r="Q99" s="7">
        <v>5.0</v>
      </c>
      <c r="R99" s="7">
        <v>0.0</v>
      </c>
      <c r="S99" s="7">
        <v>0.21</v>
      </c>
      <c r="T99" s="7">
        <v>0.1</v>
      </c>
      <c r="U99" s="7">
        <v>0.31</v>
      </c>
      <c r="V99" s="7">
        <v>0.21</v>
      </c>
      <c r="W99" s="7">
        <v>0.31</v>
      </c>
      <c r="X99" s="7" t="s">
        <v>718</v>
      </c>
      <c r="Y99" s="7" t="s">
        <v>707</v>
      </c>
      <c r="Z99" s="7">
        <v>1.3888888888888888</v>
      </c>
      <c r="AA99" s="7" t="str">
        <f t="shared" si="2"/>
        <v>A</v>
      </c>
      <c r="AB99" s="7">
        <f t="shared" si="3"/>
        <v>5.555555556</v>
      </c>
      <c r="AC99" s="7">
        <f t="shared" si="4"/>
        <v>0.18</v>
      </c>
      <c r="AD99" s="7"/>
      <c r="AE99" s="7"/>
      <c r="AF99" s="24">
        <f t="shared" si="1"/>
        <v>150000</v>
      </c>
    </row>
    <row r="100">
      <c r="A100" s="7" t="s">
        <v>243</v>
      </c>
      <c r="B100" s="7" t="s">
        <v>25</v>
      </c>
      <c r="C100" s="7" t="s">
        <v>26</v>
      </c>
      <c r="D100" s="7" t="s">
        <v>58</v>
      </c>
      <c r="E100" s="7">
        <v>20.0</v>
      </c>
      <c r="F100" s="7">
        <v>2003.0</v>
      </c>
      <c r="G100" s="7">
        <v>34.0</v>
      </c>
      <c r="H100" s="7">
        <v>17.0</v>
      </c>
      <c r="I100" s="25">
        <v>1822.0</v>
      </c>
      <c r="J100" s="7">
        <v>20.2</v>
      </c>
      <c r="K100" s="7">
        <v>3.0</v>
      </c>
      <c r="L100" s="7">
        <v>2.0</v>
      </c>
      <c r="M100" s="7">
        <v>5.0</v>
      </c>
      <c r="N100" s="7">
        <v>3.0</v>
      </c>
      <c r="O100" s="7">
        <v>0.0</v>
      </c>
      <c r="P100" s="7">
        <v>0.0</v>
      </c>
      <c r="Q100" s="7">
        <v>4.0</v>
      </c>
      <c r="R100" s="7">
        <v>0.0</v>
      </c>
      <c r="S100" s="7">
        <v>0.15</v>
      </c>
      <c r="T100" s="7">
        <v>0.1</v>
      </c>
      <c r="U100" s="7">
        <v>0.25</v>
      </c>
      <c r="V100" s="7">
        <v>0.15</v>
      </c>
      <c r="W100" s="7">
        <v>0.25</v>
      </c>
      <c r="X100" s="7" t="s">
        <v>688</v>
      </c>
      <c r="Y100" s="24" t="s">
        <v>702</v>
      </c>
      <c r="Z100" s="7">
        <v>0.75</v>
      </c>
      <c r="AA100" s="7" t="str">
        <f t="shared" si="2"/>
        <v>M</v>
      </c>
      <c r="AB100" s="7">
        <f t="shared" si="3"/>
        <v>1.5</v>
      </c>
      <c r="AC100" s="7">
        <f t="shared" si="4"/>
        <v>0.6666666667</v>
      </c>
      <c r="AD100" s="7"/>
      <c r="AE100" s="7"/>
      <c r="AF100" s="24">
        <f t="shared" si="1"/>
        <v>117000</v>
      </c>
    </row>
    <row r="101">
      <c r="A101" s="7" t="s">
        <v>245</v>
      </c>
      <c r="B101" s="7" t="s">
        <v>25</v>
      </c>
      <c r="C101" s="7" t="s">
        <v>26</v>
      </c>
      <c r="D101" s="7" t="s">
        <v>36</v>
      </c>
      <c r="E101" s="7">
        <v>18.0</v>
      </c>
      <c r="F101" s="7">
        <v>2005.0</v>
      </c>
      <c r="G101" s="7">
        <v>1.0</v>
      </c>
      <c r="H101" s="7">
        <v>0.0</v>
      </c>
      <c r="I101" s="7">
        <v>5.0</v>
      </c>
      <c r="J101" s="7">
        <v>0.1</v>
      </c>
      <c r="K101" s="7">
        <v>0.0</v>
      </c>
      <c r="L101" s="7">
        <v>0.0</v>
      </c>
      <c r="M101" s="7">
        <v>0.0</v>
      </c>
      <c r="N101" s="7">
        <v>0.0</v>
      </c>
      <c r="O101" s="7">
        <v>0.0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1" t="s">
        <v>692</v>
      </c>
      <c r="Y101" s="24" t="s">
        <v>708</v>
      </c>
      <c r="Z101" s="7">
        <v>1.6111111111111112</v>
      </c>
      <c r="AA101" s="7" t="str">
        <f t="shared" si="2"/>
        <v>M</v>
      </c>
      <c r="AB101" s="7">
        <f t="shared" si="3"/>
        <v>3.222222222</v>
      </c>
      <c r="AC101" s="7">
        <f t="shared" si="4"/>
        <v>0.3103448276</v>
      </c>
      <c r="AD101" s="7"/>
      <c r="AE101" s="7"/>
      <c r="AF101" s="24">
        <f t="shared" si="1"/>
        <v>52000</v>
      </c>
    </row>
    <row r="102">
      <c r="A102" s="7" t="s">
        <v>247</v>
      </c>
      <c r="B102" s="7" t="s">
        <v>25</v>
      </c>
      <c r="C102" s="7" t="s">
        <v>83</v>
      </c>
      <c r="D102" s="7" t="s">
        <v>36</v>
      </c>
      <c r="E102" s="7">
        <v>21.0</v>
      </c>
      <c r="F102" s="7">
        <v>2002.0</v>
      </c>
      <c r="G102" s="7">
        <v>19.0</v>
      </c>
      <c r="H102" s="7">
        <v>19.0</v>
      </c>
      <c r="I102" s="25">
        <v>1637.0</v>
      </c>
      <c r="J102" s="7">
        <v>18.2</v>
      </c>
      <c r="K102" s="7">
        <v>4.0</v>
      </c>
      <c r="L102" s="7">
        <v>2.0</v>
      </c>
      <c r="M102" s="7">
        <v>6.0</v>
      </c>
      <c r="N102" s="7">
        <v>4.0</v>
      </c>
      <c r="O102" s="7">
        <v>0.0</v>
      </c>
      <c r="P102" s="7">
        <v>0.0</v>
      </c>
      <c r="Q102" s="7">
        <v>5.0</v>
      </c>
      <c r="R102" s="7">
        <v>0.0</v>
      </c>
      <c r="S102" s="7">
        <v>0.22</v>
      </c>
      <c r="T102" s="7">
        <v>0.11</v>
      </c>
      <c r="U102" s="7">
        <v>0.33</v>
      </c>
      <c r="V102" s="7">
        <v>0.22</v>
      </c>
      <c r="W102" s="7">
        <v>0.33</v>
      </c>
      <c r="X102" s="1" t="s">
        <v>692</v>
      </c>
      <c r="Y102" s="24" t="s">
        <v>697</v>
      </c>
      <c r="Z102" s="7">
        <v>1.6111111111111112</v>
      </c>
      <c r="AA102" s="7" t="str">
        <f t="shared" si="2"/>
        <v>D</v>
      </c>
      <c r="AB102" s="7">
        <f t="shared" si="3"/>
        <v>1.611111111</v>
      </c>
      <c r="AC102" s="7">
        <f t="shared" si="4"/>
        <v>0.6206896552</v>
      </c>
      <c r="AD102" s="7"/>
      <c r="AE102" s="7"/>
      <c r="AF102" s="24">
        <f t="shared" si="1"/>
        <v>65000</v>
      </c>
    </row>
    <row r="103">
      <c r="A103" s="7" t="s">
        <v>249</v>
      </c>
      <c r="B103" s="7" t="s">
        <v>250</v>
      </c>
      <c r="C103" s="7" t="s">
        <v>47</v>
      </c>
      <c r="D103" s="7" t="s">
        <v>128</v>
      </c>
      <c r="E103" s="7">
        <v>22.0</v>
      </c>
      <c r="F103" s="7">
        <v>2001.0</v>
      </c>
      <c r="G103" s="7">
        <v>21.0</v>
      </c>
      <c r="H103" s="7">
        <v>19.0</v>
      </c>
      <c r="I103" s="25">
        <v>1390.0</v>
      </c>
      <c r="J103" s="7">
        <v>15.4</v>
      </c>
      <c r="K103" s="7">
        <v>4.0</v>
      </c>
      <c r="L103" s="7">
        <v>3.0</v>
      </c>
      <c r="M103" s="7">
        <v>7.0</v>
      </c>
      <c r="N103" s="7">
        <v>4.0</v>
      </c>
      <c r="O103" s="7">
        <v>0.0</v>
      </c>
      <c r="P103" s="7">
        <v>0.0</v>
      </c>
      <c r="Q103" s="7">
        <v>4.0</v>
      </c>
      <c r="R103" s="7">
        <v>0.0</v>
      </c>
      <c r="S103" s="7">
        <v>0.26</v>
      </c>
      <c r="T103" s="7">
        <v>0.19</v>
      </c>
      <c r="U103" s="7">
        <v>0.45</v>
      </c>
      <c r="V103" s="7">
        <v>0.26</v>
      </c>
      <c r="W103" s="7">
        <v>0.45</v>
      </c>
      <c r="X103" s="7" t="s">
        <v>693</v>
      </c>
      <c r="Y103" s="24" t="s">
        <v>703</v>
      </c>
      <c r="Z103" s="7">
        <v>1.4166666666666667</v>
      </c>
      <c r="AA103" s="7" t="str">
        <f t="shared" si="2"/>
        <v>M</v>
      </c>
      <c r="AB103" s="7">
        <f t="shared" si="3"/>
        <v>2.833333333</v>
      </c>
      <c r="AC103" s="7">
        <f t="shared" si="4"/>
        <v>0.3529411765</v>
      </c>
      <c r="AD103" s="7"/>
      <c r="AE103" s="7"/>
      <c r="AF103" s="24">
        <f t="shared" si="1"/>
        <v>39000</v>
      </c>
    </row>
    <row r="104">
      <c r="A104" s="7" t="s">
        <v>252</v>
      </c>
      <c r="B104" s="7" t="s">
        <v>34</v>
      </c>
      <c r="C104" s="7" t="s">
        <v>77</v>
      </c>
      <c r="D104" s="7" t="s">
        <v>80</v>
      </c>
      <c r="E104" s="7">
        <v>19.0</v>
      </c>
      <c r="F104" s="7">
        <v>2004.0</v>
      </c>
      <c r="G104" s="7">
        <v>6.0</v>
      </c>
      <c r="H104" s="7">
        <v>6.0</v>
      </c>
      <c r="I104" s="7">
        <v>540.0</v>
      </c>
      <c r="J104" s="7">
        <v>6.0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 t="s">
        <v>723</v>
      </c>
      <c r="Y104" s="24" t="s">
        <v>706</v>
      </c>
      <c r="Z104" s="7">
        <v>1.3888888888888888</v>
      </c>
      <c r="AA104" s="7" t="str">
        <f t="shared" si="2"/>
        <v>D</v>
      </c>
      <c r="AB104" s="7">
        <f t="shared" si="3"/>
        <v>1.388888889</v>
      </c>
      <c r="AC104" s="7">
        <f t="shared" si="4"/>
        <v>0.72</v>
      </c>
      <c r="AD104" s="7"/>
      <c r="AE104" s="7"/>
      <c r="AF104" s="24">
        <f t="shared" si="1"/>
        <v>72000</v>
      </c>
    </row>
    <row r="105">
      <c r="A105" s="7" t="s">
        <v>254</v>
      </c>
      <c r="B105" s="7" t="s">
        <v>101</v>
      </c>
      <c r="C105" s="7" t="s">
        <v>55</v>
      </c>
      <c r="D105" s="7" t="s">
        <v>44</v>
      </c>
      <c r="E105" s="7">
        <v>28.0</v>
      </c>
      <c r="F105" s="7">
        <v>1995.0</v>
      </c>
      <c r="G105" s="7">
        <v>21.0</v>
      </c>
      <c r="H105" s="7">
        <v>4.0</v>
      </c>
      <c r="I105" s="7">
        <v>692.0</v>
      </c>
      <c r="J105" s="7">
        <v>7.7</v>
      </c>
      <c r="K105" s="7">
        <v>2.0</v>
      </c>
      <c r="L105" s="7">
        <v>1.0</v>
      </c>
      <c r="M105" s="7">
        <v>3.0</v>
      </c>
      <c r="N105" s="7">
        <v>2.0</v>
      </c>
      <c r="O105" s="7">
        <v>0.0</v>
      </c>
      <c r="P105" s="7">
        <v>0.0</v>
      </c>
      <c r="Q105" s="7">
        <v>9.0</v>
      </c>
      <c r="R105" s="7">
        <v>0.0</v>
      </c>
      <c r="S105" s="7">
        <v>0.26</v>
      </c>
      <c r="T105" s="7">
        <v>0.13</v>
      </c>
      <c r="U105" s="7">
        <v>0.39</v>
      </c>
      <c r="V105" s="7">
        <v>0.26</v>
      </c>
      <c r="W105" s="7">
        <v>0.39</v>
      </c>
      <c r="X105" s="7" t="s">
        <v>673</v>
      </c>
      <c r="Y105" s="7" t="s">
        <v>687</v>
      </c>
      <c r="Z105" s="7">
        <v>1.1944444444444444</v>
      </c>
      <c r="AA105" s="7" t="str">
        <f t="shared" si="2"/>
        <v>A</v>
      </c>
      <c r="AB105" s="7">
        <f t="shared" si="3"/>
        <v>4.777777778</v>
      </c>
      <c r="AC105" s="7">
        <f t="shared" si="4"/>
        <v>0.2093023256</v>
      </c>
      <c r="AD105" s="7"/>
      <c r="AE105" s="7"/>
      <c r="AF105" s="24">
        <f t="shared" si="1"/>
        <v>25000</v>
      </c>
    </row>
    <row r="106">
      <c r="A106" s="7" t="s">
        <v>256</v>
      </c>
      <c r="B106" s="7" t="s">
        <v>25</v>
      </c>
      <c r="C106" s="7" t="s">
        <v>55</v>
      </c>
      <c r="D106" s="7" t="s">
        <v>62</v>
      </c>
      <c r="E106" s="7">
        <v>23.0</v>
      </c>
      <c r="F106" s="7">
        <v>2000.0</v>
      </c>
      <c r="G106" s="7">
        <v>20.0</v>
      </c>
      <c r="H106" s="7">
        <v>2.0</v>
      </c>
      <c r="I106" s="7">
        <v>417.0</v>
      </c>
      <c r="J106" s="7">
        <v>4.6</v>
      </c>
      <c r="K106" s="7">
        <v>1.0</v>
      </c>
      <c r="L106" s="7">
        <v>0.0</v>
      </c>
      <c r="M106" s="7">
        <v>1.0</v>
      </c>
      <c r="N106" s="7">
        <v>1.0</v>
      </c>
      <c r="O106" s="7">
        <v>0.0</v>
      </c>
      <c r="P106" s="7">
        <v>1.0</v>
      </c>
      <c r="Q106" s="7">
        <v>1.0</v>
      </c>
      <c r="R106" s="7">
        <v>0.0</v>
      </c>
      <c r="S106" s="7">
        <v>0.22</v>
      </c>
      <c r="T106" s="7">
        <v>0.0</v>
      </c>
      <c r="U106" s="7">
        <v>0.22</v>
      </c>
      <c r="V106" s="7">
        <v>0.22</v>
      </c>
      <c r="W106" s="7">
        <v>0.22</v>
      </c>
      <c r="X106" s="1" t="s">
        <v>692</v>
      </c>
      <c r="Y106" s="7" t="s">
        <v>687</v>
      </c>
      <c r="Z106" s="7">
        <v>0.8055555555555556</v>
      </c>
      <c r="AA106" s="7" t="str">
        <f t="shared" si="2"/>
        <v>A</v>
      </c>
      <c r="AB106" s="7">
        <f t="shared" si="3"/>
        <v>3.222222222</v>
      </c>
      <c r="AC106" s="7">
        <f t="shared" si="4"/>
        <v>0.3103448276</v>
      </c>
      <c r="AD106" s="7"/>
      <c r="AE106" s="7"/>
      <c r="AF106" s="24">
        <f t="shared" si="1"/>
        <v>25000</v>
      </c>
    </row>
    <row r="107">
      <c r="A107" s="7" t="s">
        <v>258</v>
      </c>
      <c r="B107" s="7" t="s">
        <v>259</v>
      </c>
      <c r="C107" s="7" t="s">
        <v>55</v>
      </c>
      <c r="D107" s="7" t="s">
        <v>36</v>
      </c>
      <c r="E107" s="7">
        <v>24.0</v>
      </c>
      <c r="F107" s="7">
        <v>1999.0</v>
      </c>
      <c r="G107" s="7">
        <v>31.0</v>
      </c>
      <c r="H107" s="7">
        <v>24.0</v>
      </c>
      <c r="I107" s="25">
        <v>2064.0</v>
      </c>
      <c r="J107" s="7">
        <v>22.9</v>
      </c>
      <c r="K107" s="7">
        <v>10.0</v>
      </c>
      <c r="L107" s="7">
        <v>1.0</v>
      </c>
      <c r="M107" s="7">
        <v>11.0</v>
      </c>
      <c r="N107" s="7">
        <v>9.0</v>
      </c>
      <c r="O107" s="7">
        <v>1.0</v>
      </c>
      <c r="P107" s="7">
        <v>1.0</v>
      </c>
      <c r="Q107" s="7">
        <v>6.0</v>
      </c>
      <c r="R107" s="7">
        <v>1.0</v>
      </c>
      <c r="S107" s="7">
        <v>0.44</v>
      </c>
      <c r="T107" s="7">
        <v>0.04</v>
      </c>
      <c r="U107" s="7">
        <v>0.48</v>
      </c>
      <c r="V107" s="7">
        <v>0.39</v>
      </c>
      <c r="W107" s="7">
        <v>0.44</v>
      </c>
      <c r="X107" s="1" t="s">
        <v>692</v>
      </c>
      <c r="Y107" s="7" t="s">
        <v>671</v>
      </c>
      <c r="Z107" s="7">
        <v>1.6111111111111112</v>
      </c>
      <c r="AA107" s="7" t="str">
        <f t="shared" si="2"/>
        <v>A</v>
      </c>
      <c r="AB107" s="7">
        <f t="shared" si="3"/>
        <v>6.444444444</v>
      </c>
      <c r="AC107" s="7">
        <f t="shared" si="4"/>
        <v>0.1551724138</v>
      </c>
      <c r="AD107" s="7"/>
      <c r="AE107" s="7"/>
      <c r="AF107" s="24">
        <f t="shared" si="1"/>
        <v>50000</v>
      </c>
    </row>
    <row r="108">
      <c r="A108" s="7" t="s">
        <v>261</v>
      </c>
      <c r="B108" s="7" t="s">
        <v>25</v>
      </c>
      <c r="C108" s="7" t="s">
        <v>35</v>
      </c>
      <c r="D108" s="7" t="s">
        <v>128</v>
      </c>
      <c r="E108" s="7">
        <v>16.0</v>
      </c>
      <c r="F108" s="7">
        <v>2007.0</v>
      </c>
      <c r="G108" s="7">
        <v>4.0</v>
      </c>
      <c r="H108" s="7">
        <v>4.0</v>
      </c>
      <c r="I108" s="7">
        <v>358.0</v>
      </c>
      <c r="J108" s="7">
        <v>4.0</v>
      </c>
      <c r="K108" s="7">
        <v>0.0</v>
      </c>
      <c r="L108" s="7">
        <v>0.0</v>
      </c>
      <c r="M108" s="7">
        <v>0.0</v>
      </c>
      <c r="N108" s="7">
        <v>0.0</v>
      </c>
      <c r="O108" s="7">
        <v>0.0</v>
      </c>
      <c r="P108" s="7">
        <v>0.0</v>
      </c>
      <c r="Q108" s="7">
        <v>2.0</v>
      </c>
      <c r="R108" s="7">
        <v>0.0</v>
      </c>
      <c r="S108" s="7">
        <v>0.0</v>
      </c>
      <c r="T108" s="7">
        <v>0.0</v>
      </c>
      <c r="U108" s="7">
        <v>0.0</v>
      </c>
      <c r="V108" s="7">
        <v>0.0</v>
      </c>
      <c r="W108" s="7">
        <v>0.0</v>
      </c>
      <c r="X108" s="7" t="s">
        <v>673</v>
      </c>
      <c r="Y108" s="24" t="s">
        <v>701</v>
      </c>
      <c r="Z108" s="7">
        <v>1.4166666666666667</v>
      </c>
      <c r="AA108" s="7" t="str">
        <f t="shared" si="2"/>
        <v>D</v>
      </c>
      <c r="AB108" s="7">
        <f t="shared" si="3"/>
        <v>1.416666667</v>
      </c>
      <c r="AC108" s="7">
        <f t="shared" si="4"/>
        <v>0.7058823529</v>
      </c>
      <c r="AD108" s="7"/>
      <c r="AE108" s="7"/>
      <c r="AF108" s="24">
        <f t="shared" si="1"/>
        <v>86000</v>
      </c>
    </row>
    <row r="109">
      <c r="A109" s="7" t="s">
        <v>263</v>
      </c>
      <c r="B109" s="7" t="s">
        <v>25</v>
      </c>
      <c r="C109" s="7" t="s">
        <v>83</v>
      </c>
      <c r="D109" s="7" t="s">
        <v>62</v>
      </c>
      <c r="E109" s="7">
        <v>30.0</v>
      </c>
      <c r="F109" s="7">
        <v>1993.0</v>
      </c>
      <c r="G109" s="7">
        <v>21.0</v>
      </c>
      <c r="H109" s="7">
        <v>18.0</v>
      </c>
      <c r="I109" s="25">
        <v>1649.0</v>
      </c>
      <c r="J109" s="7">
        <v>18.3</v>
      </c>
      <c r="K109" s="7">
        <v>0.0</v>
      </c>
      <c r="L109" s="7">
        <v>0.0</v>
      </c>
      <c r="M109" s="7">
        <v>0.0</v>
      </c>
      <c r="N109" s="7">
        <v>0.0</v>
      </c>
      <c r="O109" s="7">
        <v>0.0</v>
      </c>
      <c r="P109" s="7">
        <v>0.0</v>
      </c>
      <c r="Q109" s="7">
        <v>4.0</v>
      </c>
      <c r="R109" s="7">
        <v>0.0</v>
      </c>
      <c r="S109" s="7">
        <v>0.0</v>
      </c>
      <c r="T109" s="7">
        <v>0.0</v>
      </c>
      <c r="U109" s="7">
        <v>0.0</v>
      </c>
      <c r="V109" s="7">
        <v>0.0</v>
      </c>
      <c r="W109" s="7">
        <v>0.0</v>
      </c>
      <c r="X109" s="7" t="s">
        <v>685</v>
      </c>
      <c r="Y109" s="7" t="s">
        <v>724</v>
      </c>
      <c r="Z109" s="7">
        <v>0.8055555555555556</v>
      </c>
      <c r="AA109" s="7" t="str">
        <f t="shared" si="2"/>
        <v>D</v>
      </c>
      <c r="AB109" s="7">
        <f t="shared" si="3"/>
        <v>0.8055555556</v>
      </c>
      <c r="AC109" s="7">
        <f t="shared" si="4"/>
        <v>1.24137931</v>
      </c>
      <c r="AD109" s="7"/>
      <c r="AE109" s="7"/>
      <c r="AF109" s="24">
        <f t="shared" si="1"/>
        <v>275000</v>
      </c>
    </row>
    <row r="110">
      <c r="A110" s="7" t="s">
        <v>265</v>
      </c>
      <c r="B110" s="7" t="s">
        <v>25</v>
      </c>
      <c r="C110" s="7" t="s">
        <v>26</v>
      </c>
      <c r="D110" s="7" t="s">
        <v>36</v>
      </c>
      <c r="E110" s="7">
        <v>36.0</v>
      </c>
      <c r="F110" s="7">
        <v>1987.0</v>
      </c>
      <c r="G110" s="7">
        <v>22.0</v>
      </c>
      <c r="H110" s="7">
        <v>18.0</v>
      </c>
      <c r="I110" s="25">
        <v>1669.0</v>
      </c>
      <c r="J110" s="7">
        <v>18.5</v>
      </c>
      <c r="K110" s="7">
        <v>0.0</v>
      </c>
      <c r="L110" s="7">
        <v>1.0</v>
      </c>
      <c r="M110" s="7">
        <v>1.0</v>
      </c>
      <c r="N110" s="7">
        <v>0.0</v>
      </c>
      <c r="O110" s="7">
        <v>0.0</v>
      </c>
      <c r="P110" s="7">
        <v>0.0</v>
      </c>
      <c r="Q110" s="7">
        <v>6.0</v>
      </c>
      <c r="R110" s="7">
        <v>0.0</v>
      </c>
      <c r="S110" s="7">
        <v>0.0</v>
      </c>
      <c r="T110" s="7">
        <v>0.05</v>
      </c>
      <c r="U110" s="7">
        <v>0.05</v>
      </c>
      <c r="V110" s="7">
        <v>0.0</v>
      </c>
      <c r="W110" s="7">
        <v>0.05</v>
      </c>
      <c r="X110" s="7" t="s">
        <v>690</v>
      </c>
      <c r="Y110" s="7" t="s">
        <v>695</v>
      </c>
      <c r="Z110" s="7">
        <v>1.6111111111111112</v>
      </c>
      <c r="AA110" s="7" t="str">
        <f t="shared" si="2"/>
        <v>M</v>
      </c>
      <c r="AB110" s="7">
        <f t="shared" si="3"/>
        <v>3.222222222</v>
      </c>
      <c r="AC110" s="7">
        <f t="shared" si="4"/>
        <v>0.3103448276</v>
      </c>
      <c r="AD110" s="7"/>
      <c r="AE110" s="7"/>
      <c r="AF110" s="24">
        <f t="shared" si="1"/>
        <v>75000</v>
      </c>
    </row>
    <row r="111">
      <c r="A111" s="7" t="s">
        <v>267</v>
      </c>
      <c r="B111" s="7" t="s">
        <v>25</v>
      </c>
      <c r="C111" s="7" t="s">
        <v>26</v>
      </c>
      <c r="D111" s="7" t="s">
        <v>31</v>
      </c>
      <c r="E111" s="7">
        <v>29.0</v>
      </c>
      <c r="F111" s="7">
        <v>1995.0</v>
      </c>
      <c r="G111" s="7">
        <v>23.0</v>
      </c>
      <c r="H111" s="7">
        <v>22.0</v>
      </c>
      <c r="I111" s="25">
        <v>1736.0</v>
      </c>
      <c r="J111" s="7">
        <v>19.3</v>
      </c>
      <c r="K111" s="7">
        <v>0.0</v>
      </c>
      <c r="L111" s="7">
        <v>1.0</v>
      </c>
      <c r="M111" s="7">
        <v>1.0</v>
      </c>
      <c r="N111" s="7">
        <v>0.0</v>
      </c>
      <c r="O111" s="7">
        <v>0.0</v>
      </c>
      <c r="P111" s="7">
        <v>0.0</v>
      </c>
      <c r="Q111" s="7">
        <v>6.0</v>
      </c>
      <c r="R111" s="7">
        <v>0.0</v>
      </c>
      <c r="S111" s="7">
        <v>0.0</v>
      </c>
      <c r="T111" s="7">
        <v>0.05</v>
      </c>
      <c r="U111" s="7">
        <v>0.05</v>
      </c>
      <c r="V111" s="7">
        <v>0.0</v>
      </c>
      <c r="W111" s="7">
        <v>0.05</v>
      </c>
      <c r="X111" s="7" t="s">
        <v>698</v>
      </c>
      <c r="Y111" s="7" t="s">
        <v>689</v>
      </c>
      <c r="Z111" s="7">
        <v>0.9722222222222222</v>
      </c>
      <c r="AA111" s="7" t="str">
        <f t="shared" si="2"/>
        <v>M</v>
      </c>
      <c r="AB111" s="7">
        <f t="shared" si="3"/>
        <v>1.944444444</v>
      </c>
      <c r="AC111" s="7">
        <f t="shared" si="4"/>
        <v>0.5142857143</v>
      </c>
      <c r="AD111" s="7"/>
      <c r="AE111" s="7"/>
      <c r="AF111" s="24">
        <f t="shared" si="1"/>
        <v>350000</v>
      </c>
    </row>
    <row r="112">
      <c r="A112" s="7" t="s">
        <v>269</v>
      </c>
      <c r="B112" s="7" t="s">
        <v>25</v>
      </c>
      <c r="C112" s="7" t="s">
        <v>35</v>
      </c>
      <c r="D112" s="7" t="s">
        <v>58</v>
      </c>
      <c r="E112" s="7">
        <v>22.0</v>
      </c>
      <c r="F112" s="7">
        <v>2001.0</v>
      </c>
      <c r="G112" s="7">
        <v>22.0</v>
      </c>
      <c r="H112" s="7">
        <v>22.0</v>
      </c>
      <c r="I112" s="25">
        <v>1980.0</v>
      </c>
      <c r="J112" s="7">
        <v>22.0</v>
      </c>
      <c r="K112" s="7">
        <v>1.0</v>
      </c>
      <c r="L112" s="7">
        <v>0.0</v>
      </c>
      <c r="M112" s="7">
        <v>1.0</v>
      </c>
      <c r="N112" s="7">
        <v>1.0</v>
      </c>
      <c r="O112" s="7">
        <v>0.0</v>
      </c>
      <c r="P112" s="7">
        <v>0.0</v>
      </c>
      <c r="Q112" s="7">
        <v>0.0</v>
      </c>
      <c r="R112" s="7">
        <v>0.0</v>
      </c>
      <c r="S112" s="7">
        <v>0.05</v>
      </c>
      <c r="T112" s="7">
        <v>0.0</v>
      </c>
      <c r="U112" s="7">
        <v>0.05</v>
      </c>
      <c r="V112" s="7">
        <v>0.05</v>
      </c>
      <c r="W112" s="7">
        <v>0.05</v>
      </c>
      <c r="X112" s="1" t="s">
        <v>692</v>
      </c>
      <c r="Y112" s="24" t="s">
        <v>677</v>
      </c>
      <c r="Z112" s="7">
        <v>0.75</v>
      </c>
      <c r="AA112" s="7" t="str">
        <f t="shared" si="2"/>
        <v>D</v>
      </c>
      <c r="AB112" s="7">
        <f t="shared" si="3"/>
        <v>0.75</v>
      </c>
      <c r="AC112" s="7">
        <f t="shared" si="4"/>
        <v>1.333333333</v>
      </c>
      <c r="AD112" s="7"/>
      <c r="AE112" s="7"/>
      <c r="AF112" s="24">
        <f t="shared" si="1"/>
        <v>19000</v>
      </c>
    </row>
    <row r="113">
      <c r="A113" s="7" t="s">
        <v>271</v>
      </c>
      <c r="B113" s="7" t="s">
        <v>25</v>
      </c>
      <c r="C113" s="7" t="s">
        <v>55</v>
      </c>
      <c r="D113" s="7" t="s">
        <v>98</v>
      </c>
      <c r="E113" s="7">
        <v>19.0</v>
      </c>
      <c r="F113" s="7">
        <v>2004.0</v>
      </c>
      <c r="G113" s="7">
        <v>13.0</v>
      </c>
      <c r="H113" s="7">
        <v>0.0</v>
      </c>
      <c r="I113" s="7">
        <v>152.0</v>
      </c>
      <c r="J113" s="7">
        <v>1.7</v>
      </c>
      <c r="K113" s="7">
        <v>0.0</v>
      </c>
      <c r="L113" s="7">
        <v>0.0</v>
      </c>
      <c r="M113" s="7">
        <v>0.0</v>
      </c>
      <c r="N113" s="7">
        <v>0.0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>
        <v>0.0</v>
      </c>
      <c r="W113" s="7">
        <v>0.0</v>
      </c>
      <c r="X113" s="7" t="s">
        <v>673</v>
      </c>
      <c r="Y113" s="24" t="s">
        <v>708</v>
      </c>
      <c r="Z113" s="7">
        <v>1.3055555555555556</v>
      </c>
      <c r="AA113" s="7" t="str">
        <f t="shared" si="2"/>
        <v>A</v>
      </c>
      <c r="AB113" s="7">
        <f t="shared" si="3"/>
        <v>5.222222222</v>
      </c>
      <c r="AC113" s="7">
        <f t="shared" si="4"/>
        <v>0.1914893617</v>
      </c>
      <c r="AD113" s="7"/>
      <c r="AE113" s="7"/>
      <c r="AF113" s="24">
        <f t="shared" si="1"/>
        <v>52000</v>
      </c>
    </row>
    <row r="114">
      <c r="A114" s="7" t="s">
        <v>273</v>
      </c>
      <c r="B114" s="7" t="s">
        <v>34</v>
      </c>
      <c r="C114" s="7" t="s">
        <v>77</v>
      </c>
      <c r="D114" s="7" t="s">
        <v>80</v>
      </c>
      <c r="E114" s="7">
        <v>22.0</v>
      </c>
      <c r="F114" s="7">
        <v>2001.0</v>
      </c>
      <c r="G114" s="7">
        <v>9.0</v>
      </c>
      <c r="H114" s="7">
        <v>9.0</v>
      </c>
      <c r="I114" s="7">
        <v>764.0</v>
      </c>
      <c r="J114" s="7">
        <v>8.5</v>
      </c>
      <c r="K114" s="7">
        <v>0.0</v>
      </c>
      <c r="L114" s="7">
        <v>0.0</v>
      </c>
      <c r="M114" s="7">
        <v>0.0</v>
      </c>
      <c r="N114" s="7">
        <v>0.0</v>
      </c>
      <c r="O114" s="7">
        <v>0.0</v>
      </c>
      <c r="P114" s="7">
        <v>0.0</v>
      </c>
      <c r="Q114" s="7">
        <v>0.0</v>
      </c>
      <c r="R114" s="7">
        <v>1.0</v>
      </c>
      <c r="S114" s="7">
        <v>0.0</v>
      </c>
      <c r="T114" s="7">
        <v>0.0</v>
      </c>
      <c r="U114" s="7">
        <v>0.0</v>
      </c>
      <c r="V114" s="7">
        <v>0.0</v>
      </c>
      <c r="W114" s="7">
        <v>0.0</v>
      </c>
      <c r="X114" s="7" t="s">
        <v>712</v>
      </c>
      <c r="Y114" s="7" t="s">
        <v>707</v>
      </c>
      <c r="Z114" s="7">
        <v>1.3888888888888888</v>
      </c>
      <c r="AA114" s="7" t="str">
        <f t="shared" si="2"/>
        <v>D</v>
      </c>
      <c r="AB114" s="7">
        <f t="shared" si="3"/>
        <v>1.388888889</v>
      </c>
      <c r="AC114" s="7">
        <f t="shared" si="4"/>
        <v>0.72</v>
      </c>
      <c r="AD114" s="7"/>
      <c r="AE114" s="7"/>
      <c r="AF114" s="24">
        <f t="shared" si="1"/>
        <v>150000</v>
      </c>
    </row>
    <row r="115">
      <c r="A115" s="7" t="s">
        <v>275</v>
      </c>
      <c r="B115" s="7" t="s">
        <v>25</v>
      </c>
      <c r="C115" s="7" t="s">
        <v>26</v>
      </c>
      <c r="D115" s="7" t="s">
        <v>52</v>
      </c>
      <c r="E115" s="7">
        <v>15.0</v>
      </c>
      <c r="F115" s="7">
        <v>2008.0</v>
      </c>
      <c r="G115" s="7">
        <v>1.0</v>
      </c>
      <c r="H115" s="7">
        <v>0.0</v>
      </c>
      <c r="I115" s="7">
        <v>2.0</v>
      </c>
      <c r="J115" s="7">
        <v>0.0</v>
      </c>
      <c r="K115" s="7">
        <v>0.0</v>
      </c>
      <c r="L115" s="7">
        <v>0.0</v>
      </c>
      <c r="M115" s="7">
        <v>0.0</v>
      </c>
      <c r="N115" s="7">
        <v>0.0</v>
      </c>
      <c r="O115" s="7">
        <v>0.0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 t="s">
        <v>696</v>
      </c>
      <c r="Y115" s="24" t="s">
        <v>697</v>
      </c>
      <c r="Z115" s="7">
        <v>0.8611111111111112</v>
      </c>
      <c r="AA115" s="7" t="str">
        <f t="shared" si="2"/>
        <v>M</v>
      </c>
      <c r="AB115" s="7">
        <f t="shared" si="3"/>
        <v>1.722222222</v>
      </c>
      <c r="AC115" s="7">
        <f t="shared" si="4"/>
        <v>0.5806451613</v>
      </c>
      <c r="AD115" s="7"/>
      <c r="AE115" s="7"/>
      <c r="AF115" s="24">
        <f t="shared" si="1"/>
        <v>65000</v>
      </c>
    </row>
    <row r="116">
      <c r="A116" s="7" t="s">
        <v>277</v>
      </c>
      <c r="B116" s="7" t="s">
        <v>25</v>
      </c>
      <c r="C116" s="7" t="s">
        <v>47</v>
      </c>
      <c r="D116" s="7" t="s">
        <v>31</v>
      </c>
      <c r="E116" s="7">
        <v>30.0</v>
      </c>
      <c r="F116" s="7">
        <v>1993.0</v>
      </c>
      <c r="G116" s="7">
        <v>27.0</v>
      </c>
      <c r="H116" s="7">
        <v>18.0</v>
      </c>
      <c r="I116" s="25">
        <v>1667.0</v>
      </c>
      <c r="J116" s="7">
        <v>18.5</v>
      </c>
      <c r="K116" s="7">
        <v>4.0</v>
      </c>
      <c r="L116" s="7">
        <v>4.0</v>
      </c>
      <c r="M116" s="7">
        <v>8.0</v>
      </c>
      <c r="N116" s="7">
        <v>4.0</v>
      </c>
      <c r="O116" s="7">
        <v>0.0</v>
      </c>
      <c r="P116" s="7">
        <v>1.0</v>
      </c>
      <c r="Q116" s="7">
        <v>6.0</v>
      </c>
      <c r="R116" s="7">
        <v>0.0</v>
      </c>
      <c r="S116" s="7">
        <v>0.22</v>
      </c>
      <c r="T116" s="7">
        <v>0.22</v>
      </c>
      <c r="U116" s="7">
        <v>0.43</v>
      </c>
      <c r="V116" s="7">
        <v>0.22</v>
      </c>
      <c r="W116" s="7">
        <v>0.43</v>
      </c>
      <c r="X116" s="7" t="s">
        <v>712</v>
      </c>
      <c r="Y116" s="7" t="s">
        <v>684</v>
      </c>
      <c r="Z116" s="7">
        <v>0.9722222222222222</v>
      </c>
      <c r="AA116" s="7" t="str">
        <f t="shared" si="2"/>
        <v>M</v>
      </c>
      <c r="AB116" s="7">
        <f t="shared" si="3"/>
        <v>1.944444444</v>
      </c>
      <c r="AC116" s="7">
        <f t="shared" si="4"/>
        <v>0.5142857143</v>
      </c>
      <c r="AD116" s="7"/>
      <c r="AE116" s="7"/>
      <c r="AF116" s="24">
        <f t="shared" si="1"/>
        <v>200000</v>
      </c>
    </row>
    <row r="117">
      <c r="A117" s="7" t="s">
        <v>279</v>
      </c>
      <c r="B117" s="7" t="s">
        <v>34</v>
      </c>
      <c r="C117" s="7" t="s">
        <v>35</v>
      </c>
      <c r="D117" s="7" t="s">
        <v>98</v>
      </c>
      <c r="E117" s="7">
        <v>22.0</v>
      </c>
      <c r="F117" s="7">
        <v>2001.0</v>
      </c>
      <c r="G117" s="7">
        <v>36.0</v>
      </c>
      <c r="H117" s="7">
        <v>34.0</v>
      </c>
      <c r="I117" s="25">
        <v>3075.0</v>
      </c>
      <c r="J117" s="7">
        <v>34.2</v>
      </c>
      <c r="K117" s="7">
        <v>0.0</v>
      </c>
      <c r="L117" s="7">
        <v>3.0</v>
      </c>
      <c r="M117" s="7">
        <v>3.0</v>
      </c>
      <c r="N117" s="7">
        <v>0.0</v>
      </c>
      <c r="O117" s="7">
        <v>0.0</v>
      </c>
      <c r="P117" s="7">
        <v>0.0</v>
      </c>
      <c r="Q117" s="7">
        <v>7.0</v>
      </c>
      <c r="R117" s="7">
        <v>0.0</v>
      </c>
      <c r="S117" s="7">
        <v>0.0</v>
      </c>
      <c r="T117" s="7">
        <v>0.09</v>
      </c>
      <c r="U117" s="7">
        <v>0.09</v>
      </c>
      <c r="V117" s="7">
        <v>0.0</v>
      </c>
      <c r="W117" s="7">
        <v>0.09</v>
      </c>
      <c r="X117" s="1" t="s">
        <v>692</v>
      </c>
      <c r="Y117" s="24" t="s">
        <v>702</v>
      </c>
      <c r="Z117" s="7">
        <v>1.3055555555555556</v>
      </c>
      <c r="AA117" s="7" t="str">
        <f t="shared" si="2"/>
        <v>D</v>
      </c>
      <c r="AB117" s="7">
        <f t="shared" si="3"/>
        <v>1.305555556</v>
      </c>
      <c r="AC117" s="7">
        <f t="shared" si="4"/>
        <v>0.7659574468</v>
      </c>
      <c r="AD117" s="7"/>
      <c r="AE117" s="7"/>
      <c r="AF117" s="24">
        <f t="shared" si="1"/>
        <v>117000</v>
      </c>
    </row>
    <row r="118">
      <c r="A118" s="7" t="s">
        <v>281</v>
      </c>
      <c r="B118" s="7" t="s">
        <v>25</v>
      </c>
      <c r="C118" s="7" t="s">
        <v>83</v>
      </c>
      <c r="D118" s="7" t="s">
        <v>62</v>
      </c>
      <c r="E118" s="7">
        <v>33.0</v>
      </c>
      <c r="F118" s="7">
        <v>1991.0</v>
      </c>
      <c r="G118" s="7">
        <v>10.0</v>
      </c>
      <c r="H118" s="7">
        <v>8.0</v>
      </c>
      <c r="I118" s="7">
        <v>749.0</v>
      </c>
      <c r="J118" s="7">
        <v>8.3</v>
      </c>
      <c r="K118" s="7">
        <v>0.0</v>
      </c>
      <c r="L118" s="7">
        <v>0.0</v>
      </c>
      <c r="M118" s="7">
        <v>0.0</v>
      </c>
      <c r="N118" s="7">
        <v>0.0</v>
      </c>
      <c r="O118" s="7">
        <v>0.0</v>
      </c>
      <c r="P118" s="7">
        <v>0.0</v>
      </c>
      <c r="Q118" s="7">
        <v>5.0</v>
      </c>
      <c r="R118" s="7">
        <v>0.0</v>
      </c>
      <c r="S118" s="7">
        <v>0.0</v>
      </c>
      <c r="T118" s="7">
        <v>0.0</v>
      </c>
      <c r="U118" s="7">
        <v>0.0</v>
      </c>
      <c r="V118" s="7">
        <v>0.0</v>
      </c>
      <c r="W118" s="7">
        <v>0.0</v>
      </c>
      <c r="X118" s="7" t="s">
        <v>720</v>
      </c>
      <c r="Y118" s="24" t="s">
        <v>703</v>
      </c>
      <c r="Z118" s="7">
        <v>0.8055555555555556</v>
      </c>
      <c r="AA118" s="7" t="str">
        <f t="shared" si="2"/>
        <v>D</v>
      </c>
      <c r="AB118" s="7">
        <f t="shared" si="3"/>
        <v>0.8055555556</v>
      </c>
      <c r="AC118" s="7">
        <f t="shared" si="4"/>
        <v>1.24137931</v>
      </c>
      <c r="AD118" s="7"/>
      <c r="AE118" s="7"/>
      <c r="AF118" s="24">
        <f t="shared" si="1"/>
        <v>39000</v>
      </c>
    </row>
    <row r="119">
      <c r="A119" s="7" t="s">
        <v>283</v>
      </c>
      <c r="B119" s="7" t="s">
        <v>34</v>
      </c>
      <c r="C119" s="7" t="s">
        <v>30</v>
      </c>
      <c r="D119" s="7" t="s">
        <v>58</v>
      </c>
      <c r="E119" s="7">
        <v>21.0</v>
      </c>
      <c r="F119" s="7">
        <v>2002.0</v>
      </c>
      <c r="G119" s="7">
        <v>13.0</v>
      </c>
      <c r="H119" s="7">
        <v>7.0</v>
      </c>
      <c r="I119" s="7">
        <v>638.0</v>
      </c>
      <c r="J119" s="7">
        <v>7.1</v>
      </c>
      <c r="K119" s="7">
        <v>1.0</v>
      </c>
      <c r="L119" s="7">
        <v>1.0</v>
      </c>
      <c r="M119" s="7">
        <v>2.0</v>
      </c>
      <c r="N119" s="7">
        <v>1.0</v>
      </c>
      <c r="O119" s="7">
        <v>0.0</v>
      </c>
      <c r="P119" s="7">
        <v>0.0</v>
      </c>
      <c r="Q119" s="7">
        <v>3.0</v>
      </c>
      <c r="R119" s="7">
        <v>0.0</v>
      </c>
      <c r="S119" s="7">
        <v>0.14</v>
      </c>
      <c r="T119" s="7">
        <v>0.14</v>
      </c>
      <c r="U119" s="7">
        <v>0.28</v>
      </c>
      <c r="V119" s="7">
        <v>0.14</v>
      </c>
      <c r="W119" s="7">
        <v>0.28</v>
      </c>
      <c r="X119" s="7" t="s">
        <v>725</v>
      </c>
      <c r="Y119" s="7" t="s">
        <v>726</v>
      </c>
      <c r="Z119" s="7">
        <v>0.75</v>
      </c>
      <c r="AA119" s="7" t="str">
        <f t="shared" si="2"/>
        <v>M</v>
      </c>
      <c r="AB119" s="7">
        <f t="shared" si="3"/>
        <v>1.5</v>
      </c>
      <c r="AC119" s="7">
        <f t="shared" si="4"/>
        <v>0.6666666667</v>
      </c>
      <c r="AD119" s="7"/>
      <c r="AE119" s="7"/>
      <c r="AF119" s="24">
        <f t="shared" si="1"/>
        <v>500000</v>
      </c>
    </row>
    <row r="120">
      <c r="A120" s="7" t="s">
        <v>285</v>
      </c>
      <c r="B120" s="7" t="s">
        <v>34</v>
      </c>
      <c r="C120" s="7" t="s">
        <v>26</v>
      </c>
      <c r="D120" s="7" t="s">
        <v>98</v>
      </c>
      <c r="E120" s="7">
        <v>23.0</v>
      </c>
      <c r="F120" s="7">
        <v>2001.0</v>
      </c>
      <c r="G120" s="7">
        <v>13.0</v>
      </c>
      <c r="H120" s="7">
        <v>8.0</v>
      </c>
      <c r="I120" s="7">
        <v>692.0</v>
      </c>
      <c r="J120" s="7">
        <v>7.7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Q120" s="7">
        <v>2.0</v>
      </c>
      <c r="R120" s="7">
        <v>0.0</v>
      </c>
      <c r="S120" s="7">
        <v>0.0</v>
      </c>
      <c r="T120" s="7">
        <v>0.0</v>
      </c>
      <c r="U120" s="7">
        <v>0.0</v>
      </c>
      <c r="V120" s="7">
        <v>0.0</v>
      </c>
      <c r="W120" s="7">
        <v>0.0</v>
      </c>
      <c r="X120" s="7" t="s">
        <v>670</v>
      </c>
      <c r="Y120" s="24" t="s">
        <v>706</v>
      </c>
      <c r="Z120" s="7">
        <v>1.3055555555555556</v>
      </c>
      <c r="AA120" s="7" t="str">
        <f t="shared" si="2"/>
        <v>M</v>
      </c>
      <c r="AB120" s="7">
        <f t="shared" si="3"/>
        <v>2.611111111</v>
      </c>
      <c r="AC120" s="7">
        <f t="shared" si="4"/>
        <v>0.3829787234</v>
      </c>
      <c r="AD120" s="7"/>
      <c r="AE120" s="7"/>
      <c r="AF120" s="24">
        <f t="shared" si="1"/>
        <v>72000</v>
      </c>
    </row>
    <row r="121">
      <c r="A121" s="7" t="s">
        <v>287</v>
      </c>
      <c r="B121" s="7" t="s">
        <v>34</v>
      </c>
      <c r="C121" s="7" t="s">
        <v>35</v>
      </c>
      <c r="D121" s="7" t="s">
        <v>36</v>
      </c>
      <c r="E121" s="7">
        <v>20.0</v>
      </c>
      <c r="F121" s="7">
        <v>2003.0</v>
      </c>
      <c r="G121" s="7">
        <v>17.0</v>
      </c>
      <c r="H121" s="7">
        <v>17.0</v>
      </c>
      <c r="I121" s="25">
        <v>1530.0</v>
      </c>
      <c r="J121" s="7">
        <v>17.0</v>
      </c>
      <c r="K121" s="7">
        <v>1.0</v>
      </c>
      <c r="L121" s="7">
        <v>0.0</v>
      </c>
      <c r="M121" s="7">
        <v>1.0</v>
      </c>
      <c r="N121" s="7">
        <v>1.0</v>
      </c>
      <c r="O121" s="7">
        <v>0.0</v>
      </c>
      <c r="P121" s="7">
        <v>0.0</v>
      </c>
      <c r="Q121" s="7">
        <v>2.0</v>
      </c>
      <c r="R121" s="7">
        <v>0.0</v>
      </c>
      <c r="S121" s="7">
        <v>0.06</v>
      </c>
      <c r="T121" s="7">
        <v>0.0</v>
      </c>
      <c r="U121" s="7">
        <v>0.06</v>
      </c>
      <c r="V121" s="7">
        <v>0.06</v>
      </c>
      <c r="W121" s="7">
        <v>0.06</v>
      </c>
      <c r="X121" s="7" t="s">
        <v>678</v>
      </c>
      <c r="Y121" s="7" t="s">
        <v>695</v>
      </c>
      <c r="Z121" s="7">
        <v>1.6111111111111112</v>
      </c>
      <c r="AA121" s="7" t="str">
        <f t="shared" si="2"/>
        <v>D</v>
      </c>
      <c r="AB121" s="7">
        <f t="shared" si="3"/>
        <v>1.611111111</v>
      </c>
      <c r="AC121" s="7">
        <f t="shared" si="4"/>
        <v>0.6206896552</v>
      </c>
      <c r="AD121" s="7"/>
      <c r="AE121" s="7"/>
      <c r="AF121" s="24">
        <f t="shared" si="1"/>
        <v>75000</v>
      </c>
    </row>
    <row r="122">
      <c r="A122" s="7" t="s">
        <v>287</v>
      </c>
      <c r="B122" s="7" t="s">
        <v>34</v>
      </c>
      <c r="C122" s="7" t="s">
        <v>35</v>
      </c>
      <c r="D122" s="7" t="s">
        <v>80</v>
      </c>
      <c r="E122" s="7">
        <v>20.0</v>
      </c>
      <c r="F122" s="7">
        <v>2003.0</v>
      </c>
      <c r="G122" s="7">
        <v>9.0</v>
      </c>
      <c r="H122" s="7">
        <v>9.0</v>
      </c>
      <c r="I122" s="7">
        <v>794.0</v>
      </c>
      <c r="J122" s="7">
        <v>8.8</v>
      </c>
      <c r="K122" s="7">
        <v>0.0</v>
      </c>
      <c r="L122" s="7">
        <v>1.0</v>
      </c>
      <c r="M122" s="7">
        <v>1.0</v>
      </c>
      <c r="N122" s="7">
        <v>0.0</v>
      </c>
      <c r="O122" s="7">
        <v>0.0</v>
      </c>
      <c r="P122" s="7">
        <v>0.0</v>
      </c>
      <c r="Q122" s="7">
        <v>1.0</v>
      </c>
      <c r="R122" s="7">
        <v>1.0</v>
      </c>
      <c r="S122" s="7">
        <v>0.0</v>
      </c>
      <c r="T122" s="7">
        <v>0.11</v>
      </c>
      <c r="U122" s="7">
        <v>0.11</v>
      </c>
      <c r="V122" s="7">
        <v>0.0</v>
      </c>
      <c r="W122" s="7">
        <v>0.11</v>
      </c>
      <c r="X122" s="7" t="s">
        <v>693</v>
      </c>
      <c r="Y122" s="24" t="s">
        <v>702</v>
      </c>
      <c r="Z122" s="7">
        <v>1.3888888888888888</v>
      </c>
      <c r="AA122" s="7" t="str">
        <f t="shared" si="2"/>
        <v>D</v>
      </c>
      <c r="AB122" s="7">
        <f t="shared" si="3"/>
        <v>1.388888889</v>
      </c>
      <c r="AC122" s="7">
        <f t="shared" si="4"/>
        <v>0.72</v>
      </c>
      <c r="AD122" s="7"/>
      <c r="AE122" s="7"/>
      <c r="AF122" s="24">
        <f t="shared" si="1"/>
        <v>117000</v>
      </c>
    </row>
    <row r="123">
      <c r="A123" s="7" t="s">
        <v>290</v>
      </c>
      <c r="B123" s="7" t="s">
        <v>34</v>
      </c>
      <c r="C123" s="7" t="s">
        <v>83</v>
      </c>
      <c r="D123" s="7" t="s">
        <v>80</v>
      </c>
      <c r="E123" s="7">
        <v>21.0</v>
      </c>
      <c r="F123" s="7">
        <v>2002.0</v>
      </c>
      <c r="G123" s="7">
        <v>16.0</v>
      </c>
      <c r="H123" s="7">
        <v>10.0</v>
      </c>
      <c r="I123" s="25">
        <v>1000.0</v>
      </c>
      <c r="J123" s="7">
        <v>11.1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5.0</v>
      </c>
      <c r="R123" s="7">
        <v>0.0</v>
      </c>
      <c r="S123" s="7">
        <v>0.0</v>
      </c>
      <c r="T123" s="7">
        <v>0.0</v>
      </c>
      <c r="U123" s="7">
        <v>0.0</v>
      </c>
      <c r="V123" s="7">
        <v>0.0</v>
      </c>
      <c r="W123" s="7">
        <v>0.0</v>
      </c>
      <c r="X123" s="1" t="s">
        <v>692</v>
      </c>
      <c r="Y123" s="24" t="s">
        <v>697</v>
      </c>
      <c r="Z123" s="7">
        <v>1.3888888888888888</v>
      </c>
      <c r="AA123" s="7" t="str">
        <f t="shared" si="2"/>
        <v>D</v>
      </c>
      <c r="AB123" s="7">
        <f t="shared" si="3"/>
        <v>1.388888889</v>
      </c>
      <c r="AC123" s="7">
        <f t="shared" si="4"/>
        <v>0.72</v>
      </c>
      <c r="AD123" s="7"/>
      <c r="AE123" s="7"/>
      <c r="AF123" s="24">
        <f t="shared" si="1"/>
        <v>65000</v>
      </c>
    </row>
    <row r="124">
      <c r="A124" s="7" t="s">
        <v>292</v>
      </c>
      <c r="B124" s="7" t="s">
        <v>25</v>
      </c>
      <c r="C124" s="7" t="s">
        <v>47</v>
      </c>
      <c r="D124" s="7" t="s">
        <v>31</v>
      </c>
      <c r="E124" s="7">
        <v>27.0</v>
      </c>
      <c r="F124" s="7">
        <v>1996.0</v>
      </c>
      <c r="G124" s="7">
        <v>20.0</v>
      </c>
      <c r="H124" s="7">
        <v>14.0</v>
      </c>
      <c r="I124" s="25">
        <v>1231.0</v>
      </c>
      <c r="J124" s="7">
        <v>13.7</v>
      </c>
      <c r="K124" s="7">
        <v>1.0</v>
      </c>
      <c r="L124" s="7">
        <v>4.0</v>
      </c>
      <c r="M124" s="7">
        <v>5.0</v>
      </c>
      <c r="N124" s="7">
        <v>1.0</v>
      </c>
      <c r="O124" s="7">
        <v>0.0</v>
      </c>
      <c r="P124" s="7">
        <v>0.0</v>
      </c>
      <c r="Q124" s="7">
        <v>2.0</v>
      </c>
      <c r="R124" s="7">
        <v>0.0</v>
      </c>
      <c r="S124" s="7">
        <v>0.07</v>
      </c>
      <c r="T124" s="7">
        <v>0.29</v>
      </c>
      <c r="U124" s="7">
        <v>0.37</v>
      </c>
      <c r="V124" s="7">
        <v>0.07</v>
      </c>
      <c r="W124" s="7">
        <v>0.37</v>
      </c>
      <c r="X124" s="7" t="s">
        <v>688</v>
      </c>
      <c r="Y124" s="7" t="s">
        <v>671</v>
      </c>
      <c r="Z124" s="7">
        <v>0.9722222222222222</v>
      </c>
      <c r="AA124" s="7" t="str">
        <f t="shared" si="2"/>
        <v>M</v>
      </c>
      <c r="AB124" s="7">
        <f t="shared" si="3"/>
        <v>1.944444444</v>
      </c>
      <c r="AC124" s="7">
        <f t="shared" si="4"/>
        <v>0.5142857143</v>
      </c>
      <c r="AD124" s="7"/>
      <c r="AE124" s="7"/>
      <c r="AF124" s="24">
        <f t="shared" si="1"/>
        <v>50000</v>
      </c>
    </row>
    <row r="125">
      <c r="A125" s="7" t="s">
        <v>294</v>
      </c>
      <c r="B125" s="7" t="s">
        <v>25</v>
      </c>
      <c r="C125" s="7" t="s">
        <v>87</v>
      </c>
      <c r="D125" s="7" t="s">
        <v>128</v>
      </c>
      <c r="E125" s="7">
        <v>20.0</v>
      </c>
      <c r="F125" s="7">
        <v>2003.0</v>
      </c>
      <c r="G125" s="7">
        <v>11.0</v>
      </c>
      <c r="H125" s="7">
        <v>7.0</v>
      </c>
      <c r="I125" s="7">
        <v>630.0</v>
      </c>
      <c r="J125" s="7">
        <v>7.0</v>
      </c>
      <c r="K125" s="7">
        <v>0.0</v>
      </c>
      <c r="L125" s="7">
        <v>1.0</v>
      </c>
      <c r="M125" s="7">
        <v>1.0</v>
      </c>
      <c r="N125" s="7">
        <v>0.0</v>
      </c>
      <c r="O125" s="7">
        <v>0.0</v>
      </c>
      <c r="P125" s="7">
        <v>0.0</v>
      </c>
      <c r="Q125" s="7">
        <v>3.0</v>
      </c>
      <c r="R125" s="7">
        <v>1.0</v>
      </c>
      <c r="S125" s="7">
        <v>0.0</v>
      </c>
      <c r="T125" s="7">
        <v>0.14</v>
      </c>
      <c r="U125" s="7">
        <v>0.14</v>
      </c>
      <c r="V125" s="7">
        <v>0.0</v>
      </c>
      <c r="W125" s="7">
        <v>0.14</v>
      </c>
      <c r="X125" s="1" t="s">
        <v>692</v>
      </c>
      <c r="Y125" s="24" t="s">
        <v>702</v>
      </c>
      <c r="Z125" s="7">
        <v>1.4166666666666667</v>
      </c>
      <c r="AA125" s="7" t="str">
        <f t="shared" si="2"/>
        <v>D</v>
      </c>
      <c r="AB125" s="7">
        <f t="shared" si="3"/>
        <v>1.416666667</v>
      </c>
      <c r="AC125" s="7">
        <f t="shared" si="4"/>
        <v>0.7058823529</v>
      </c>
      <c r="AD125" s="7"/>
      <c r="AE125" s="7"/>
      <c r="AF125" s="24">
        <f t="shared" si="1"/>
        <v>117000</v>
      </c>
    </row>
    <row r="126">
      <c r="A126" s="7" t="s">
        <v>296</v>
      </c>
      <c r="B126" s="7" t="s">
        <v>25</v>
      </c>
      <c r="C126" s="7" t="s">
        <v>35</v>
      </c>
      <c r="D126" s="7" t="s">
        <v>36</v>
      </c>
      <c r="E126" s="7">
        <v>25.0</v>
      </c>
      <c r="F126" s="7">
        <v>1999.0</v>
      </c>
      <c r="G126" s="7">
        <v>26.0</v>
      </c>
      <c r="H126" s="7">
        <v>20.0</v>
      </c>
      <c r="I126" s="25">
        <v>1943.0</v>
      </c>
      <c r="J126" s="7">
        <v>21.6</v>
      </c>
      <c r="K126" s="7">
        <v>1.0</v>
      </c>
      <c r="L126" s="7">
        <v>0.0</v>
      </c>
      <c r="M126" s="7">
        <v>1.0</v>
      </c>
      <c r="N126" s="7">
        <v>1.0</v>
      </c>
      <c r="O126" s="7">
        <v>0.0</v>
      </c>
      <c r="P126" s="7">
        <v>0.0</v>
      </c>
      <c r="Q126" s="7">
        <v>6.0</v>
      </c>
      <c r="R126" s="7">
        <v>1.0</v>
      </c>
      <c r="S126" s="7">
        <v>0.05</v>
      </c>
      <c r="T126" s="7">
        <v>0.0</v>
      </c>
      <c r="U126" s="7">
        <v>0.05</v>
      </c>
      <c r="V126" s="7">
        <v>0.05</v>
      </c>
      <c r="W126" s="7">
        <v>0.05</v>
      </c>
      <c r="X126" s="7" t="s">
        <v>673</v>
      </c>
      <c r="Y126" s="7" t="s">
        <v>668</v>
      </c>
      <c r="Z126" s="7">
        <v>1.6111111111111112</v>
      </c>
      <c r="AA126" s="7" t="str">
        <f t="shared" si="2"/>
        <v>D</v>
      </c>
      <c r="AB126" s="7">
        <f t="shared" si="3"/>
        <v>1.611111111</v>
      </c>
      <c r="AC126" s="7">
        <f t="shared" si="4"/>
        <v>0.6206896552</v>
      </c>
      <c r="AD126" s="7"/>
      <c r="AE126" s="7"/>
      <c r="AF126" s="24">
        <f t="shared" si="1"/>
        <v>100000</v>
      </c>
    </row>
    <row r="127">
      <c r="A127" s="7" t="s">
        <v>298</v>
      </c>
      <c r="B127" s="7" t="s">
        <v>34</v>
      </c>
      <c r="C127" s="7" t="s">
        <v>35</v>
      </c>
      <c r="D127" s="7" t="s">
        <v>52</v>
      </c>
      <c r="E127" s="7">
        <v>25.0</v>
      </c>
      <c r="F127" s="7">
        <v>1998.0</v>
      </c>
      <c r="G127" s="7">
        <v>7.0</v>
      </c>
      <c r="H127" s="7">
        <v>1.0</v>
      </c>
      <c r="I127" s="7">
        <v>197.0</v>
      </c>
      <c r="J127" s="7">
        <v>2.2</v>
      </c>
      <c r="K127" s="7">
        <v>0.0</v>
      </c>
      <c r="L127" s="7">
        <v>1.0</v>
      </c>
      <c r="M127" s="7">
        <v>1.0</v>
      </c>
      <c r="N127" s="7">
        <v>0.0</v>
      </c>
      <c r="O127" s="7">
        <v>0.0</v>
      </c>
      <c r="P127" s="7">
        <v>0.0</v>
      </c>
      <c r="Q127" s="7">
        <v>2.0</v>
      </c>
      <c r="R127" s="7">
        <v>0.0</v>
      </c>
      <c r="S127" s="7">
        <v>0.0</v>
      </c>
      <c r="T127" s="7">
        <v>0.46</v>
      </c>
      <c r="U127" s="7">
        <v>0.46</v>
      </c>
      <c r="V127" s="7">
        <v>0.0</v>
      </c>
      <c r="W127" s="7">
        <v>0.46</v>
      </c>
      <c r="X127" s="1" t="s">
        <v>692</v>
      </c>
      <c r="Y127" s="24" t="s">
        <v>677</v>
      </c>
      <c r="Z127" s="7">
        <v>0.8611111111111112</v>
      </c>
      <c r="AA127" s="7" t="str">
        <f t="shared" si="2"/>
        <v>D</v>
      </c>
      <c r="AB127" s="7">
        <f t="shared" si="3"/>
        <v>0.8611111111</v>
      </c>
      <c r="AC127" s="7">
        <f t="shared" si="4"/>
        <v>1.161290323</v>
      </c>
      <c r="AD127" s="7"/>
      <c r="AE127" s="7"/>
      <c r="AF127" s="24">
        <f t="shared" si="1"/>
        <v>19000</v>
      </c>
    </row>
    <row r="128">
      <c r="A128" s="7" t="s">
        <v>300</v>
      </c>
      <c r="B128" s="7" t="s">
        <v>25</v>
      </c>
      <c r="C128" s="7" t="s">
        <v>26</v>
      </c>
      <c r="D128" s="7" t="s">
        <v>58</v>
      </c>
      <c r="E128" s="7">
        <v>19.0</v>
      </c>
      <c r="F128" s="7">
        <v>2004.0</v>
      </c>
      <c r="G128" s="7">
        <v>6.0</v>
      </c>
      <c r="H128" s="7">
        <v>0.0</v>
      </c>
      <c r="I128" s="7">
        <v>28.0</v>
      </c>
      <c r="J128" s="7">
        <v>0.3</v>
      </c>
      <c r="K128" s="7">
        <v>0.0</v>
      </c>
      <c r="L128" s="7">
        <v>0.0</v>
      </c>
      <c r="M128" s="7">
        <v>0.0</v>
      </c>
      <c r="N128" s="7">
        <v>0.0</v>
      </c>
      <c r="O128" s="7">
        <v>0.0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0.0</v>
      </c>
      <c r="V128" s="7">
        <v>0.0</v>
      </c>
      <c r="W128" s="7">
        <v>0.0</v>
      </c>
      <c r="X128" s="7" t="s">
        <v>709</v>
      </c>
      <c r="Y128" s="24" t="s">
        <v>701</v>
      </c>
      <c r="Z128" s="7">
        <v>0.75</v>
      </c>
      <c r="AA128" s="7" t="str">
        <f t="shared" si="2"/>
        <v>M</v>
      </c>
      <c r="AB128" s="7">
        <f t="shared" si="3"/>
        <v>1.5</v>
      </c>
      <c r="AC128" s="7">
        <f t="shared" si="4"/>
        <v>0.6666666667</v>
      </c>
      <c r="AD128" s="7"/>
      <c r="AE128" s="7"/>
      <c r="AF128" s="24">
        <f t="shared" si="1"/>
        <v>86000</v>
      </c>
    </row>
    <row r="129">
      <c r="A129" s="7" t="s">
        <v>300</v>
      </c>
      <c r="B129" s="7" t="s">
        <v>25</v>
      </c>
      <c r="C129" s="7" t="s">
        <v>26</v>
      </c>
      <c r="D129" s="7" t="s">
        <v>80</v>
      </c>
      <c r="E129" s="7">
        <v>19.0</v>
      </c>
      <c r="F129" s="7">
        <v>2004.0</v>
      </c>
      <c r="G129" s="7">
        <v>12.0</v>
      </c>
      <c r="H129" s="7">
        <v>8.0</v>
      </c>
      <c r="I129" s="7">
        <v>637.0</v>
      </c>
      <c r="J129" s="7">
        <v>7.1</v>
      </c>
      <c r="K129" s="7">
        <v>1.0</v>
      </c>
      <c r="L129" s="7">
        <v>1.0</v>
      </c>
      <c r="M129" s="7">
        <v>2.0</v>
      </c>
      <c r="N129" s="7">
        <v>1.0</v>
      </c>
      <c r="O129" s="7">
        <v>0.0</v>
      </c>
      <c r="P129" s="7">
        <v>0.0</v>
      </c>
      <c r="Q129" s="7">
        <v>1.0</v>
      </c>
      <c r="R129" s="7">
        <v>0.0</v>
      </c>
      <c r="S129" s="7">
        <v>0.14</v>
      </c>
      <c r="T129" s="7">
        <v>0.14</v>
      </c>
      <c r="U129" s="7">
        <v>0.28</v>
      </c>
      <c r="V129" s="7">
        <v>0.14</v>
      </c>
      <c r="W129" s="7">
        <v>0.28</v>
      </c>
      <c r="X129" s="1" t="s">
        <v>692</v>
      </c>
      <c r="Y129" s="24" t="s">
        <v>691</v>
      </c>
      <c r="Z129" s="7">
        <v>1.3888888888888888</v>
      </c>
      <c r="AA129" s="7" t="str">
        <f t="shared" si="2"/>
        <v>M</v>
      </c>
      <c r="AB129" s="7">
        <f t="shared" si="3"/>
        <v>2.777777778</v>
      </c>
      <c r="AC129" s="7">
        <f t="shared" si="4"/>
        <v>0.36</v>
      </c>
      <c r="AD129" s="7"/>
      <c r="AE129" s="7"/>
      <c r="AF129" s="24">
        <f t="shared" si="1"/>
        <v>88000</v>
      </c>
    </row>
    <row r="130">
      <c r="A130" s="7" t="s">
        <v>303</v>
      </c>
      <c r="B130" s="7" t="s">
        <v>25</v>
      </c>
      <c r="C130" s="7" t="s">
        <v>35</v>
      </c>
      <c r="D130" s="7" t="s">
        <v>44</v>
      </c>
      <c r="E130" s="7">
        <v>32.0</v>
      </c>
      <c r="F130" s="7">
        <v>1991.0</v>
      </c>
      <c r="G130" s="7">
        <v>9.0</v>
      </c>
      <c r="H130" s="7">
        <v>7.0</v>
      </c>
      <c r="I130" s="7">
        <v>636.0</v>
      </c>
      <c r="J130" s="7">
        <v>7.1</v>
      </c>
      <c r="K130" s="7">
        <v>0.0</v>
      </c>
      <c r="L130" s="7">
        <v>0.0</v>
      </c>
      <c r="M130" s="7">
        <v>0.0</v>
      </c>
      <c r="N130" s="7">
        <v>0.0</v>
      </c>
      <c r="O130" s="7">
        <v>0.0</v>
      </c>
      <c r="P130" s="7">
        <v>0.0</v>
      </c>
      <c r="Q130" s="7">
        <v>1.0</v>
      </c>
      <c r="R130" s="7">
        <v>0.0</v>
      </c>
      <c r="S130" s="7">
        <v>0.0</v>
      </c>
      <c r="T130" s="7">
        <v>0.0</v>
      </c>
      <c r="U130" s="7">
        <v>0.0</v>
      </c>
      <c r="V130" s="7">
        <v>0.0</v>
      </c>
      <c r="W130" s="7">
        <v>0.0</v>
      </c>
      <c r="X130" s="7" t="s">
        <v>667</v>
      </c>
      <c r="Y130" s="7" t="s">
        <v>724</v>
      </c>
      <c r="Z130" s="7">
        <v>1.1944444444444444</v>
      </c>
      <c r="AA130" s="7" t="str">
        <f t="shared" si="2"/>
        <v>D</v>
      </c>
      <c r="AB130" s="7">
        <f t="shared" si="3"/>
        <v>1.194444444</v>
      </c>
      <c r="AC130" s="7">
        <f t="shared" si="4"/>
        <v>0.8372093023</v>
      </c>
      <c r="AD130" s="7"/>
      <c r="AE130" s="7"/>
      <c r="AF130" s="24">
        <f t="shared" si="1"/>
        <v>275000</v>
      </c>
    </row>
    <row r="131">
      <c r="A131" s="7" t="s">
        <v>305</v>
      </c>
      <c r="B131" s="7" t="s">
        <v>25</v>
      </c>
      <c r="C131" s="7" t="s">
        <v>47</v>
      </c>
      <c r="D131" s="7" t="s">
        <v>27</v>
      </c>
      <c r="E131" s="7">
        <v>27.0</v>
      </c>
      <c r="F131" s="7">
        <v>1996.0</v>
      </c>
      <c r="G131" s="7">
        <v>31.0</v>
      </c>
      <c r="H131" s="7">
        <v>23.0</v>
      </c>
      <c r="I131" s="25">
        <v>1844.0</v>
      </c>
      <c r="J131" s="7">
        <v>20.5</v>
      </c>
      <c r="K131" s="7">
        <v>7.0</v>
      </c>
      <c r="L131" s="7">
        <v>3.0</v>
      </c>
      <c r="M131" s="7">
        <v>10.0</v>
      </c>
      <c r="N131" s="7">
        <v>7.0</v>
      </c>
      <c r="O131" s="7">
        <v>0.0</v>
      </c>
      <c r="P131" s="7">
        <v>0.0</v>
      </c>
      <c r="Q131" s="7">
        <v>3.0</v>
      </c>
      <c r="R131" s="7">
        <v>0.0</v>
      </c>
      <c r="S131" s="7">
        <v>0.34</v>
      </c>
      <c r="T131" s="7">
        <v>0.15</v>
      </c>
      <c r="U131" s="7">
        <v>0.49</v>
      </c>
      <c r="V131" s="7">
        <v>0.34</v>
      </c>
      <c r="W131" s="7">
        <v>0.49</v>
      </c>
      <c r="X131" s="7" t="s">
        <v>719</v>
      </c>
      <c r="Y131" s="24" t="s">
        <v>697</v>
      </c>
      <c r="Z131" s="7">
        <v>1.0277777777777777</v>
      </c>
      <c r="AA131" s="7" t="str">
        <f t="shared" si="2"/>
        <v>M</v>
      </c>
      <c r="AB131" s="7">
        <f t="shared" si="3"/>
        <v>2.055555556</v>
      </c>
      <c r="AC131" s="7">
        <f t="shared" si="4"/>
        <v>0.4864864865</v>
      </c>
      <c r="AD131" s="7"/>
      <c r="AE131" s="7"/>
      <c r="AF131" s="24">
        <f t="shared" si="1"/>
        <v>65000</v>
      </c>
    </row>
    <row r="132">
      <c r="A132" s="7" t="s">
        <v>307</v>
      </c>
      <c r="B132" s="7" t="s">
        <v>34</v>
      </c>
      <c r="C132" s="7" t="s">
        <v>30</v>
      </c>
      <c r="D132" s="7" t="s">
        <v>44</v>
      </c>
      <c r="E132" s="7">
        <v>27.0</v>
      </c>
      <c r="F132" s="7">
        <v>1996.0</v>
      </c>
      <c r="G132" s="7">
        <v>27.0</v>
      </c>
      <c r="H132" s="7">
        <v>19.0</v>
      </c>
      <c r="I132" s="25">
        <v>1793.0</v>
      </c>
      <c r="J132" s="7">
        <v>19.9</v>
      </c>
      <c r="K132" s="7">
        <v>5.0</v>
      </c>
      <c r="L132" s="7">
        <v>2.0</v>
      </c>
      <c r="M132" s="7">
        <v>7.0</v>
      </c>
      <c r="N132" s="7">
        <v>5.0</v>
      </c>
      <c r="O132" s="7">
        <v>0.0</v>
      </c>
      <c r="P132" s="7">
        <v>1.0</v>
      </c>
      <c r="Q132" s="7">
        <v>1.0</v>
      </c>
      <c r="R132" s="7">
        <v>0.0</v>
      </c>
      <c r="S132" s="7">
        <v>0.25</v>
      </c>
      <c r="T132" s="7">
        <v>0.1</v>
      </c>
      <c r="U132" s="7">
        <v>0.35</v>
      </c>
      <c r="V132" s="7">
        <v>0.25</v>
      </c>
      <c r="W132" s="7">
        <v>0.35</v>
      </c>
      <c r="X132" s="7" t="s">
        <v>720</v>
      </c>
      <c r="Y132" s="24" t="s">
        <v>691</v>
      </c>
      <c r="Z132" s="7">
        <v>1.1944444444444444</v>
      </c>
      <c r="AA132" s="7" t="str">
        <f t="shared" si="2"/>
        <v>M</v>
      </c>
      <c r="AB132" s="7">
        <f t="shared" si="3"/>
        <v>2.388888889</v>
      </c>
      <c r="AC132" s="7">
        <f t="shared" si="4"/>
        <v>0.4186046512</v>
      </c>
      <c r="AD132" s="7"/>
      <c r="AE132" s="7"/>
      <c r="AF132" s="24">
        <f t="shared" si="1"/>
        <v>88000</v>
      </c>
    </row>
    <row r="133">
      <c r="A133" s="7" t="s">
        <v>309</v>
      </c>
      <c r="B133" s="7" t="s">
        <v>25</v>
      </c>
      <c r="C133" s="7" t="s">
        <v>35</v>
      </c>
      <c r="D133" s="7" t="s">
        <v>36</v>
      </c>
      <c r="E133" s="7">
        <v>23.0</v>
      </c>
      <c r="F133" s="7">
        <v>2000.0</v>
      </c>
      <c r="G133" s="7">
        <v>12.0</v>
      </c>
      <c r="H133" s="7">
        <v>12.0</v>
      </c>
      <c r="I133" s="25">
        <v>1031.0</v>
      </c>
      <c r="J133" s="7">
        <v>11.5</v>
      </c>
      <c r="K133" s="7">
        <v>0.0</v>
      </c>
      <c r="L133" s="7">
        <v>0.0</v>
      </c>
      <c r="M133" s="7">
        <v>0.0</v>
      </c>
      <c r="N133" s="7">
        <v>0.0</v>
      </c>
      <c r="O133" s="7">
        <v>0.0</v>
      </c>
      <c r="P133" s="7">
        <v>0.0</v>
      </c>
      <c r="Q133" s="7">
        <v>3.0</v>
      </c>
      <c r="R133" s="7">
        <v>0.0</v>
      </c>
      <c r="S133" s="7">
        <v>0.0</v>
      </c>
      <c r="T133" s="7">
        <v>0.0</v>
      </c>
      <c r="U133" s="7">
        <v>0.0</v>
      </c>
      <c r="V133" s="7">
        <v>0.0</v>
      </c>
      <c r="W133" s="7">
        <v>0.0</v>
      </c>
      <c r="X133" s="7" t="s">
        <v>722</v>
      </c>
      <c r="Y133" s="24" t="s">
        <v>691</v>
      </c>
      <c r="Z133" s="7">
        <v>1.6111111111111112</v>
      </c>
      <c r="AA133" s="7" t="str">
        <f t="shared" si="2"/>
        <v>D</v>
      </c>
      <c r="AB133" s="7">
        <f t="shared" si="3"/>
        <v>1.611111111</v>
      </c>
      <c r="AC133" s="7">
        <f t="shared" si="4"/>
        <v>0.6206896552</v>
      </c>
      <c r="AD133" s="7"/>
      <c r="AE133" s="7"/>
      <c r="AF133" s="24">
        <f t="shared" si="1"/>
        <v>88000</v>
      </c>
    </row>
    <row r="134">
      <c r="A134" s="7" t="s">
        <v>311</v>
      </c>
      <c r="B134" s="7" t="e">
        <v>#VALUE!</v>
      </c>
      <c r="C134" s="7" t="s">
        <v>26</v>
      </c>
      <c r="D134" s="7" t="s">
        <v>36</v>
      </c>
      <c r="G134" s="7">
        <v>1.0</v>
      </c>
      <c r="H134" s="7">
        <v>0.0</v>
      </c>
      <c r="I134" s="7">
        <v>20.0</v>
      </c>
      <c r="J134" s="7">
        <v>0.2</v>
      </c>
      <c r="K134" s="7">
        <v>0.0</v>
      </c>
      <c r="L134" s="7">
        <v>0.0</v>
      </c>
      <c r="M134" s="7">
        <v>0.0</v>
      </c>
      <c r="N134" s="7">
        <v>0.0</v>
      </c>
      <c r="O134" s="7">
        <v>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 t="s">
        <v>673</v>
      </c>
      <c r="Y134" s="7" t="s">
        <v>668</v>
      </c>
      <c r="Z134" s="7">
        <v>1.6111111111111112</v>
      </c>
      <c r="AA134" s="7" t="str">
        <f t="shared" si="2"/>
        <v>M</v>
      </c>
      <c r="AB134" s="7">
        <f t="shared" si="3"/>
        <v>3.222222222</v>
      </c>
      <c r="AC134" s="7">
        <f t="shared" si="4"/>
        <v>0.3103448276</v>
      </c>
      <c r="AD134" s="7"/>
      <c r="AE134" s="7"/>
      <c r="AF134" s="24">
        <f t="shared" si="1"/>
        <v>100000</v>
      </c>
    </row>
    <row r="135">
      <c r="A135" s="7" t="s">
        <v>313</v>
      </c>
      <c r="B135" s="7" t="s">
        <v>25</v>
      </c>
      <c r="C135" s="7" t="s">
        <v>47</v>
      </c>
      <c r="D135" s="7" t="s">
        <v>44</v>
      </c>
      <c r="E135" s="7">
        <v>23.0</v>
      </c>
      <c r="F135" s="7">
        <v>2001.0</v>
      </c>
      <c r="G135" s="7">
        <v>34.0</v>
      </c>
      <c r="H135" s="7">
        <v>26.0</v>
      </c>
      <c r="I135" s="25">
        <v>2295.0</v>
      </c>
      <c r="J135" s="7">
        <v>25.5</v>
      </c>
      <c r="K135" s="7">
        <v>4.0</v>
      </c>
      <c r="L135" s="7">
        <v>1.0</v>
      </c>
      <c r="M135" s="7">
        <v>5.0</v>
      </c>
      <c r="N135" s="7">
        <v>4.0</v>
      </c>
      <c r="O135" s="7">
        <v>0.0</v>
      </c>
      <c r="P135" s="7">
        <v>0.0</v>
      </c>
      <c r="Q135" s="7">
        <v>7.0</v>
      </c>
      <c r="R135" s="7">
        <v>0.0</v>
      </c>
      <c r="S135" s="7">
        <v>0.16</v>
      </c>
      <c r="T135" s="7">
        <v>0.04</v>
      </c>
      <c r="U135" s="7">
        <v>0.2</v>
      </c>
      <c r="V135" s="7">
        <v>0.16</v>
      </c>
      <c r="W135" s="7">
        <v>0.2</v>
      </c>
      <c r="X135" s="7" t="s">
        <v>698</v>
      </c>
      <c r="Y135" s="24" t="s">
        <v>700</v>
      </c>
      <c r="Z135" s="7">
        <v>1.1944444444444444</v>
      </c>
      <c r="AA135" s="7" t="str">
        <f t="shared" si="2"/>
        <v>M</v>
      </c>
      <c r="AB135" s="7">
        <f t="shared" si="3"/>
        <v>2.388888889</v>
      </c>
      <c r="AC135" s="7">
        <f t="shared" si="4"/>
        <v>0.4186046512</v>
      </c>
      <c r="AD135" s="7"/>
      <c r="AE135" s="7"/>
      <c r="AF135" s="24">
        <f t="shared" si="1"/>
        <v>20000</v>
      </c>
    </row>
    <row r="136">
      <c r="A136" s="7" t="s">
        <v>315</v>
      </c>
      <c r="B136" s="7" t="s">
        <v>70</v>
      </c>
      <c r="C136" s="7" t="s">
        <v>55</v>
      </c>
      <c r="D136" s="7" t="s">
        <v>80</v>
      </c>
      <c r="E136" s="7">
        <v>24.0</v>
      </c>
      <c r="F136" s="7">
        <v>1999.0</v>
      </c>
      <c r="G136" s="7">
        <v>31.0</v>
      </c>
      <c r="H136" s="7">
        <v>24.0</v>
      </c>
      <c r="I136" s="25">
        <v>2079.0</v>
      </c>
      <c r="J136" s="7">
        <v>23.1</v>
      </c>
      <c r="K136" s="7">
        <v>6.0</v>
      </c>
      <c r="L136" s="7">
        <v>1.0</v>
      </c>
      <c r="M136" s="7">
        <v>7.0</v>
      </c>
      <c r="N136" s="7">
        <v>5.0</v>
      </c>
      <c r="O136" s="7">
        <v>1.0</v>
      </c>
      <c r="P136" s="7">
        <v>1.0</v>
      </c>
      <c r="Q136" s="7">
        <v>5.0</v>
      </c>
      <c r="R136" s="7">
        <v>0.0</v>
      </c>
      <c r="S136" s="7">
        <v>0.26</v>
      </c>
      <c r="T136" s="7">
        <v>0.04</v>
      </c>
      <c r="U136" s="7">
        <v>0.3</v>
      </c>
      <c r="V136" s="7">
        <v>0.22</v>
      </c>
      <c r="W136" s="7">
        <v>0.26</v>
      </c>
      <c r="X136" s="7" t="s">
        <v>678</v>
      </c>
      <c r="Y136" s="24" t="s">
        <v>702</v>
      </c>
      <c r="Z136" s="7">
        <v>1.3888888888888888</v>
      </c>
      <c r="AA136" s="7" t="str">
        <f t="shared" si="2"/>
        <v>A</v>
      </c>
      <c r="AB136" s="7">
        <f t="shared" si="3"/>
        <v>5.555555556</v>
      </c>
      <c r="AC136" s="7">
        <f t="shared" si="4"/>
        <v>0.18</v>
      </c>
      <c r="AD136" s="7"/>
      <c r="AE136" s="7"/>
      <c r="AF136" s="24">
        <f t="shared" si="1"/>
        <v>117000</v>
      </c>
    </row>
    <row r="137">
      <c r="A137" s="7" t="s">
        <v>317</v>
      </c>
      <c r="B137" s="7" t="s">
        <v>25</v>
      </c>
      <c r="C137" s="7" t="s">
        <v>26</v>
      </c>
      <c r="D137" s="7" t="s">
        <v>44</v>
      </c>
      <c r="E137" s="7">
        <v>18.0</v>
      </c>
      <c r="F137" s="7">
        <v>2005.0</v>
      </c>
      <c r="G137" s="7">
        <v>11.0</v>
      </c>
      <c r="H137" s="7">
        <v>8.0</v>
      </c>
      <c r="I137" s="7">
        <v>682.0</v>
      </c>
      <c r="J137" s="7">
        <v>7.6</v>
      </c>
      <c r="K137" s="7">
        <v>0.0</v>
      </c>
      <c r="L137" s="7">
        <v>0.0</v>
      </c>
      <c r="M137" s="7">
        <v>0.0</v>
      </c>
      <c r="N137" s="7">
        <v>0.0</v>
      </c>
      <c r="O137" s="7">
        <v>0.0</v>
      </c>
      <c r="P137" s="7">
        <v>0.0</v>
      </c>
      <c r="Q137" s="7">
        <v>2.0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 t="s">
        <v>673</v>
      </c>
      <c r="Y137" s="7" t="s">
        <v>695</v>
      </c>
      <c r="Z137" s="7">
        <v>1.1944444444444444</v>
      </c>
      <c r="AA137" s="7" t="str">
        <f t="shared" si="2"/>
        <v>M</v>
      </c>
      <c r="AB137" s="7">
        <f t="shared" si="3"/>
        <v>2.388888889</v>
      </c>
      <c r="AC137" s="7">
        <f t="shared" si="4"/>
        <v>0.4186046512</v>
      </c>
      <c r="AD137" s="7"/>
      <c r="AE137" s="7"/>
      <c r="AF137" s="24">
        <f t="shared" si="1"/>
        <v>75000</v>
      </c>
    </row>
    <row r="138">
      <c r="A138" s="7" t="s">
        <v>319</v>
      </c>
      <c r="B138" s="7" t="s">
        <v>25</v>
      </c>
      <c r="C138" s="7" t="s">
        <v>77</v>
      </c>
      <c r="D138" s="7" t="s">
        <v>44</v>
      </c>
      <c r="E138" s="7">
        <v>26.0</v>
      </c>
      <c r="F138" s="7">
        <v>1997.0</v>
      </c>
      <c r="G138" s="7">
        <v>2.0</v>
      </c>
      <c r="H138" s="7">
        <v>2.0</v>
      </c>
      <c r="I138" s="7">
        <v>180.0</v>
      </c>
      <c r="J138" s="7">
        <v>2.0</v>
      </c>
      <c r="K138" s="7">
        <v>0.0</v>
      </c>
      <c r="L138" s="7">
        <v>0.0</v>
      </c>
      <c r="M138" s="7">
        <v>0.0</v>
      </c>
      <c r="N138" s="7">
        <v>0.0</v>
      </c>
      <c r="O138" s="7">
        <v>0.0</v>
      </c>
      <c r="P138" s="7">
        <v>0.0</v>
      </c>
      <c r="Q138" s="7">
        <v>0.0</v>
      </c>
      <c r="R138" s="7">
        <v>0.0</v>
      </c>
      <c r="S138" s="7">
        <v>0.0</v>
      </c>
      <c r="T138" s="7">
        <v>0.0</v>
      </c>
      <c r="U138" s="7">
        <v>0.0</v>
      </c>
      <c r="V138" s="7">
        <v>0.0</v>
      </c>
      <c r="W138" s="7">
        <v>0.0</v>
      </c>
      <c r="X138" s="7" t="s">
        <v>698</v>
      </c>
      <c r="Y138" s="7" t="s">
        <v>668</v>
      </c>
      <c r="Z138" s="7">
        <v>1.1944444444444444</v>
      </c>
      <c r="AA138" s="7" t="str">
        <f t="shared" si="2"/>
        <v>D</v>
      </c>
      <c r="AB138" s="7">
        <f t="shared" si="3"/>
        <v>1.194444444</v>
      </c>
      <c r="AC138" s="7">
        <f t="shared" si="4"/>
        <v>0.8372093023</v>
      </c>
      <c r="AD138" s="7"/>
      <c r="AE138" s="7"/>
      <c r="AF138" s="24">
        <f t="shared" si="1"/>
        <v>100000</v>
      </c>
    </row>
    <row r="139">
      <c r="A139" s="7" t="s">
        <v>321</v>
      </c>
      <c r="B139" s="7" t="s">
        <v>25</v>
      </c>
      <c r="C139" s="7" t="s">
        <v>26</v>
      </c>
      <c r="D139" s="7" t="s">
        <v>27</v>
      </c>
      <c r="E139" s="7">
        <v>25.0</v>
      </c>
      <c r="F139" s="7">
        <v>1998.0</v>
      </c>
      <c r="G139" s="7">
        <v>34.0</v>
      </c>
      <c r="H139" s="7">
        <v>33.0</v>
      </c>
      <c r="I139" s="25">
        <v>2940.0</v>
      </c>
      <c r="J139" s="7">
        <v>32.7</v>
      </c>
      <c r="K139" s="7">
        <v>2.0</v>
      </c>
      <c r="L139" s="7">
        <v>1.0</v>
      </c>
      <c r="M139" s="7">
        <v>3.0</v>
      </c>
      <c r="N139" s="7">
        <v>2.0</v>
      </c>
      <c r="O139" s="7">
        <v>0.0</v>
      </c>
      <c r="P139" s="7">
        <v>0.0</v>
      </c>
      <c r="Q139" s="7">
        <v>12.0</v>
      </c>
      <c r="R139" s="7">
        <v>0.0</v>
      </c>
      <c r="S139" s="7">
        <v>0.06</v>
      </c>
      <c r="T139" s="7">
        <v>0.03</v>
      </c>
      <c r="U139" s="7">
        <v>0.09</v>
      </c>
      <c r="V139" s="7">
        <v>0.06</v>
      </c>
      <c r="W139" s="7">
        <v>0.09</v>
      </c>
      <c r="X139" s="7" t="s">
        <v>690</v>
      </c>
      <c r="Y139" s="24" t="s">
        <v>703</v>
      </c>
      <c r="Z139" s="7">
        <v>1.0277777777777777</v>
      </c>
      <c r="AA139" s="7" t="str">
        <f t="shared" si="2"/>
        <v>M</v>
      </c>
      <c r="AB139" s="7">
        <f t="shared" si="3"/>
        <v>2.055555556</v>
      </c>
      <c r="AC139" s="7">
        <f t="shared" si="4"/>
        <v>0.4864864865</v>
      </c>
      <c r="AD139" s="7"/>
      <c r="AE139" s="7"/>
      <c r="AF139" s="24">
        <f t="shared" si="1"/>
        <v>39000</v>
      </c>
    </row>
    <row r="140">
      <c r="A140" s="7" t="s">
        <v>323</v>
      </c>
      <c r="B140" s="7" t="s">
        <v>70</v>
      </c>
      <c r="C140" s="7" t="s">
        <v>35</v>
      </c>
      <c r="D140" s="7" t="s">
        <v>80</v>
      </c>
      <c r="E140" s="7">
        <v>22.0</v>
      </c>
      <c r="F140" s="7">
        <v>2001.0</v>
      </c>
      <c r="G140" s="7">
        <v>3.0</v>
      </c>
      <c r="H140" s="7">
        <v>3.0</v>
      </c>
      <c r="I140" s="7">
        <v>216.0</v>
      </c>
      <c r="J140" s="7">
        <v>2.4</v>
      </c>
      <c r="K140" s="7">
        <v>0.0</v>
      </c>
      <c r="L140" s="7">
        <v>0.0</v>
      </c>
      <c r="M140" s="7">
        <v>0.0</v>
      </c>
      <c r="N140" s="7">
        <v>0.0</v>
      </c>
      <c r="O140" s="7">
        <v>0.0</v>
      </c>
      <c r="P140" s="7">
        <v>0.0</v>
      </c>
      <c r="Q140" s="7">
        <v>0.0</v>
      </c>
      <c r="R140" s="7">
        <v>0.0</v>
      </c>
      <c r="S140" s="7">
        <v>0.0</v>
      </c>
      <c r="T140" s="7">
        <v>0.0</v>
      </c>
      <c r="U140" s="7">
        <v>0.0</v>
      </c>
      <c r="V140" s="7">
        <v>0.0</v>
      </c>
      <c r="W140" s="7">
        <v>0.0</v>
      </c>
      <c r="X140" s="7" t="s">
        <v>699</v>
      </c>
      <c r="Y140" s="7" t="s">
        <v>684</v>
      </c>
      <c r="Z140" s="7">
        <v>1.3888888888888888</v>
      </c>
      <c r="AA140" s="7" t="str">
        <f t="shared" si="2"/>
        <v>D</v>
      </c>
      <c r="AB140" s="7">
        <f t="shared" si="3"/>
        <v>1.388888889</v>
      </c>
      <c r="AC140" s="7">
        <f t="shared" si="4"/>
        <v>0.72</v>
      </c>
      <c r="AD140" s="7"/>
      <c r="AE140" s="7"/>
      <c r="AF140" s="24">
        <f t="shared" si="1"/>
        <v>200000</v>
      </c>
    </row>
    <row r="141">
      <c r="A141" s="7" t="s">
        <v>325</v>
      </c>
      <c r="B141" s="7" t="s">
        <v>25</v>
      </c>
      <c r="C141" s="7" t="s">
        <v>47</v>
      </c>
      <c r="D141" s="7" t="s">
        <v>27</v>
      </c>
      <c r="E141" s="7">
        <v>26.0</v>
      </c>
      <c r="F141" s="7">
        <v>1997.0</v>
      </c>
      <c r="G141" s="7">
        <v>21.0</v>
      </c>
      <c r="H141" s="7">
        <v>5.0</v>
      </c>
      <c r="I141" s="7">
        <v>624.0</v>
      </c>
      <c r="J141" s="7">
        <v>6.9</v>
      </c>
      <c r="K141" s="7">
        <v>1.0</v>
      </c>
      <c r="L141" s="7">
        <v>1.0</v>
      </c>
      <c r="M141" s="7">
        <v>2.0</v>
      </c>
      <c r="N141" s="7">
        <v>1.0</v>
      </c>
      <c r="O141" s="7">
        <v>0.0</v>
      </c>
      <c r="P141" s="7">
        <v>0.0</v>
      </c>
      <c r="Q141" s="7">
        <v>0.0</v>
      </c>
      <c r="R141" s="7">
        <v>0.0</v>
      </c>
      <c r="S141" s="7">
        <v>0.14</v>
      </c>
      <c r="T141" s="7">
        <v>0.14</v>
      </c>
      <c r="U141" s="7">
        <v>0.29</v>
      </c>
      <c r="V141" s="7">
        <v>0.14</v>
      </c>
      <c r="W141" s="7">
        <v>0.29</v>
      </c>
      <c r="X141" s="7" t="s">
        <v>690</v>
      </c>
      <c r="Y141" s="7" t="s">
        <v>668</v>
      </c>
      <c r="Z141" s="7">
        <v>1.0277777777777777</v>
      </c>
      <c r="AA141" s="7" t="str">
        <f t="shared" si="2"/>
        <v>M</v>
      </c>
      <c r="AB141" s="7">
        <f t="shared" si="3"/>
        <v>2.055555556</v>
      </c>
      <c r="AC141" s="7">
        <f t="shared" si="4"/>
        <v>0.4864864865</v>
      </c>
      <c r="AD141" s="7"/>
      <c r="AE141" s="7"/>
      <c r="AF141" s="24">
        <f t="shared" si="1"/>
        <v>100000</v>
      </c>
    </row>
    <row r="142">
      <c r="A142" s="7" t="s">
        <v>327</v>
      </c>
      <c r="B142" s="7" t="s">
        <v>328</v>
      </c>
      <c r="C142" s="7" t="s">
        <v>35</v>
      </c>
      <c r="D142" s="7" t="s">
        <v>62</v>
      </c>
      <c r="E142" s="7">
        <v>27.0</v>
      </c>
      <c r="F142" s="7">
        <v>1996.0</v>
      </c>
      <c r="G142" s="7">
        <v>27.0</v>
      </c>
      <c r="H142" s="7">
        <v>23.0</v>
      </c>
      <c r="I142" s="25">
        <v>2093.0</v>
      </c>
      <c r="J142" s="7">
        <v>23.3</v>
      </c>
      <c r="K142" s="7">
        <v>0.0</v>
      </c>
      <c r="L142" s="7">
        <v>0.0</v>
      </c>
      <c r="M142" s="7">
        <v>0.0</v>
      </c>
      <c r="N142" s="7">
        <v>0.0</v>
      </c>
      <c r="O142" s="7">
        <v>0.0</v>
      </c>
      <c r="P142" s="7">
        <v>0.0</v>
      </c>
      <c r="Q142" s="7">
        <v>2.0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 t="s">
        <v>690</v>
      </c>
      <c r="Y142" s="7" t="s">
        <v>668</v>
      </c>
      <c r="Z142" s="7">
        <v>0.8055555555555556</v>
      </c>
      <c r="AA142" s="7" t="str">
        <f t="shared" si="2"/>
        <v>D</v>
      </c>
      <c r="AB142" s="7">
        <f t="shared" si="3"/>
        <v>0.8055555556</v>
      </c>
      <c r="AC142" s="7">
        <f t="shared" si="4"/>
        <v>1.24137931</v>
      </c>
      <c r="AD142" s="7"/>
      <c r="AE142" s="7"/>
      <c r="AF142" s="24">
        <f t="shared" si="1"/>
        <v>100000</v>
      </c>
    </row>
    <row r="143">
      <c r="A143" s="7" t="s">
        <v>330</v>
      </c>
      <c r="B143" s="7" t="s">
        <v>331</v>
      </c>
      <c r="C143" s="7" t="s">
        <v>77</v>
      </c>
      <c r="D143" s="7" t="s">
        <v>36</v>
      </c>
      <c r="E143" s="7">
        <v>28.0</v>
      </c>
      <c r="F143" s="7">
        <v>1995.0</v>
      </c>
      <c r="G143" s="7">
        <v>7.0</v>
      </c>
      <c r="H143" s="7">
        <v>7.0</v>
      </c>
      <c r="I143" s="7">
        <v>613.0</v>
      </c>
      <c r="J143" s="7">
        <v>6.8</v>
      </c>
      <c r="K143" s="7">
        <v>0.0</v>
      </c>
      <c r="L143" s="7">
        <v>0.0</v>
      </c>
      <c r="M143" s="7">
        <v>0.0</v>
      </c>
      <c r="N143" s="7">
        <v>0.0</v>
      </c>
      <c r="O143" s="7">
        <v>0.0</v>
      </c>
      <c r="P143" s="7">
        <v>0.0</v>
      </c>
      <c r="Q143" s="7">
        <v>0.0</v>
      </c>
      <c r="R143" s="7">
        <v>1.0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1" t="s">
        <v>692</v>
      </c>
      <c r="Y143" s="24" t="s">
        <v>701</v>
      </c>
      <c r="Z143" s="7">
        <v>1.6111111111111112</v>
      </c>
      <c r="AA143" s="7" t="str">
        <f t="shared" si="2"/>
        <v>D</v>
      </c>
      <c r="AB143" s="7">
        <f t="shared" si="3"/>
        <v>1.611111111</v>
      </c>
      <c r="AC143" s="7">
        <f t="shared" si="4"/>
        <v>0.6206896552</v>
      </c>
      <c r="AD143" s="7"/>
      <c r="AE143" s="7"/>
      <c r="AF143" s="24">
        <f t="shared" si="1"/>
        <v>86000</v>
      </c>
    </row>
    <row r="144">
      <c r="A144" s="7" t="s">
        <v>333</v>
      </c>
      <c r="B144" s="7" t="s">
        <v>25</v>
      </c>
      <c r="C144" s="7" t="s">
        <v>35</v>
      </c>
      <c r="D144" s="7" t="s">
        <v>44</v>
      </c>
      <c r="E144" s="7">
        <v>20.0</v>
      </c>
      <c r="F144" s="7">
        <v>2003.0</v>
      </c>
      <c r="G144" s="7">
        <v>24.0</v>
      </c>
      <c r="H144" s="7">
        <v>18.0</v>
      </c>
      <c r="I144" s="25">
        <v>1669.0</v>
      </c>
      <c r="J144" s="7">
        <v>18.5</v>
      </c>
      <c r="K144" s="7">
        <v>1.0</v>
      </c>
      <c r="L144" s="7">
        <v>0.0</v>
      </c>
      <c r="M144" s="7">
        <v>1.0</v>
      </c>
      <c r="N144" s="7">
        <v>1.0</v>
      </c>
      <c r="O144" s="7">
        <v>0.0</v>
      </c>
      <c r="P144" s="7">
        <v>0.0</v>
      </c>
      <c r="Q144" s="7">
        <v>4.0</v>
      </c>
      <c r="R144" s="7">
        <v>0.0</v>
      </c>
      <c r="S144" s="7">
        <v>0.05</v>
      </c>
      <c r="T144" s="7">
        <v>0.0</v>
      </c>
      <c r="U144" s="7">
        <v>0.05</v>
      </c>
      <c r="V144" s="7">
        <v>0.05</v>
      </c>
      <c r="W144" s="7">
        <v>0.05</v>
      </c>
      <c r="X144" s="7" t="s">
        <v>720</v>
      </c>
      <c r="Y144" s="7" t="s">
        <v>695</v>
      </c>
      <c r="Z144" s="7">
        <v>1.1944444444444444</v>
      </c>
      <c r="AA144" s="7" t="str">
        <f t="shared" si="2"/>
        <v>D</v>
      </c>
      <c r="AB144" s="7">
        <f t="shared" si="3"/>
        <v>1.194444444</v>
      </c>
      <c r="AC144" s="7">
        <f t="shared" si="4"/>
        <v>0.8372093023</v>
      </c>
      <c r="AD144" s="7"/>
      <c r="AE144" s="7"/>
      <c r="AF144" s="24">
        <f t="shared" si="1"/>
        <v>75000</v>
      </c>
    </row>
    <row r="145">
      <c r="A145" s="7" t="s">
        <v>335</v>
      </c>
      <c r="B145" s="7" t="s">
        <v>25</v>
      </c>
      <c r="C145" s="7" t="s">
        <v>26</v>
      </c>
      <c r="D145" s="7" t="s">
        <v>62</v>
      </c>
      <c r="E145" s="7">
        <v>33.0</v>
      </c>
      <c r="F145" s="7">
        <v>1991.0</v>
      </c>
      <c r="G145" s="7">
        <v>15.0</v>
      </c>
      <c r="H145" s="7">
        <v>15.0</v>
      </c>
      <c r="I145" s="25">
        <v>1342.0</v>
      </c>
      <c r="J145" s="7">
        <v>14.9</v>
      </c>
      <c r="K145" s="7">
        <v>2.0</v>
      </c>
      <c r="L145" s="7">
        <v>0.0</v>
      </c>
      <c r="M145" s="7">
        <v>2.0</v>
      </c>
      <c r="N145" s="7">
        <v>2.0</v>
      </c>
      <c r="O145" s="7">
        <v>0.0</v>
      </c>
      <c r="P145" s="7">
        <v>0.0</v>
      </c>
      <c r="Q145" s="7">
        <v>0.0</v>
      </c>
      <c r="R145" s="7">
        <v>0.0</v>
      </c>
      <c r="S145" s="7">
        <v>0.13</v>
      </c>
      <c r="T145" s="7">
        <v>0.0</v>
      </c>
      <c r="U145" s="7">
        <v>0.13</v>
      </c>
      <c r="V145" s="7">
        <v>0.13</v>
      </c>
      <c r="W145" s="7">
        <v>0.13</v>
      </c>
      <c r="X145" s="7" t="s">
        <v>715</v>
      </c>
      <c r="Y145" s="7" t="s">
        <v>707</v>
      </c>
      <c r="Z145" s="7">
        <v>0.8055555555555556</v>
      </c>
      <c r="AA145" s="7" t="str">
        <f t="shared" si="2"/>
        <v>M</v>
      </c>
      <c r="AB145" s="7">
        <f t="shared" si="3"/>
        <v>1.611111111</v>
      </c>
      <c r="AC145" s="7">
        <f t="shared" si="4"/>
        <v>0.6206896552</v>
      </c>
      <c r="AD145" s="7"/>
      <c r="AE145" s="7"/>
      <c r="AF145" s="24">
        <f t="shared" si="1"/>
        <v>150000</v>
      </c>
    </row>
    <row r="146">
      <c r="A146" s="7" t="s">
        <v>337</v>
      </c>
      <c r="B146" s="7" t="s">
        <v>25</v>
      </c>
      <c r="C146" s="7" t="s">
        <v>35</v>
      </c>
      <c r="D146" s="7" t="s">
        <v>27</v>
      </c>
      <c r="E146" s="7">
        <v>24.0</v>
      </c>
      <c r="F146" s="7">
        <v>2000.0</v>
      </c>
      <c r="G146" s="7">
        <v>32.0</v>
      </c>
      <c r="H146" s="7">
        <v>32.0</v>
      </c>
      <c r="I146" s="25">
        <v>2779.0</v>
      </c>
      <c r="J146" s="7">
        <v>30.9</v>
      </c>
      <c r="K146" s="7">
        <v>4.0</v>
      </c>
      <c r="L146" s="7">
        <v>2.0</v>
      </c>
      <c r="M146" s="7">
        <v>6.0</v>
      </c>
      <c r="N146" s="7">
        <v>4.0</v>
      </c>
      <c r="O146" s="7">
        <v>0.0</v>
      </c>
      <c r="P146" s="7">
        <v>0.0</v>
      </c>
      <c r="Q146" s="7">
        <v>6.0</v>
      </c>
      <c r="R146" s="7">
        <v>0.0</v>
      </c>
      <c r="S146" s="7">
        <v>0.13</v>
      </c>
      <c r="T146" s="7">
        <v>0.06</v>
      </c>
      <c r="U146" s="7">
        <v>0.19</v>
      </c>
      <c r="V146" s="7">
        <v>0.13</v>
      </c>
      <c r="W146" s="7">
        <v>0.19</v>
      </c>
      <c r="X146" s="7" t="s">
        <v>690</v>
      </c>
      <c r="Y146" s="24" t="s">
        <v>701</v>
      </c>
      <c r="Z146" s="7">
        <v>1.0277777777777777</v>
      </c>
      <c r="AA146" s="7" t="str">
        <f t="shared" si="2"/>
        <v>D</v>
      </c>
      <c r="AB146" s="7">
        <f t="shared" si="3"/>
        <v>1.027777778</v>
      </c>
      <c r="AC146" s="7">
        <f t="shared" si="4"/>
        <v>0.972972973</v>
      </c>
      <c r="AD146" s="7"/>
      <c r="AE146" s="7"/>
      <c r="AF146" s="24">
        <f t="shared" si="1"/>
        <v>86000</v>
      </c>
    </row>
    <row r="147">
      <c r="A147" s="7" t="s">
        <v>339</v>
      </c>
      <c r="B147" s="7" t="s">
        <v>25</v>
      </c>
      <c r="C147" s="7" t="s">
        <v>35</v>
      </c>
      <c r="D147" s="7" t="s">
        <v>128</v>
      </c>
      <c r="E147" s="7">
        <v>24.0</v>
      </c>
      <c r="F147" s="7">
        <v>1999.0</v>
      </c>
      <c r="G147" s="7">
        <v>2.0</v>
      </c>
      <c r="H147" s="7">
        <v>1.0</v>
      </c>
      <c r="I147" s="7">
        <v>74.0</v>
      </c>
      <c r="J147" s="7">
        <v>0.8</v>
      </c>
      <c r="K147" s="7">
        <v>0.0</v>
      </c>
      <c r="L147" s="7">
        <v>0.0</v>
      </c>
      <c r="M147" s="7">
        <v>0.0</v>
      </c>
      <c r="N147" s="7">
        <v>0.0</v>
      </c>
      <c r="O147" s="7">
        <v>0.0</v>
      </c>
      <c r="P147" s="7">
        <v>0.0</v>
      </c>
      <c r="Q147" s="7">
        <v>0.0</v>
      </c>
      <c r="R147" s="7">
        <v>0.0</v>
      </c>
      <c r="S147" s="7">
        <v>0.0</v>
      </c>
      <c r="T147" s="7">
        <v>0.0</v>
      </c>
      <c r="U147" s="7">
        <v>0.0</v>
      </c>
      <c r="V147" s="7">
        <v>0.0</v>
      </c>
      <c r="W147" s="7">
        <v>0.0</v>
      </c>
      <c r="X147" s="7" t="s">
        <v>698</v>
      </c>
      <c r="Y147" s="7" t="s">
        <v>695</v>
      </c>
      <c r="Z147" s="7">
        <v>1.4166666666666667</v>
      </c>
      <c r="AA147" s="7" t="str">
        <f t="shared" si="2"/>
        <v>D</v>
      </c>
      <c r="AB147" s="7">
        <f t="shared" si="3"/>
        <v>1.416666667</v>
      </c>
      <c r="AC147" s="7">
        <f t="shared" si="4"/>
        <v>0.7058823529</v>
      </c>
      <c r="AD147" s="7"/>
      <c r="AE147" s="7"/>
      <c r="AF147" s="24">
        <f t="shared" si="1"/>
        <v>75000</v>
      </c>
    </row>
    <row r="148">
      <c r="A148" s="7" t="s">
        <v>341</v>
      </c>
      <c r="B148" s="7" t="s">
        <v>25</v>
      </c>
      <c r="C148" s="7" t="s">
        <v>30</v>
      </c>
      <c r="D148" s="7" t="s">
        <v>58</v>
      </c>
      <c r="E148" s="7">
        <v>25.0</v>
      </c>
      <c r="F148" s="7">
        <v>1999.0</v>
      </c>
      <c r="G148" s="7">
        <v>30.0</v>
      </c>
      <c r="H148" s="7">
        <v>20.0</v>
      </c>
      <c r="I148" s="25">
        <v>1605.0</v>
      </c>
      <c r="J148" s="7">
        <v>17.8</v>
      </c>
      <c r="K148" s="7">
        <v>4.0</v>
      </c>
      <c r="L148" s="7">
        <v>3.0</v>
      </c>
      <c r="M148" s="7">
        <v>7.0</v>
      </c>
      <c r="N148" s="7">
        <v>4.0</v>
      </c>
      <c r="O148" s="7">
        <v>0.0</v>
      </c>
      <c r="P148" s="7">
        <v>0.0</v>
      </c>
      <c r="Q148" s="7">
        <v>9.0</v>
      </c>
      <c r="R148" s="7">
        <v>0.0</v>
      </c>
      <c r="S148" s="7">
        <v>0.22</v>
      </c>
      <c r="T148" s="7">
        <v>0.17</v>
      </c>
      <c r="U148" s="7">
        <v>0.39</v>
      </c>
      <c r="V148" s="7">
        <v>0.22</v>
      </c>
      <c r="W148" s="7">
        <v>0.39</v>
      </c>
      <c r="X148" s="7" t="s">
        <v>685</v>
      </c>
      <c r="Y148" s="24" t="s">
        <v>697</v>
      </c>
      <c r="Z148" s="7">
        <v>0.75</v>
      </c>
      <c r="AA148" s="7" t="str">
        <f t="shared" si="2"/>
        <v>M</v>
      </c>
      <c r="AB148" s="7">
        <f t="shared" si="3"/>
        <v>1.5</v>
      </c>
      <c r="AC148" s="7">
        <f t="shared" si="4"/>
        <v>0.6666666667</v>
      </c>
      <c r="AD148" s="7"/>
      <c r="AE148" s="7"/>
      <c r="AF148" s="24">
        <f t="shared" si="1"/>
        <v>65000</v>
      </c>
    </row>
    <row r="149">
      <c r="A149" s="7" t="s">
        <v>343</v>
      </c>
      <c r="B149" s="7" t="s">
        <v>25</v>
      </c>
      <c r="C149" s="7" t="s">
        <v>83</v>
      </c>
      <c r="D149" s="7" t="s">
        <v>80</v>
      </c>
      <c r="E149" s="7">
        <v>30.0</v>
      </c>
      <c r="F149" s="7">
        <v>1993.0</v>
      </c>
      <c r="G149" s="7">
        <v>28.0</v>
      </c>
      <c r="H149" s="7">
        <v>24.0</v>
      </c>
      <c r="I149" s="25">
        <v>2124.0</v>
      </c>
      <c r="J149" s="7">
        <v>23.6</v>
      </c>
      <c r="K149" s="7">
        <v>2.0</v>
      </c>
      <c r="L149" s="7">
        <v>1.0</v>
      </c>
      <c r="M149" s="7">
        <v>3.0</v>
      </c>
      <c r="N149" s="7">
        <v>2.0</v>
      </c>
      <c r="O149" s="7">
        <v>0.0</v>
      </c>
      <c r="P149" s="7">
        <v>0.0</v>
      </c>
      <c r="Q149" s="7">
        <v>4.0</v>
      </c>
      <c r="R149" s="7">
        <v>0.0</v>
      </c>
      <c r="S149" s="7">
        <v>0.08</v>
      </c>
      <c r="T149" s="7">
        <v>0.04</v>
      </c>
      <c r="U149" s="7">
        <v>0.13</v>
      </c>
      <c r="V149" s="7">
        <v>0.08</v>
      </c>
      <c r="W149" s="7">
        <v>0.13</v>
      </c>
      <c r="X149" s="7" t="s">
        <v>696</v>
      </c>
      <c r="Y149" s="24" t="s">
        <v>702</v>
      </c>
      <c r="Z149" s="7">
        <v>1.3888888888888888</v>
      </c>
      <c r="AA149" s="7" t="str">
        <f t="shared" si="2"/>
        <v>D</v>
      </c>
      <c r="AB149" s="7">
        <f t="shared" si="3"/>
        <v>1.388888889</v>
      </c>
      <c r="AC149" s="7">
        <f t="shared" si="4"/>
        <v>0.72</v>
      </c>
      <c r="AD149" s="7"/>
      <c r="AE149" s="7"/>
      <c r="AF149" s="24">
        <f t="shared" si="1"/>
        <v>117000</v>
      </c>
    </row>
    <row r="150">
      <c r="A150" s="7" t="s">
        <v>345</v>
      </c>
      <c r="B150" s="7" t="s">
        <v>25</v>
      </c>
      <c r="C150" s="7" t="s">
        <v>47</v>
      </c>
      <c r="D150" s="7" t="s">
        <v>58</v>
      </c>
      <c r="E150" s="7">
        <v>30.0</v>
      </c>
      <c r="F150" s="7">
        <v>1993.0</v>
      </c>
      <c r="G150" s="7">
        <v>24.0</v>
      </c>
      <c r="H150" s="7">
        <v>12.0</v>
      </c>
      <c r="I150" s="25">
        <v>1004.0</v>
      </c>
      <c r="J150" s="7">
        <v>11.2</v>
      </c>
      <c r="K150" s="7">
        <v>1.0</v>
      </c>
      <c r="L150" s="7">
        <v>0.0</v>
      </c>
      <c r="M150" s="7">
        <v>1.0</v>
      </c>
      <c r="N150" s="7">
        <v>1.0</v>
      </c>
      <c r="O150" s="7">
        <v>0.0</v>
      </c>
      <c r="P150" s="7">
        <v>0.0</v>
      </c>
      <c r="Q150" s="7">
        <v>7.0</v>
      </c>
      <c r="R150" s="7">
        <v>0.0</v>
      </c>
      <c r="S150" s="7">
        <v>0.09</v>
      </c>
      <c r="T150" s="7">
        <v>0.0</v>
      </c>
      <c r="U150" s="7">
        <v>0.09</v>
      </c>
      <c r="V150" s="7">
        <v>0.09</v>
      </c>
      <c r="W150" s="7">
        <v>0.09</v>
      </c>
      <c r="X150" s="7" t="s">
        <v>715</v>
      </c>
      <c r="Y150" s="24" t="s">
        <v>700</v>
      </c>
      <c r="Z150" s="7">
        <v>0.75</v>
      </c>
      <c r="AA150" s="7" t="str">
        <f t="shared" si="2"/>
        <v>M</v>
      </c>
      <c r="AB150" s="7">
        <f t="shared" si="3"/>
        <v>1.5</v>
      </c>
      <c r="AC150" s="7">
        <f t="shared" si="4"/>
        <v>0.6666666667</v>
      </c>
      <c r="AD150" s="7"/>
      <c r="AE150" s="7"/>
      <c r="AF150" s="24">
        <f t="shared" si="1"/>
        <v>20000</v>
      </c>
    </row>
    <row r="151">
      <c r="A151" s="7" t="s">
        <v>345</v>
      </c>
      <c r="B151" s="7" t="s">
        <v>25</v>
      </c>
      <c r="C151" s="7" t="s">
        <v>26</v>
      </c>
      <c r="D151" s="7" t="s">
        <v>31</v>
      </c>
      <c r="E151" s="7">
        <v>18.0</v>
      </c>
      <c r="F151" s="7">
        <v>2006.0</v>
      </c>
      <c r="G151" s="7">
        <v>1.0</v>
      </c>
      <c r="H151" s="7">
        <v>0.0</v>
      </c>
      <c r="I151" s="7">
        <v>16.0</v>
      </c>
      <c r="J151" s="7">
        <v>0.2</v>
      </c>
      <c r="K151" s="7">
        <v>0.0</v>
      </c>
      <c r="L151" s="7">
        <v>0.0</v>
      </c>
      <c r="M151" s="7">
        <v>0.0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 t="s">
        <v>690</v>
      </c>
      <c r="Y151" s="7" t="s">
        <v>695</v>
      </c>
      <c r="Z151" s="7">
        <v>0.9722222222222222</v>
      </c>
      <c r="AA151" s="7" t="str">
        <f t="shared" si="2"/>
        <v>M</v>
      </c>
      <c r="AB151" s="7">
        <f t="shared" si="3"/>
        <v>1.944444444</v>
      </c>
      <c r="AC151" s="7">
        <f t="shared" si="4"/>
        <v>0.5142857143</v>
      </c>
      <c r="AD151" s="7"/>
      <c r="AE151" s="7"/>
      <c r="AF151" s="24">
        <f t="shared" si="1"/>
        <v>75000</v>
      </c>
    </row>
    <row r="152">
      <c r="A152" s="7" t="s">
        <v>348</v>
      </c>
      <c r="B152" s="7" t="s">
        <v>25</v>
      </c>
      <c r="C152" s="7" t="s">
        <v>35</v>
      </c>
      <c r="D152" s="7" t="s">
        <v>128</v>
      </c>
      <c r="E152" s="7">
        <v>25.0</v>
      </c>
      <c r="F152" s="7">
        <v>1998.0</v>
      </c>
      <c r="G152" s="7">
        <v>30.0</v>
      </c>
      <c r="H152" s="7">
        <v>30.0</v>
      </c>
      <c r="I152" s="25">
        <v>2650.0</v>
      </c>
      <c r="J152" s="7">
        <v>29.4</v>
      </c>
      <c r="K152" s="7">
        <v>0.0</v>
      </c>
      <c r="L152" s="7">
        <v>2.0</v>
      </c>
      <c r="M152" s="7">
        <v>2.0</v>
      </c>
      <c r="N152" s="7">
        <v>0.0</v>
      </c>
      <c r="O152" s="7">
        <v>0.0</v>
      </c>
      <c r="P152" s="7">
        <v>0.0</v>
      </c>
      <c r="Q152" s="7">
        <v>8.0</v>
      </c>
      <c r="R152" s="7">
        <v>1.0</v>
      </c>
      <c r="S152" s="7">
        <v>0.0</v>
      </c>
      <c r="T152" s="7">
        <v>0.07</v>
      </c>
      <c r="U152" s="7">
        <v>0.07</v>
      </c>
      <c r="V152" s="7">
        <v>0.0</v>
      </c>
      <c r="W152" s="7">
        <v>0.07</v>
      </c>
      <c r="X152" s="7" t="s">
        <v>690</v>
      </c>
      <c r="Y152" s="7" t="s">
        <v>695</v>
      </c>
      <c r="Z152" s="7">
        <v>1.4166666666666667</v>
      </c>
      <c r="AA152" s="7" t="str">
        <f t="shared" si="2"/>
        <v>D</v>
      </c>
      <c r="AB152" s="7">
        <f t="shared" si="3"/>
        <v>1.416666667</v>
      </c>
      <c r="AC152" s="7">
        <f t="shared" si="4"/>
        <v>0.7058823529</v>
      </c>
      <c r="AD152" s="7"/>
      <c r="AE152" s="7"/>
      <c r="AF152" s="24">
        <f t="shared" si="1"/>
        <v>75000</v>
      </c>
    </row>
    <row r="153">
      <c r="A153" s="7" t="s">
        <v>350</v>
      </c>
      <c r="B153" s="7" t="s">
        <v>25</v>
      </c>
      <c r="C153" s="7" t="s">
        <v>55</v>
      </c>
      <c r="D153" s="7" t="s">
        <v>31</v>
      </c>
      <c r="E153" s="7">
        <v>20.0</v>
      </c>
      <c r="F153" s="7">
        <v>2003.0</v>
      </c>
      <c r="G153" s="7">
        <v>29.0</v>
      </c>
      <c r="H153" s="7">
        <v>19.0</v>
      </c>
      <c r="I153" s="25">
        <v>1706.0</v>
      </c>
      <c r="J153" s="7">
        <v>19.0</v>
      </c>
      <c r="K153" s="7">
        <v>13.0</v>
      </c>
      <c r="L153" s="7">
        <v>2.0</v>
      </c>
      <c r="M153" s="7">
        <v>15.0</v>
      </c>
      <c r="N153" s="7">
        <v>13.0</v>
      </c>
      <c r="O153" s="7">
        <v>0.0</v>
      </c>
      <c r="P153" s="7">
        <v>0.0</v>
      </c>
      <c r="Q153" s="7">
        <v>5.0</v>
      </c>
      <c r="R153" s="7">
        <v>0.0</v>
      </c>
      <c r="S153" s="7">
        <v>0.69</v>
      </c>
      <c r="T153" s="7">
        <v>0.11</v>
      </c>
      <c r="U153" s="7">
        <v>0.79</v>
      </c>
      <c r="V153" s="7">
        <v>0.69</v>
      </c>
      <c r="W153" s="7">
        <v>0.79</v>
      </c>
      <c r="X153" s="7" t="s">
        <v>673</v>
      </c>
      <c r="Y153" s="7" t="s">
        <v>668</v>
      </c>
      <c r="Z153" s="7">
        <v>0.9722222222222222</v>
      </c>
      <c r="AA153" s="7" t="str">
        <f t="shared" si="2"/>
        <v>A</v>
      </c>
      <c r="AB153" s="7">
        <f t="shared" si="3"/>
        <v>3.888888889</v>
      </c>
      <c r="AC153" s="7">
        <f t="shared" si="4"/>
        <v>0.2571428571</v>
      </c>
      <c r="AD153" s="7"/>
      <c r="AE153" s="7"/>
      <c r="AF153" s="24">
        <f t="shared" si="1"/>
        <v>100000</v>
      </c>
    </row>
    <row r="154">
      <c r="A154" s="7" t="s">
        <v>352</v>
      </c>
      <c r="B154" s="7" t="s">
        <v>25</v>
      </c>
      <c r="C154" s="7" t="s">
        <v>26</v>
      </c>
      <c r="D154" s="7" t="s">
        <v>58</v>
      </c>
      <c r="E154" s="7">
        <v>25.0</v>
      </c>
      <c r="F154" s="7">
        <v>1998.0</v>
      </c>
      <c r="G154" s="7">
        <v>31.0</v>
      </c>
      <c r="H154" s="7">
        <v>29.0</v>
      </c>
      <c r="I154" s="25">
        <v>2517.0</v>
      </c>
      <c r="J154" s="7">
        <v>28.0</v>
      </c>
      <c r="K154" s="7">
        <v>0.0</v>
      </c>
      <c r="L154" s="7">
        <v>1.0</v>
      </c>
      <c r="M154" s="7">
        <v>1.0</v>
      </c>
      <c r="N154" s="7">
        <v>0.0</v>
      </c>
      <c r="O154" s="7">
        <v>0.0</v>
      </c>
      <c r="P154" s="7">
        <v>0.0</v>
      </c>
      <c r="Q154" s="7">
        <v>7.0</v>
      </c>
      <c r="R154" s="7">
        <v>0.0</v>
      </c>
      <c r="S154" s="7">
        <v>0.0</v>
      </c>
      <c r="T154" s="7">
        <v>0.04</v>
      </c>
      <c r="U154" s="7">
        <v>0.04</v>
      </c>
      <c r="V154" s="7">
        <v>0.0</v>
      </c>
      <c r="W154" s="7">
        <v>0.04</v>
      </c>
      <c r="X154" s="7" t="s">
        <v>683</v>
      </c>
      <c r="Y154" s="7" t="s">
        <v>671</v>
      </c>
      <c r="Z154" s="7">
        <v>0.75</v>
      </c>
      <c r="AA154" s="7" t="str">
        <f t="shared" si="2"/>
        <v>M</v>
      </c>
      <c r="AB154" s="7">
        <f t="shared" si="3"/>
        <v>1.5</v>
      </c>
      <c r="AC154" s="7">
        <f t="shared" si="4"/>
        <v>0.6666666667</v>
      </c>
      <c r="AD154" s="7"/>
      <c r="AE154" s="7"/>
      <c r="AF154" s="24">
        <f t="shared" si="1"/>
        <v>50000</v>
      </c>
    </row>
    <row r="155">
      <c r="A155" s="7" t="s">
        <v>354</v>
      </c>
      <c r="B155" s="7" t="s">
        <v>34</v>
      </c>
      <c r="C155" s="7" t="s">
        <v>87</v>
      </c>
      <c r="D155" s="7" t="s">
        <v>44</v>
      </c>
      <c r="E155" s="7">
        <v>28.0</v>
      </c>
      <c r="F155" s="7">
        <v>1995.0</v>
      </c>
      <c r="G155" s="7">
        <v>29.0</v>
      </c>
      <c r="H155" s="7">
        <v>28.0</v>
      </c>
      <c r="I155" s="25">
        <v>2328.0</v>
      </c>
      <c r="J155" s="7">
        <v>25.9</v>
      </c>
      <c r="K155" s="7">
        <v>3.0</v>
      </c>
      <c r="L155" s="7">
        <v>1.0</v>
      </c>
      <c r="M155" s="7">
        <v>4.0</v>
      </c>
      <c r="N155" s="7">
        <v>1.0</v>
      </c>
      <c r="O155" s="7">
        <v>2.0</v>
      </c>
      <c r="P155" s="7">
        <v>3.0</v>
      </c>
      <c r="Q155" s="7">
        <v>11.0</v>
      </c>
      <c r="R155" s="7">
        <v>0.0</v>
      </c>
      <c r="S155" s="7">
        <v>0.12</v>
      </c>
      <c r="T155" s="7">
        <v>0.04</v>
      </c>
      <c r="U155" s="7">
        <v>0.15</v>
      </c>
      <c r="V155" s="7">
        <v>0.04</v>
      </c>
      <c r="W155" s="7">
        <v>0.08</v>
      </c>
      <c r="X155" s="7" t="s">
        <v>690</v>
      </c>
      <c r="Y155" s="24" t="s">
        <v>701</v>
      </c>
      <c r="Z155" s="7">
        <v>1.1944444444444444</v>
      </c>
      <c r="AA155" s="7" t="str">
        <f t="shared" si="2"/>
        <v>D</v>
      </c>
      <c r="AB155" s="7">
        <f t="shared" si="3"/>
        <v>1.194444444</v>
      </c>
      <c r="AC155" s="7">
        <f t="shared" si="4"/>
        <v>0.8372093023</v>
      </c>
      <c r="AD155" s="7"/>
      <c r="AE155" s="7"/>
      <c r="AF155" s="24">
        <f t="shared" si="1"/>
        <v>86000</v>
      </c>
    </row>
    <row r="156">
      <c r="A156" s="7" t="s">
        <v>356</v>
      </c>
      <c r="B156" s="7" t="s">
        <v>25</v>
      </c>
      <c r="C156" s="7" t="s">
        <v>26</v>
      </c>
      <c r="D156" s="7" t="s">
        <v>52</v>
      </c>
      <c r="E156" s="7">
        <v>23.0</v>
      </c>
      <c r="F156" s="7">
        <v>2001.0</v>
      </c>
      <c r="G156" s="7">
        <v>9.0</v>
      </c>
      <c r="H156" s="7">
        <v>6.0</v>
      </c>
      <c r="I156" s="7">
        <v>492.0</v>
      </c>
      <c r="J156" s="7">
        <v>5.5</v>
      </c>
      <c r="K156" s="7">
        <v>0.0</v>
      </c>
      <c r="L156" s="7">
        <v>0.0</v>
      </c>
      <c r="M156" s="7">
        <v>0.0</v>
      </c>
      <c r="N156" s="7">
        <v>0.0</v>
      </c>
      <c r="O156" s="7">
        <v>0.0</v>
      </c>
      <c r="P156" s="7">
        <v>0.0</v>
      </c>
      <c r="Q156" s="7">
        <v>0.0</v>
      </c>
      <c r="R156" s="7">
        <v>0.0</v>
      </c>
      <c r="S156" s="7">
        <v>0.0</v>
      </c>
      <c r="T156" s="7">
        <v>0.0</v>
      </c>
      <c r="U156" s="7">
        <v>0.0</v>
      </c>
      <c r="V156" s="7">
        <v>0.0</v>
      </c>
      <c r="W156" s="7">
        <v>0.0</v>
      </c>
      <c r="X156" s="7" t="s">
        <v>704</v>
      </c>
      <c r="Y156" s="24" t="s">
        <v>691</v>
      </c>
      <c r="Z156" s="7">
        <v>0.8611111111111112</v>
      </c>
      <c r="AA156" s="7" t="str">
        <f t="shared" si="2"/>
        <v>M</v>
      </c>
      <c r="AB156" s="7">
        <f t="shared" si="3"/>
        <v>1.722222222</v>
      </c>
      <c r="AC156" s="7">
        <f t="shared" si="4"/>
        <v>0.5806451613</v>
      </c>
      <c r="AD156" s="7"/>
      <c r="AE156" s="7"/>
      <c r="AF156" s="24">
        <f t="shared" si="1"/>
        <v>88000</v>
      </c>
    </row>
    <row r="157">
      <c r="A157" s="7" t="s">
        <v>358</v>
      </c>
      <c r="B157" s="7" t="s">
        <v>359</v>
      </c>
      <c r="C157" s="7" t="s">
        <v>77</v>
      </c>
      <c r="D157" s="7" t="s">
        <v>27</v>
      </c>
      <c r="E157" s="7">
        <v>23.0</v>
      </c>
      <c r="F157" s="7">
        <v>2000.0</v>
      </c>
      <c r="G157" s="7">
        <v>12.0</v>
      </c>
      <c r="H157" s="7">
        <v>12.0</v>
      </c>
      <c r="I157" s="25">
        <v>1080.0</v>
      </c>
      <c r="J157" s="7">
        <v>12.0</v>
      </c>
      <c r="K157" s="7">
        <v>0.0</v>
      </c>
      <c r="L157" s="7">
        <v>0.0</v>
      </c>
      <c r="M157" s="7">
        <v>0.0</v>
      </c>
      <c r="N157" s="7">
        <v>0.0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>
        <v>0.0</v>
      </c>
      <c r="W157" s="7">
        <v>0.0</v>
      </c>
      <c r="X157" s="7" t="s">
        <v>688</v>
      </c>
      <c r="Y157" s="7" t="s">
        <v>671</v>
      </c>
      <c r="Z157" s="7">
        <v>1.0277777777777777</v>
      </c>
      <c r="AA157" s="7" t="str">
        <f t="shared" si="2"/>
        <v>D</v>
      </c>
      <c r="AB157" s="7">
        <f t="shared" si="3"/>
        <v>1.027777778</v>
      </c>
      <c r="AC157" s="7">
        <f t="shared" si="4"/>
        <v>0.972972973</v>
      </c>
      <c r="AD157" s="7"/>
      <c r="AE157" s="7"/>
      <c r="AF157" s="24">
        <f t="shared" si="1"/>
        <v>50000</v>
      </c>
    </row>
    <row r="158">
      <c r="A158" s="7" t="s">
        <v>361</v>
      </c>
      <c r="B158" s="7" t="s">
        <v>362</v>
      </c>
      <c r="C158" s="7" t="s">
        <v>35</v>
      </c>
      <c r="D158" s="7" t="s">
        <v>98</v>
      </c>
      <c r="E158" s="7">
        <v>20.0</v>
      </c>
      <c r="F158" s="7">
        <v>2003.0</v>
      </c>
      <c r="G158" s="7">
        <v>4.0</v>
      </c>
      <c r="H158" s="7">
        <v>1.0</v>
      </c>
      <c r="I158" s="7">
        <v>164.0</v>
      </c>
      <c r="J158" s="7">
        <v>1.8</v>
      </c>
      <c r="K158" s="7">
        <v>0.0</v>
      </c>
      <c r="L158" s="7">
        <v>0.0</v>
      </c>
      <c r="M158" s="7">
        <v>0.0</v>
      </c>
      <c r="N158" s="7">
        <v>0.0</v>
      </c>
      <c r="O158" s="7">
        <v>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>
        <v>0.0</v>
      </c>
      <c r="W158" s="7">
        <v>0.0</v>
      </c>
      <c r="X158" s="7" t="s">
        <v>690</v>
      </c>
      <c r="Y158" s="24" t="s">
        <v>703</v>
      </c>
      <c r="Z158" s="7">
        <v>1.3055555555555556</v>
      </c>
      <c r="AA158" s="7" t="str">
        <f t="shared" si="2"/>
        <v>D</v>
      </c>
      <c r="AB158" s="7">
        <f t="shared" si="3"/>
        <v>1.305555556</v>
      </c>
      <c r="AC158" s="7">
        <f t="shared" si="4"/>
        <v>0.7659574468</v>
      </c>
      <c r="AD158" s="7"/>
      <c r="AE158" s="7"/>
      <c r="AF158" s="24">
        <f t="shared" si="1"/>
        <v>39000</v>
      </c>
    </row>
    <row r="159">
      <c r="A159" s="7" t="s">
        <v>364</v>
      </c>
      <c r="B159" s="7" t="s">
        <v>70</v>
      </c>
      <c r="C159" s="7" t="s">
        <v>55</v>
      </c>
      <c r="D159" s="7" t="s">
        <v>80</v>
      </c>
      <c r="E159" s="7">
        <v>19.0</v>
      </c>
      <c r="F159" s="7">
        <v>2004.0</v>
      </c>
      <c r="G159" s="7">
        <v>1.0</v>
      </c>
      <c r="H159" s="7">
        <v>0.0</v>
      </c>
      <c r="I159" s="7">
        <v>16.0</v>
      </c>
      <c r="J159" s="7">
        <v>0.2</v>
      </c>
      <c r="K159" s="7">
        <v>0.0</v>
      </c>
      <c r="L159" s="7">
        <v>0.0</v>
      </c>
      <c r="M159" s="7">
        <v>0.0</v>
      </c>
      <c r="N159" s="7">
        <v>0.0</v>
      </c>
      <c r="O159" s="7">
        <v>0.0</v>
      </c>
      <c r="P159" s="7">
        <v>0.0</v>
      </c>
      <c r="Q159" s="7">
        <v>1.0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 t="s">
        <v>693</v>
      </c>
      <c r="Y159" s="24" t="s">
        <v>677</v>
      </c>
      <c r="Z159" s="7">
        <v>1.3888888888888888</v>
      </c>
      <c r="AA159" s="7" t="str">
        <f t="shared" si="2"/>
        <v>A</v>
      </c>
      <c r="AB159" s="7">
        <f t="shared" si="3"/>
        <v>5.555555556</v>
      </c>
      <c r="AC159" s="7">
        <f t="shared" si="4"/>
        <v>0.18</v>
      </c>
      <c r="AD159" s="7"/>
      <c r="AE159" s="7"/>
      <c r="AF159" s="24">
        <f t="shared" si="1"/>
        <v>19000</v>
      </c>
    </row>
    <row r="160">
      <c r="A160" s="7" t="s">
        <v>366</v>
      </c>
      <c r="B160" s="7" t="s">
        <v>25</v>
      </c>
      <c r="C160" s="7" t="s">
        <v>83</v>
      </c>
      <c r="D160" s="7" t="s">
        <v>31</v>
      </c>
      <c r="E160" s="7">
        <v>22.0</v>
      </c>
      <c r="F160" s="7">
        <v>2001.0</v>
      </c>
      <c r="G160" s="7">
        <v>35.0</v>
      </c>
      <c r="H160" s="7">
        <v>28.0</v>
      </c>
      <c r="I160" s="25">
        <v>2408.0</v>
      </c>
      <c r="J160" s="7">
        <v>26.8</v>
      </c>
      <c r="K160" s="7">
        <v>1.0</v>
      </c>
      <c r="L160" s="7">
        <v>0.0</v>
      </c>
      <c r="M160" s="7">
        <v>1.0</v>
      </c>
      <c r="N160" s="7">
        <v>1.0</v>
      </c>
      <c r="O160" s="7">
        <v>0.0</v>
      </c>
      <c r="P160" s="7">
        <v>0.0</v>
      </c>
      <c r="Q160" s="7">
        <v>8.0</v>
      </c>
      <c r="R160" s="7">
        <v>0.0</v>
      </c>
      <c r="S160" s="7">
        <v>0.04</v>
      </c>
      <c r="T160" s="7">
        <v>0.0</v>
      </c>
      <c r="U160" s="7">
        <v>0.04</v>
      </c>
      <c r="V160" s="7">
        <v>0.04</v>
      </c>
      <c r="W160" s="7">
        <v>0.04</v>
      </c>
      <c r="X160" s="7" t="s">
        <v>722</v>
      </c>
      <c r="Y160" s="7" t="s">
        <v>716</v>
      </c>
      <c r="Z160" s="7">
        <v>0.9722222222222222</v>
      </c>
      <c r="AA160" s="7" t="str">
        <f t="shared" si="2"/>
        <v>D</v>
      </c>
      <c r="AB160" s="7">
        <f t="shared" si="3"/>
        <v>0.9722222222</v>
      </c>
      <c r="AC160" s="7">
        <f t="shared" si="4"/>
        <v>1.028571429</v>
      </c>
      <c r="AD160" s="7"/>
      <c r="AE160" s="7"/>
      <c r="AF160" s="24">
        <f t="shared" si="1"/>
        <v>175000</v>
      </c>
    </row>
    <row r="161">
      <c r="A161" s="7" t="s">
        <v>368</v>
      </c>
      <c r="B161" s="7" t="s">
        <v>34</v>
      </c>
      <c r="C161" s="7" t="s">
        <v>55</v>
      </c>
      <c r="D161" s="7" t="s">
        <v>62</v>
      </c>
      <c r="E161" s="7">
        <v>29.0</v>
      </c>
      <c r="F161" s="7">
        <v>1994.0</v>
      </c>
      <c r="G161" s="7">
        <v>4.0</v>
      </c>
      <c r="H161" s="7">
        <v>0.0</v>
      </c>
      <c r="I161" s="7">
        <v>23.0</v>
      </c>
      <c r="J161" s="7">
        <v>0.3</v>
      </c>
      <c r="K161" s="7">
        <v>0.0</v>
      </c>
      <c r="L161" s="7">
        <v>0.0</v>
      </c>
      <c r="M161" s="7">
        <v>0.0</v>
      </c>
      <c r="N161" s="7">
        <v>0.0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</v>
      </c>
      <c r="U161" s="7">
        <v>0.0</v>
      </c>
      <c r="V161" s="7">
        <v>0.0</v>
      </c>
      <c r="W161" s="7">
        <v>0.0</v>
      </c>
      <c r="X161" s="1" t="s">
        <v>692</v>
      </c>
      <c r="Y161" s="24" t="s">
        <v>703</v>
      </c>
      <c r="Z161" s="7">
        <v>0.8055555555555556</v>
      </c>
      <c r="AA161" s="7" t="str">
        <f t="shared" si="2"/>
        <v>A</v>
      </c>
      <c r="AB161" s="7">
        <f t="shared" si="3"/>
        <v>3.222222222</v>
      </c>
      <c r="AC161" s="7">
        <f t="shared" si="4"/>
        <v>0.3103448276</v>
      </c>
      <c r="AD161" s="7"/>
      <c r="AE161" s="7"/>
      <c r="AF161" s="24">
        <f t="shared" si="1"/>
        <v>39000</v>
      </c>
    </row>
    <row r="162">
      <c r="A162" s="7" t="s">
        <v>370</v>
      </c>
      <c r="B162" s="7" t="s">
        <v>101</v>
      </c>
      <c r="C162" s="7" t="s">
        <v>77</v>
      </c>
      <c r="D162" s="7" t="s">
        <v>44</v>
      </c>
      <c r="E162" s="7">
        <v>24.0</v>
      </c>
      <c r="F162" s="7">
        <v>1999.0</v>
      </c>
      <c r="G162" s="7">
        <v>34.0</v>
      </c>
      <c r="H162" s="7">
        <v>34.0</v>
      </c>
      <c r="I162" s="25">
        <v>3060.0</v>
      </c>
      <c r="J162" s="7">
        <v>34.0</v>
      </c>
      <c r="K162" s="7">
        <v>0.0</v>
      </c>
      <c r="L162" s="7">
        <v>0.0</v>
      </c>
      <c r="M162" s="7">
        <v>0.0</v>
      </c>
      <c r="N162" s="7">
        <v>0.0</v>
      </c>
      <c r="O162" s="7">
        <v>0.0</v>
      </c>
      <c r="P162" s="7">
        <v>0.0</v>
      </c>
      <c r="Q162" s="7">
        <v>1.0</v>
      </c>
      <c r="R162" s="7">
        <v>0.0</v>
      </c>
      <c r="S162" s="7">
        <v>0.0</v>
      </c>
      <c r="T162" s="7">
        <v>0.0</v>
      </c>
      <c r="U162" s="7">
        <v>0.0</v>
      </c>
      <c r="V162" s="7">
        <v>0.0</v>
      </c>
      <c r="W162" s="7">
        <v>0.0</v>
      </c>
      <c r="X162" s="1" t="s">
        <v>692</v>
      </c>
      <c r="Y162" s="24" t="s">
        <v>706</v>
      </c>
      <c r="Z162" s="7">
        <v>1.1944444444444444</v>
      </c>
      <c r="AA162" s="7" t="str">
        <f t="shared" si="2"/>
        <v>D</v>
      </c>
      <c r="AB162" s="7">
        <f t="shared" si="3"/>
        <v>1.194444444</v>
      </c>
      <c r="AC162" s="7">
        <f t="shared" si="4"/>
        <v>0.8372093023</v>
      </c>
      <c r="AD162" s="7"/>
      <c r="AE162" s="7"/>
      <c r="AF162" s="24">
        <f t="shared" si="1"/>
        <v>72000</v>
      </c>
    </row>
    <row r="163">
      <c r="A163" s="7" t="s">
        <v>372</v>
      </c>
      <c r="B163" s="7" t="s">
        <v>101</v>
      </c>
      <c r="C163" s="7" t="s">
        <v>35</v>
      </c>
      <c r="D163" s="7" t="s">
        <v>98</v>
      </c>
      <c r="E163" s="7">
        <v>22.0</v>
      </c>
      <c r="F163" s="7">
        <v>2001.0</v>
      </c>
      <c r="G163" s="7">
        <v>30.0</v>
      </c>
      <c r="H163" s="7">
        <v>26.0</v>
      </c>
      <c r="I163" s="25">
        <v>2301.0</v>
      </c>
      <c r="J163" s="7">
        <v>25.6</v>
      </c>
      <c r="K163" s="7">
        <v>0.0</v>
      </c>
      <c r="L163" s="7">
        <v>0.0</v>
      </c>
      <c r="M163" s="7">
        <v>0.0</v>
      </c>
      <c r="N163" s="7">
        <v>0.0</v>
      </c>
      <c r="O163" s="7">
        <v>0.0</v>
      </c>
      <c r="P163" s="7">
        <v>0.0</v>
      </c>
      <c r="Q163" s="7">
        <v>7.0</v>
      </c>
      <c r="R163" s="7">
        <v>0.0</v>
      </c>
      <c r="S163" s="7">
        <v>0.0</v>
      </c>
      <c r="T163" s="7">
        <v>0.0</v>
      </c>
      <c r="U163" s="7">
        <v>0.0</v>
      </c>
      <c r="V163" s="7">
        <v>0.0</v>
      </c>
      <c r="W163" s="7">
        <v>0.0</v>
      </c>
      <c r="X163" s="7" t="s">
        <v>698</v>
      </c>
      <c r="Y163" s="24" t="s">
        <v>700</v>
      </c>
      <c r="Z163" s="7">
        <v>1.3055555555555556</v>
      </c>
      <c r="AA163" s="7" t="str">
        <f t="shared" si="2"/>
        <v>D</v>
      </c>
      <c r="AB163" s="7">
        <f t="shared" si="3"/>
        <v>1.305555556</v>
      </c>
      <c r="AC163" s="7">
        <f t="shared" si="4"/>
        <v>0.7659574468</v>
      </c>
      <c r="AD163" s="7"/>
      <c r="AE163" s="7"/>
      <c r="AF163" s="24">
        <f t="shared" si="1"/>
        <v>20000</v>
      </c>
    </row>
    <row r="164">
      <c r="A164" s="7" t="s">
        <v>374</v>
      </c>
      <c r="B164" s="7" t="s">
        <v>101</v>
      </c>
      <c r="C164" s="7" t="s">
        <v>26</v>
      </c>
      <c r="D164" s="7" t="s">
        <v>98</v>
      </c>
      <c r="E164" s="7">
        <v>21.0</v>
      </c>
      <c r="F164" s="7">
        <v>2003.0</v>
      </c>
      <c r="G164" s="7">
        <v>1.0</v>
      </c>
      <c r="H164" s="7">
        <v>0.0</v>
      </c>
      <c r="I164" s="7">
        <v>6.0</v>
      </c>
      <c r="J164" s="7">
        <v>0.1</v>
      </c>
      <c r="K164" s="7">
        <v>0.0</v>
      </c>
      <c r="L164" s="7">
        <v>0.0</v>
      </c>
      <c r="M164" s="7">
        <v>0.0</v>
      </c>
      <c r="N164" s="7">
        <v>0.0</v>
      </c>
      <c r="O164" s="7">
        <v>0.0</v>
      </c>
      <c r="P164" s="7">
        <v>0.0</v>
      </c>
      <c r="Q164" s="7">
        <v>1.0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 t="s">
        <v>690</v>
      </c>
      <c r="Y164" s="7" t="s">
        <v>711</v>
      </c>
      <c r="Z164" s="7">
        <v>1.3055555555555556</v>
      </c>
      <c r="AA164" s="7" t="str">
        <f t="shared" si="2"/>
        <v>M</v>
      </c>
      <c r="AB164" s="7">
        <f t="shared" si="3"/>
        <v>2.611111111</v>
      </c>
      <c r="AC164" s="7">
        <f t="shared" si="4"/>
        <v>0.3829787234</v>
      </c>
      <c r="AD164" s="7"/>
      <c r="AE164" s="7"/>
      <c r="AF164" s="24">
        <f t="shared" si="1"/>
        <v>125000</v>
      </c>
    </row>
    <row r="165">
      <c r="A165" s="7" t="s">
        <v>376</v>
      </c>
      <c r="B165" s="7" t="s">
        <v>25</v>
      </c>
      <c r="C165" s="7" t="s">
        <v>30</v>
      </c>
      <c r="D165" s="7" t="s">
        <v>128</v>
      </c>
      <c r="E165" s="7">
        <v>20.0</v>
      </c>
      <c r="F165" s="7">
        <v>2003.0</v>
      </c>
      <c r="G165" s="7">
        <v>26.0</v>
      </c>
      <c r="H165" s="7">
        <v>7.0</v>
      </c>
      <c r="I165" s="7">
        <v>883.0</v>
      </c>
      <c r="J165" s="7">
        <v>9.8</v>
      </c>
      <c r="K165" s="7">
        <v>1.0</v>
      </c>
      <c r="L165" s="7">
        <v>0.0</v>
      </c>
      <c r="M165" s="7">
        <v>1.0</v>
      </c>
      <c r="N165" s="7">
        <v>1.0</v>
      </c>
      <c r="O165" s="7">
        <v>0.0</v>
      </c>
      <c r="P165" s="7">
        <v>0.0</v>
      </c>
      <c r="Q165" s="7">
        <v>3.0</v>
      </c>
      <c r="R165" s="7">
        <v>0.0</v>
      </c>
      <c r="S165" s="7">
        <v>0.1</v>
      </c>
      <c r="T165" s="7">
        <v>0.0</v>
      </c>
      <c r="U165" s="7">
        <v>0.1</v>
      </c>
      <c r="V165" s="7">
        <v>0.1</v>
      </c>
      <c r="W165" s="7">
        <v>0.1</v>
      </c>
      <c r="X165" s="7" t="s">
        <v>696</v>
      </c>
      <c r="Y165" s="24" t="s">
        <v>702</v>
      </c>
      <c r="Z165" s="7">
        <v>1.4166666666666667</v>
      </c>
      <c r="AA165" s="7" t="str">
        <f t="shared" si="2"/>
        <v>M</v>
      </c>
      <c r="AB165" s="7">
        <f t="shared" si="3"/>
        <v>2.833333333</v>
      </c>
      <c r="AC165" s="7">
        <f t="shared" si="4"/>
        <v>0.3529411765</v>
      </c>
      <c r="AD165" s="7"/>
      <c r="AE165" s="7"/>
      <c r="AF165" s="24">
        <f t="shared" si="1"/>
        <v>117000</v>
      </c>
    </row>
    <row r="166">
      <c r="A166" s="7" t="s">
        <v>378</v>
      </c>
      <c r="B166" s="7" t="s">
        <v>25</v>
      </c>
      <c r="C166" s="7" t="s">
        <v>35</v>
      </c>
      <c r="D166" s="7" t="s">
        <v>58</v>
      </c>
      <c r="E166" s="7">
        <v>22.0</v>
      </c>
      <c r="F166" s="7">
        <v>2001.0</v>
      </c>
      <c r="G166" s="7">
        <v>33.0</v>
      </c>
      <c r="H166" s="7">
        <v>22.0</v>
      </c>
      <c r="I166" s="25">
        <v>2156.0</v>
      </c>
      <c r="J166" s="7">
        <v>24.0</v>
      </c>
      <c r="K166" s="7">
        <v>0.0</v>
      </c>
      <c r="L166" s="7">
        <v>0.0</v>
      </c>
      <c r="M166" s="7">
        <v>0.0</v>
      </c>
      <c r="N166" s="7">
        <v>0.0</v>
      </c>
      <c r="O166" s="7">
        <v>0.0</v>
      </c>
      <c r="P166" s="7">
        <v>0.0</v>
      </c>
      <c r="Q166" s="7">
        <v>3.0</v>
      </c>
      <c r="R166" s="7">
        <v>0.0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 t="s">
        <v>690</v>
      </c>
      <c r="Y166" s="24" t="s">
        <v>691</v>
      </c>
      <c r="Z166" s="7">
        <v>0.75</v>
      </c>
      <c r="AA166" s="7" t="str">
        <f t="shared" si="2"/>
        <v>D</v>
      </c>
      <c r="AB166" s="7">
        <f t="shared" si="3"/>
        <v>0.75</v>
      </c>
      <c r="AC166" s="7">
        <f t="shared" si="4"/>
        <v>1.333333333</v>
      </c>
      <c r="AD166" s="7"/>
      <c r="AE166" s="7"/>
      <c r="AF166" s="24">
        <f t="shared" si="1"/>
        <v>88000</v>
      </c>
    </row>
    <row r="167">
      <c r="A167" s="7" t="s">
        <v>380</v>
      </c>
      <c r="B167" s="7" t="s">
        <v>25</v>
      </c>
      <c r="C167" s="7" t="s">
        <v>47</v>
      </c>
      <c r="D167" s="7" t="s">
        <v>62</v>
      </c>
      <c r="E167" s="7">
        <v>24.0</v>
      </c>
      <c r="F167" s="7">
        <v>1999.0</v>
      </c>
      <c r="G167" s="7">
        <v>30.0</v>
      </c>
      <c r="H167" s="7">
        <v>21.0</v>
      </c>
      <c r="I167" s="25">
        <v>1678.0</v>
      </c>
      <c r="J167" s="7">
        <v>18.6</v>
      </c>
      <c r="K167" s="7">
        <v>0.0</v>
      </c>
      <c r="L167" s="7">
        <v>4.0</v>
      </c>
      <c r="M167" s="7">
        <v>4.0</v>
      </c>
      <c r="N167" s="7">
        <v>0.0</v>
      </c>
      <c r="O167" s="7">
        <v>0.0</v>
      </c>
      <c r="P167" s="7">
        <v>0.0</v>
      </c>
      <c r="Q167" s="7">
        <v>4.0</v>
      </c>
      <c r="R167" s="7">
        <v>1.0</v>
      </c>
      <c r="S167" s="7">
        <v>0.0</v>
      </c>
      <c r="T167" s="7">
        <v>0.21</v>
      </c>
      <c r="U167" s="7">
        <v>0.21</v>
      </c>
      <c r="V167" s="7">
        <v>0.0</v>
      </c>
      <c r="W167" s="7">
        <v>0.21</v>
      </c>
      <c r="X167" s="7" t="s">
        <v>690</v>
      </c>
      <c r="Y167" s="24" t="s">
        <v>708</v>
      </c>
      <c r="Z167" s="7">
        <v>0.8055555555555556</v>
      </c>
      <c r="AA167" s="7" t="str">
        <f t="shared" si="2"/>
        <v>M</v>
      </c>
      <c r="AB167" s="7">
        <f t="shared" si="3"/>
        <v>1.611111111</v>
      </c>
      <c r="AC167" s="7">
        <f t="shared" si="4"/>
        <v>0.6206896552</v>
      </c>
      <c r="AD167" s="7"/>
      <c r="AE167" s="7"/>
      <c r="AF167" s="24">
        <f t="shared" si="1"/>
        <v>52000</v>
      </c>
    </row>
    <row r="168">
      <c r="A168" s="7" t="s">
        <v>382</v>
      </c>
      <c r="B168" s="7" t="s">
        <v>25</v>
      </c>
      <c r="C168" s="7" t="s">
        <v>26</v>
      </c>
      <c r="D168" s="7" t="s">
        <v>58</v>
      </c>
      <c r="E168" s="7">
        <v>33.0</v>
      </c>
      <c r="F168" s="7">
        <v>1990.0</v>
      </c>
      <c r="G168" s="7">
        <v>2.0</v>
      </c>
      <c r="H168" s="7">
        <v>0.0</v>
      </c>
      <c r="I168" s="7">
        <v>18.0</v>
      </c>
      <c r="J168" s="7">
        <v>0.2</v>
      </c>
      <c r="K168" s="7">
        <v>0.0</v>
      </c>
      <c r="L168" s="7">
        <v>0.0</v>
      </c>
      <c r="M168" s="7">
        <v>0.0</v>
      </c>
      <c r="N168" s="7">
        <v>0.0</v>
      </c>
      <c r="O168" s="7">
        <v>0.0</v>
      </c>
      <c r="P168" s="7">
        <v>0.0</v>
      </c>
      <c r="Q168" s="7">
        <v>1.0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 t="s">
        <v>727</v>
      </c>
      <c r="Y168" s="7" t="s">
        <v>687</v>
      </c>
      <c r="Z168" s="7">
        <v>0.75</v>
      </c>
      <c r="AA168" s="7" t="str">
        <f t="shared" si="2"/>
        <v>M</v>
      </c>
      <c r="AB168" s="7">
        <f t="shared" si="3"/>
        <v>1.5</v>
      </c>
      <c r="AC168" s="7">
        <f t="shared" si="4"/>
        <v>0.6666666667</v>
      </c>
      <c r="AD168" s="7"/>
      <c r="AE168" s="7"/>
      <c r="AF168" s="24">
        <f t="shared" si="1"/>
        <v>25000</v>
      </c>
    </row>
    <row r="169">
      <c r="A169" s="7" t="s">
        <v>384</v>
      </c>
      <c r="B169" s="7" t="s">
        <v>25</v>
      </c>
      <c r="C169" s="7" t="s">
        <v>47</v>
      </c>
      <c r="D169" s="7" t="s">
        <v>27</v>
      </c>
      <c r="E169" s="7">
        <v>21.0</v>
      </c>
      <c r="F169" s="7">
        <v>2002.0</v>
      </c>
      <c r="G169" s="7">
        <v>33.0</v>
      </c>
      <c r="H169" s="7">
        <v>20.0</v>
      </c>
      <c r="I169" s="25">
        <v>1875.0</v>
      </c>
      <c r="J169" s="7">
        <v>20.8</v>
      </c>
      <c r="K169" s="7">
        <v>0.0</v>
      </c>
      <c r="L169" s="7">
        <v>1.0</v>
      </c>
      <c r="M169" s="7">
        <v>1.0</v>
      </c>
      <c r="N169" s="7">
        <v>0.0</v>
      </c>
      <c r="O169" s="7">
        <v>0.0</v>
      </c>
      <c r="P169" s="7">
        <v>0.0</v>
      </c>
      <c r="Q169" s="7">
        <v>2.0</v>
      </c>
      <c r="R169" s="7">
        <v>0.0</v>
      </c>
      <c r="S169" s="7">
        <v>0.0</v>
      </c>
      <c r="T169" s="7">
        <v>0.05</v>
      </c>
      <c r="U169" s="7">
        <v>0.05</v>
      </c>
      <c r="V169" s="7">
        <v>0.0</v>
      </c>
      <c r="W169" s="7">
        <v>0.05</v>
      </c>
      <c r="X169" s="7" t="s">
        <v>676</v>
      </c>
      <c r="Y169" s="7" t="s">
        <v>707</v>
      </c>
      <c r="Z169" s="7">
        <v>1.0277777777777777</v>
      </c>
      <c r="AA169" s="7" t="str">
        <f t="shared" si="2"/>
        <v>M</v>
      </c>
      <c r="AB169" s="7">
        <f t="shared" si="3"/>
        <v>2.055555556</v>
      </c>
      <c r="AC169" s="7">
        <f t="shared" si="4"/>
        <v>0.4864864865</v>
      </c>
      <c r="AD169" s="7"/>
      <c r="AE169" s="7"/>
      <c r="AF169" s="24">
        <f t="shared" si="1"/>
        <v>150000</v>
      </c>
    </row>
    <row r="170">
      <c r="A170" s="7" t="s">
        <v>386</v>
      </c>
      <c r="B170" s="7" t="s">
        <v>70</v>
      </c>
      <c r="C170" s="7" t="s">
        <v>35</v>
      </c>
      <c r="D170" s="7" t="s">
        <v>27</v>
      </c>
      <c r="E170" s="7">
        <v>23.0</v>
      </c>
      <c r="F170" s="7">
        <v>2000.0</v>
      </c>
      <c r="G170" s="7">
        <v>8.0</v>
      </c>
      <c r="H170" s="7">
        <v>4.0</v>
      </c>
      <c r="I170" s="7">
        <v>406.0</v>
      </c>
      <c r="J170" s="7">
        <v>4.5</v>
      </c>
      <c r="K170" s="7">
        <v>0.0</v>
      </c>
      <c r="L170" s="7">
        <v>0.0</v>
      </c>
      <c r="M170" s="7">
        <v>0.0</v>
      </c>
      <c r="N170" s="7">
        <v>0.0</v>
      </c>
      <c r="O170" s="7">
        <v>0.0</v>
      </c>
      <c r="P170" s="7">
        <v>0.0</v>
      </c>
      <c r="Q170" s="7">
        <v>0.0</v>
      </c>
      <c r="R170" s="7">
        <v>0.0</v>
      </c>
      <c r="S170" s="7">
        <v>0.0</v>
      </c>
      <c r="T170" s="7">
        <v>0.0</v>
      </c>
      <c r="U170" s="7">
        <v>0.0</v>
      </c>
      <c r="V170" s="7">
        <v>0.0</v>
      </c>
      <c r="W170" s="7">
        <v>0.0</v>
      </c>
      <c r="X170" s="7" t="s">
        <v>723</v>
      </c>
      <c r="Y170" s="7" t="s">
        <v>695</v>
      </c>
      <c r="Z170" s="7">
        <v>1.0277777777777777</v>
      </c>
      <c r="AA170" s="7" t="str">
        <f t="shared" si="2"/>
        <v>D</v>
      </c>
      <c r="AB170" s="7">
        <f t="shared" si="3"/>
        <v>1.027777778</v>
      </c>
      <c r="AC170" s="7">
        <f t="shared" si="4"/>
        <v>0.972972973</v>
      </c>
      <c r="AD170" s="7"/>
      <c r="AE170" s="7"/>
      <c r="AF170" s="24">
        <f t="shared" si="1"/>
        <v>75000</v>
      </c>
    </row>
    <row r="171">
      <c r="A171" s="7" t="s">
        <v>388</v>
      </c>
      <c r="B171" s="7" t="s">
        <v>25</v>
      </c>
      <c r="C171" s="7" t="s">
        <v>35</v>
      </c>
      <c r="D171" s="7" t="s">
        <v>62</v>
      </c>
      <c r="E171" s="7">
        <v>25.0</v>
      </c>
      <c r="F171" s="7">
        <v>1998.0</v>
      </c>
      <c r="G171" s="7">
        <v>35.0</v>
      </c>
      <c r="H171" s="7">
        <v>35.0</v>
      </c>
      <c r="I171" s="25">
        <v>3111.0</v>
      </c>
      <c r="J171" s="7">
        <v>34.6</v>
      </c>
      <c r="K171" s="7">
        <v>1.0</v>
      </c>
      <c r="L171" s="7">
        <v>0.0</v>
      </c>
      <c r="M171" s="7">
        <v>1.0</v>
      </c>
      <c r="N171" s="7">
        <v>1.0</v>
      </c>
      <c r="O171" s="7">
        <v>0.0</v>
      </c>
      <c r="P171" s="7">
        <v>0.0</v>
      </c>
      <c r="Q171" s="7">
        <v>4.0</v>
      </c>
      <c r="R171" s="7">
        <v>0.0</v>
      </c>
      <c r="S171" s="7">
        <v>0.03</v>
      </c>
      <c r="T171" s="7">
        <v>0.0</v>
      </c>
      <c r="U171" s="7">
        <v>0.03</v>
      </c>
      <c r="V171" s="7">
        <v>0.03</v>
      </c>
      <c r="W171" s="7">
        <v>0.03</v>
      </c>
      <c r="X171" s="7" t="s">
        <v>712</v>
      </c>
      <c r="Y171" s="7" t="s">
        <v>668</v>
      </c>
      <c r="Z171" s="7">
        <v>0.8055555555555556</v>
      </c>
      <c r="AA171" s="7" t="str">
        <f t="shared" si="2"/>
        <v>D</v>
      </c>
      <c r="AB171" s="7">
        <f t="shared" si="3"/>
        <v>0.8055555556</v>
      </c>
      <c r="AC171" s="7">
        <f t="shared" si="4"/>
        <v>1.24137931</v>
      </c>
      <c r="AD171" s="7"/>
      <c r="AE171" s="7"/>
      <c r="AF171" s="24">
        <f t="shared" si="1"/>
        <v>100000</v>
      </c>
    </row>
    <row r="172">
      <c r="A172" s="7" t="s">
        <v>390</v>
      </c>
      <c r="B172" s="7" t="s">
        <v>25</v>
      </c>
      <c r="C172" s="7" t="s">
        <v>55</v>
      </c>
      <c r="D172" s="7" t="s">
        <v>36</v>
      </c>
      <c r="E172" s="7">
        <v>18.0</v>
      </c>
      <c r="F172" s="7">
        <v>2005.0</v>
      </c>
      <c r="G172" s="7">
        <v>15.0</v>
      </c>
      <c r="H172" s="7">
        <v>0.0</v>
      </c>
      <c r="I172" s="7">
        <v>231.0</v>
      </c>
      <c r="J172" s="7">
        <v>2.6</v>
      </c>
      <c r="K172" s="7">
        <v>0.0</v>
      </c>
      <c r="L172" s="7">
        <v>0.0</v>
      </c>
      <c r="M172" s="7">
        <v>0.0</v>
      </c>
      <c r="N172" s="7">
        <v>0.0</v>
      </c>
      <c r="O172" s="7">
        <v>0.0</v>
      </c>
      <c r="P172" s="7">
        <v>0.0</v>
      </c>
      <c r="Q172" s="7">
        <v>1.0</v>
      </c>
      <c r="R172" s="7">
        <v>0.0</v>
      </c>
      <c r="S172" s="7">
        <v>0.0</v>
      </c>
      <c r="T172" s="7">
        <v>0.0</v>
      </c>
      <c r="U172" s="7">
        <v>0.0</v>
      </c>
      <c r="V172" s="7">
        <v>0.0</v>
      </c>
      <c r="W172" s="7">
        <v>0.0</v>
      </c>
      <c r="X172" s="7" t="s">
        <v>690</v>
      </c>
      <c r="Y172" s="24" t="s">
        <v>700</v>
      </c>
      <c r="Z172" s="7">
        <v>1.6111111111111112</v>
      </c>
      <c r="AA172" s="7" t="str">
        <f t="shared" si="2"/>
        <v>A</v>
      </c>
      <c r="AB172" s="7">
        <f t="shared" si="3"/>
        <v>6.444444444</v>
      </c>
      <c r="AC172" s="7">
        <f t="shared" si="4"/>
        <v>0.1551724138</v>
      </c>
      <c r="AD172" s="7"/>
      <c r="AE172" s="7"/>
      <c r="AF172" s="24">
        <f t="shared" si="1"/>
        <v>20000</v>
      </c>
    </row>
    <row r="173">
      <c r="A173" s="7" t="s">
        <v>392</v>
      </c>
      <c r="B173" s="7" t="s">
        <v>393</v>
      </c>
      <c r="C173" s="7" t="s">
        <v>87</v>
      </c>
      <c r="D173" s="7" t="s">
        <v>80</v>
      </c>
      <c r="E173" s="7">
        <v>24.0</v>
      </c>
      <c r="F173" s="7">
        <v>2000.0</v>
      </c>
      <c r="G173" s="7">
        <v>14.0</v>
      </c>
      <c r="H173" s="7">
        <v>9.0</v>
      </c>
      <c r="I173" s="7">
        <v>836.0</v>
      </c>
      <c r="J173" s="7">
        <v>9.3</v>
      </c>
      <c r="K173" s="7">
        <v>0.0</v>
      </c>
      <c r="L173" s="7">
        <v>0.0</v>
      </c>
      <c r="M173" s="7">
        <v>0.0</v>
      </c>
      <c r="N173" s="7">
        <v>0.0</v>
      </c>
      <c r="O173" s="7">
        <v>0.0</v>
      </c>
      <c r="P173" s="7">
        <v>0.0</v>
      </c>
      <c r="Q173" s="7">
        <v>3.0</v>
      </c>
      <c r="R173" s="7">
        <v>0.0</v>
      </c>
      <c r="S173" s="7">
        <v>0.0</v>
      </c>
      <c r="T173" s="7">
        <v>0.0</v>
      </c>
      <c r="U173" s="7">
        <v>0.0</v>
      </c>
      <c r="V173" s="7">
        <v>0.0</v>
      </c>
      <c r="W173" s="7">
        <v>0.0</v>
      </c>
      <c r="X173" s="7" t="s">
        <v>688</v>
      </c>
      <c r="Y173" s="24" t="s">
        <v>708</v>
      </c>
      <c r="Z173" s="7">
        <v>1.3888888888888888</v>
      </c>
      <c r="AA173" s="7" t="str">
        <f t="shared" si="2"/>
        <v>D</v>
      </c>
      <c r="AB173" s="7">
        <f t="shared" si="3"/>
        <v>1.388888889</v>
      </c>
      <c r="AC173" s="7">
        <f t="shared" si="4"/>
        <v>0.72</v>
      </c>
      <c r="AD173" s="7"/>
      <c r="AE173" s="7"/>
      <c r="AF173" s="24">
        <f t="shared" si="1"/>
        <v>52000</v>
      </c>
    </row>
    <row r="174">
      <c r="A174" s="7" t="s">
        <v>395</v>
      </c>
      <c r="B174" s="7" t="s">
        <v>25</v>
      </c>
      <c r="C174" s="7" t="s">
        <v>26</v>
      </c>
      <c r="D174" s="7" t="s">
        <v>62</v>
      </c>
      <c r="E174" s="7">
        <v>17.0</v>
      </c>
      <c r="F174" s="7">
        <v>2007.0</v>
      </c>
      <c r="G174" s="7">
        <v>1.0</v>
      </c>
      <c r="H174" s="7">
        <v>0.0</v>
      </c>
      <c r="I174" s="7">
        <v>1.0</v>
      </c>
      <c r="J174" s="7">
        <v>0.0</v>
      </c>
      <c r="K174" s="7">
        <v>0.0</v>
      </c>
      <c r="L174" s="7">
        <v>0.0</v>
      </c>
      <c r="M174" s="7">
        <v>0.0</v>
      </c>
      <c r="N174" s="7">
        <v>0.0</v>
      </c>
      <c r="O174" s="7">
        <v>0.0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  <c r="V174" s="7">
        <v>0.0</v>
      </c>
      <c r="W174" s="7">
        <v>0.0</v>
      </c>
      <c r="X174" s="7" t="s">
        <v>718</v>
      </c>
      <c r="Y174" s="24" t="s">
        <v>677</v>
      </c>
      <c r="Z174" s="7">
        <v>0.8055555555555556</v>
      </c>
      <c r="AA174" s="7" t="str">
        <f t="shared" si="2"/>
        <v>M</v>
      </c>
      <c r="AB174" s="7">
        <f t="shared" si="3"/>
        <v>1.611111111</v>
      </c>
      <c r="AC174" s="7">
        <f t="shared" si="4"/>
        <v>0.6206896552</v>
      </c>
      <c r="AD174" s="7"/>
      <c r="AE174" s="7"/>
      <c r="AF174" s="24">
        <f t="shared" si="1"/>
        <v>19000</v>
      </c>
    </row>
    <row r="175">
      <c r="A175" s="7" t="s">
        <v>397</v>
      </c>
      <c r="B175" s="7" t="s">
        <v>25</v>
      </c>
      <c r="C175" s="7" t="s">
        <v>26</v>
      </c>
      <c r="D175" s="7" t="s">
        <v>128</v>
      </c>
      <c r="E175" s="7">
        <v>16.0</v>
      </c>
      <c r="F175" s="7">
        <v>2008.0</v>
      </c>
      <c r="G175" s="7">
        <v>5.0</v>
      </c>
      <c r="H175" s="7">
        <v>0.0</v>
      </c>
      <c r="I175" s="7">
        <v>39.0</v>
      </c>
      <c r="J175" s="7">
        <v>0.4</v>
      </c>
      <c r="K175" s="7">
        <v>0.0</v>
      </c>
      <c r="L175" s="7">
        <v>0.0</v>
      </c>
      <c r="M175" s="7">
        <v>0.0</v>
      </c>
      <c r="N175" s="7">
        <v>0.0</v>
      </c>
      <c r="O175" s="7">
        <v>0.0</v>
      </c>
      <c r="P175" s="7">
        <v>0.0</v>
      </c>
      <c r="Q175" s="7">
        <v>1.0</v>
      </c>
      <c r="R175" s="7">
        <v>0.0</v>
      </c>
      <c r="S175" s="7">
        <v>0.0</v>
      </c>
      <c r="T175" s="7">
        <v>0.0</v>
      </c>
      <c r="U175" s="7">
        <v>0.0</v>
      </c>
      <c r="V175" s="7">
        <v>0.0</v>
      </c>
      <c r="W175" s="7">
        <v>0.0</v>
      </c>
      <c r="X175" s="7" t="s">
        <v>673</v>
      </c>
      <c r="Y175" s="7" t="s">
        <v>695</v>
      </c>
      <c r="Z175" s="7">
        <v>1.4166666666666667</v>
      </c>
      <c r="AA175" s="7" t="str">
        <f t="shared" si="2"/>
        <v>M</v>
      </c>
      <c r="AB175" s="7">
        <f t="shared" si="3"/>
        <v>2.833333333</v>
      </c>
      <c r="AC175" s="7">
        <f t="shared" si="4"/>
        <v>0.3529411765</v>
      </c>
      <c r="AD175" s="7"/>
      <c r="AE175" s="7"/>
      <c r="AF175" s="24">
        <f t="shared" si="1"/>
        <v>75000</v>
      </c>
    </row>
    <row r="176">
      <c r="A176" s="7" t="s">
        <v>399</v>
      </c>
      <c r="B176" s="7" t="s">
        <v>25</v>
      </c>
      <c r="C176" s="7" t="s">
        <v>35</v>
      </c>
      <c r="D176" s="7" t="s">
        <v>31</v>
      </c>
      <c r="E176" s="7">
        <v>31.0</v>
      </c>
      <c r="F176" s="7">
        <v>1992.0</v>
      </c>
      <c r="G176" s="7">
        <v>18.0</v>
      </c>
      <c r="H176" s="7">
        <v>15.0</v>
      </c>
      <c r="I176" s="25">
        <v>1360.0</v>
      </c>
      <c r="J176" s="7">
        <v>15.1</v>
      </c>
      <c r="K176" s="7">
        <v>0.0</v>
      </c>
      <c r="L176" s="7">
        <v>0.0</v>
      </c>
      <c r="M176" s="7">
        <v>0.0</v>
      </c>
      <c r="N176" s="7">
        <v>0.0</v>
      </c>
      <c r="O176" s="7">
        <v>0.0</v>
      </c>
      <c r="P176" s="7">
        <v>0.0</v>
      </c>
      <c r="Q176" s="7">
        <v>5.0</v>
      </c>
      <c r="R176" s="7">
        <v>1.0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 t="s">
        <v>683</v>
      </c>
      <c r="Y176" s="7" t="s">
        <v>686</v>
      </c>
      <c r="Z176" s="7">
        <v>0.9722222222222222</v>
      </c>
      <c r="AA176" s="7" t="str">
        <f t="shared" si="2"/>
        <v>D</v>
      </c>
      <c r="AB176" s="7">
        <f t="shared" si="3"/>
        <v>0.9722222222</v>
      </c>
      <c r="AC176" s="7">
        <f t="shared" si="4"/>
        <v>1.028571429</v>
      </c>
      <c r="AD176" s="7"/>
      <c r="AE176" s="7"/>
      <c r="AF176" s="24">
        <f t="shared" si="1"/>
        <v>600000</v>
      </c>
    </row>
    <row r="177">
      <c r="A177" s="7" t="s">
        <v>401</v>
      </c>
      <c r="B177" s="7" t="s">
        <v>25</v>
      </c>
      <c r="C177" s="7" t="s">
        <v>77</v>
      </c>
      <c r="D177" s="7" t="s">
        <v>31</v>
      </c>
      <c r="E177" s="7">
        <v>31.0</v>
      </c>
      <c r="F177" s="7">
        <v>1993.0</v>
      </c>
      <c r="G177" s="7">
        <v>1.0</v>
      </c>
      <c r="H177" s="7">
        <v>1.0</v>
      </c>
      <c r="I177" s="7">
        <v>90.0</v>
      </c>
      <c r="J177" s="7">
        <v>1.0</v>
      </c>
      <c r="K177" s="7">
        <v>0.0</v>
      </c>
      <c r="L177" s="7">
        <v>0.0</v>
      </c>
      <c r="M177" s="7">
        <v>0.0</v>
      </c>
      <c r="N177" s="7">
        <v>0.0</v>
      </c>
      <c r="O177" s="7">
        <v>0.0</v>
      </c>
      <c r="P177" s="7">
        <v>0.0</v>
      </c>
      <c r="Q177" s="7">
        <v>1.0</v>
      </c>
      <c r="R177" s="7">
        <v>0.0</v>
      </c>
      <c r="S177" s="7">
        <v>0.0</v>
      </c>
      <c r="T177" s="7">
        <v>0.0</v>
      </c>
      <c r="U177" s="7">
        <v>0.0</v>
      </c>
      <c r="V177" s="7">
        <v>0.0</v>
      </c>
      <c r="W177" s="7">
        <v>0.0</v>
      </c>
      <c r="X177" s="7" t="s">
        <v>685</v>
      </c>
      <c r="Y177" s="24" t="s">
        <v>697</v>
      </c>
      <c r="Z177" s="7">
        <v>0.9722222222222222</v>
      </c>
      <c r="AA177" s="7" t="str">
        <f t="shared" si="2"/>
        <v>D</v>
      </c>
      <c r="AB177" s="7">
        <f t="shared" si="3"/>
        <v>0.9722222222</v>
      </c>
      <c r="AC177" s="7">
        <f t="shared" si="4"/>
        <v>1.028571429</v>
      </c>
      <c r="AD177" s="7"/>
      <c r="AE177" s="7"/>
      <c r="AF177" s="24">
        <f t="shared" si="1"/>
        <v>65000</v>
      </c>
    </row>
    <row r="178">
      <c r="A178" s="7" t="s">
        <v>403</v>
      </c>
      <c r="B178" s="7" t="s">
        <v>25</v>
      </c>
      <c r="C178" s="7" t="s">
        <v>83</v>
      </c>
      <c r="D178" s="7" t="s">
        <v>44</v>
      </c>
      <c r="E178" s="7">
        <v>20.0</v>
      </c>
      <c r="F178" s="7">
        <v>2003.0</v>
      </c>
      <c r="G178" s="7">
        <v>7.0</v>
      </c>
      <c r="H178" s="7">
        <v>6.0</v>
      </c>
      <c r="I178" s="7">
        <v>528.0</v>
      </c>
      <c r="J178" s="7">
        <v>5.9</v>
      </c>
      <c r="K178" s="7">
        <v>0.0</v>
      </c>
      <c r="L178" s="7">
        <v>0.0</v>
      </c>
      <c r="M178" s="7">
        <v>0.0</v>
      </c>
      <c r="N178" s="7">
        <v>0.0</v>
      </c>
      <c r="O178" s="7">
        <v>0.0</v>
      </c>
      <c r="P178" s="7">
        <v>0.0</v>
      </c>
      <c r="Q178" s="7">
        <v>4.0</v>
      </c>
      <c r="R178" s="7">
        <v>1.0</v>
      </c>
      <c r="S178" s="7">
        <v>0.0</v>
      </c>
      <c r="T178" s="7">
        <v>0.0</v>
      </c>
      <c r="U178" s="7">
        <v>0.0</v>
      </c>
      <c r="V178" s="7">
        <v>0.0</v>
      </c>
      <c r="W178" s="7">
        <v>0.0</v>
      </c>
      <c r="X178" s="7" t="s">
        <v>690</v>
      </c>
      <c r="Y178" s="24" t="s">
        <v>702</v>
      </c>
      <c r="Z178" s="7">
        <v>1.1944444444444444</v>
      </c>
      <c r="AA178" s="7" t="str">
        <f t="shared" si="2"/>
        <v>D</v>
      </c>
      <c r="AB178" s="7">
        <f t="shared" si="3"/>
        <v>1.194444444</v>
      </c>
      <c r="AC178" s="7">
        <f t="shared" si="4"/>
        <v>0.8372093023</v>
      </c>
      <c r="AD178" s="7"/>
      <c r="AE178" s="7"/>
      <c r="AF178" s="24">
        <f t="shared" si="1"/>
        <v>117000</v>
      </c>
    </row>
    <row r="179">
      <c r="A179" s="7" t="s">
        <v>405</v>
      </c>
      <c r="B179" s="7" t="s">
        <v>25</v>
      </c>
      <c r="C179" s="7" t="s">
        <v>55</v>
      </c>
      <c r="D179" s="7" t="s">
        <v>62</v>
      </c>
      <c r="E179" s="7">
        <v>21.0</v>
      </c>
      <c r="F179" s="7">
        <v>2002.0</v>
      </c>
      <c r="G179" s="7">
        <v>9.0</v>
      </c>
      <c r="H179" s="7">
        <v>0.0</v>
      </c>
      <c r="I179" s="7">
        <v>90.0</v>
      </c>
      <c r="J179" s="7">
        <v>1.0</v>
      </c>
      <c r="K179" s="7">
        <v>0.0</v>
      </c>
      <c r="L179" s="7">
        <v>0.0</v>
      </c>
      <c r="M179" s="7">
        <v>0.0</v>
      </c>
      <c r="N179" s="7">
        <v>0.0</v>
      </c>
      <c r="O179" s="7">
        <v>0.0</v>
      </c>
      <c r="P179" s="7">
        <v>0.0</v>
      </c>
      <c r="Q179" s="7">
        <v>0.0</v>
      </c>
      <c r="R179" s="7">
        <v>0.0</v>
      </c>
      <c r="S179" s="7">
        <v>0.0</v>
      </c>
      <c r="T179" s="7">
        <v>0.0</v>
      </c>
      <c r="U179" s="7">
        <v>0.0</v>
      </c>
      <c r="V179" s="7">
        <v>0.0</v>
      </c>
      <c r="W179" s="7">
        <v>0.0</v>
      </c>
      <c r="X179" s="7" t="s">
        <v>685</v>
      </c>
      <c r="Y179" s="24" t="s">
        <v>706</v>
      </c>
      <c r="Z179" s="7">
        <v>0.8055555555555556</v>
      </c>
      <c r="AA179" s="7" t="str">
        <f t="shared" si="2"/>
        <v>A</v>
      </c>
      <c r="AB179" s="7">
        <f t="shared" si="3"/>
        <v>3.222222222</v>
      </c>
      <c r="AC179" s="7">
        <f t="shared" si="4"/>
        <v>0.3103448276</v>
      </c>
      <c r="AD179" s="7"/>
      <c r="AE179" s="7"/>
      <c r="AF179" s="24">
        <f t="shared" si="1"/>
        <v>72000</v>
      </c>
    </row>
    <row r="180">
      <c r="A180" s="7" t="s">
        <v>407</v>
      </c>
      <c r="B180" s="7" t="s">
        <v>250</v>
      </c>
      <c r="C180" s="7" t="s">
        <v>77</v>
      </c>
      <c r="D180" s="7" t="s">
        <v>31</v>
      </c>
      <c r="E180" s="7">
        <v>26.0</v>
      </c>
      <c r="F180" s="7">
        <v>1997.0</v>
      </c>
      <c r="G180" s="7">
        <v>35.0</v>
      </c>
      <c r="H180" s="7">
        <v>35.0</v>
      </c>
      <c r="I180" s="25">
        <v>3150.0</v>
      </c>
      <c r="J180" s="7">
        <v>35.0</v>
      </c>
      <c r="K180" s="7">
        <v>0.0</v>
      </c>
      <c r="L180" s="7">
        <v>0.0</v>
      </c>
      <c r="M180" s="7">
        <v>0.0</v>
      </c>
      <c r="N180" s="7">
        <v>0.0</v>
      </c>
      <c r="O180" s="7">
        <v>0.0</v>
      </c>
      <c r="P180" s="7">
        <v>0.0</v>
      </c>
      <c r="Q180" s="7">
        <v>4.0</v>
      </c>
      <c r="R180" s="7">
        <v>0.0</v>
      </c>
      <c r="S180" s="7">
        <v>0.0</v>
      </c>
      <c r="T180" s="7">
        <v>0.0</v>
      </c>
      <c r="U180" s="7">
        <v>0.0</v>
      </c>
      <c r="V180" s="7">
        <v>0.0</v>
      </c>
      <c r="W180" s="7">
        <v>0.0</v>
      </c>
      <c r="X180" s="7" t="s">
        <v>693</v>
      </c>
      <c r="Y180" s="7" t="s">
        <v>716</v>
      </c>
      <c r="Z180" s="7">
        <v>0.9722222222222222</v>
      </c>
      <c r="AA180" s="7" t="str">
        <f t="shared" si="2"/>
        <v>D</v>
      </c>
      <c r="AB180" s="7">
        <f t="shared" si="3"/>
        <v>0.9722222222</v>
      </c>
      <c r="AC180" s="7">
        <f t="shared" si="4"/>
        <v>1.028571429</v>
      </c>
      <c r="AD180" s="7"/>
      <c r="AE180" s="7"/>
      <c r="AF180" s="24">
        <f t="shared" si="1"/>
        <v>175000</v>
      </c>
    </row>
    <row r="181">
      <c r="A181" s="7" t="s">
        <v>409</v>
      </c>
      <c r="B181" s="7" t="s">
        <v>25</v>
      </c>
      <c r="C181" s="7" t="s">
        <v>35</v>
      </c>
      <c r="D181" s="7" t="s">
        <v>58</v>
      </c>
      <c r="E181" s="7">
        <v>18.0</v>
      </c>
      <c r="F181" s="7">
        <v>2005.0</v>
      </c>
      <c r="G181" s="7">
        <v>2.0</v>
      </c>
      <c r="H181" s="7">
        <v>1.0</v>
      </c>
      <c r="I181" s="7">
        <v>60.0</v>
      </c>
      <c r="J181" s="7">
        <v>0.7</v>
      </c>
      <c r="K181" s="7">
        <v>0.0</v>
      </c>
      <c r="L181" s="7">
        <v>0.0</v>
      </c>
      <c r="M181" s="7">
        <v>0.0</v>
      </c>
      <c r="N181" s="7">
        <v>0.0</v>
      </c>
      <c r="O181" s="7">
        <v>0.0</v>
      </c>
      <c r="P181" s="7">
        <v>0.0</v>
      </c>
      <c r="Q181" s="7">
        <v>0.0</v>
      </c>
      <c r="R181" s="7">
        <v>0.0</v>
      </c>
      <c r="S181" s="7">
        <v>0.0</v>
      </c>
      <c r="T181" s="7">
        <v>0.0</v>
      </c>
      <c r="U181" s="7">
        <v>0.0</v>
      </c>
      <c r="V181" s="7">
        <v>0.0</v>
      </c>
      <c r="W181" s="7">
        <v>0.0</v>
      </c>
      <c r="X181" s="7" t="s">
        <v>712</v>
      </c>
      <c r="Y181" s="24" t="s">
        <v>691</v>
      </c>
      <c r="Z181" s="7">
        <v>0.75</v>
      </c>
      <c r="AA181" s="7" t="str">
        <f t="shared" si="2"/>
        <v>D</v>
      </c>
      <c r="AB181" s="7">
        <f t="shared" si="3"/>
        <v>0.75</v>
      </c>
      <c r="AC181" s="7">
        <f t="shared" si="4"/>
        <v>1.333333333</v>
      </c>
      <c r="AD181" s="7"/>
      <c r="AE181" s="7"/>
      <c r="AF181" s="24">
        <f t="shared" si="1"/>
        <v>88000</v>
      </c>
    </row>
    <row r="182">
      <c r="A182" s="7" t="s">
        <v>411</v>
      </c>
      <c r="B182" s="7" t="s">
        <v>70</v>
      </c>
      <c r="C182" s="7" t="s">
        <v>47</v>
      </c>
      <c r="D182" s="7" t="s">
        <v>58</v>
      </c>
      <c r="E182" s="7">
        <v>24.0</v>
      </c>
      <c r="F182" s="7">
        <v>1999.0</v>
      </c>
      <c r="G182" s="7">
        <v>31.0</v>
      </c>
      <c r="H182" s="7">
        <v>22.0</v>
      </c>
      <c r="I182" s="25">
        <v>1982.0</v>
      </c>
      <c r="J182" s="7">
        <v>22.0</v>
      </c>
      <c r="K182" s="7">
        <v>2.0</v>
      </c>
      <c r="L182" s="7">
        <v>1.0</v>
      </c>
      <c r="M182" s="7">
        <v>3.0</v>
      </c>
      <c r="N182" s="7">
        <v>2.0</v>
      </c>
      <c r="O182" s="7">
        <v>0.0</v>
      </c>
      <c r="P182" s="7">
        <v>0.0</v>
      </c>
      <c r="Q182" s="7">
        <v>5.0</v>
      </c>
      <c r="R182" s="7">
        <v>0.0</v>
      </c>
      <c r="S182" s="7">
        <v>0.09</v>
      </c>
      <c r="T182" s="7">
        <v>0.05</v>
      </c>
      <c r="U182" s="7">
        <v>0.14</v>
      </c>
      <c r="V182" s="7">
        <v>0.09</v>
      </c>
      <c r="W182" s="7">
        <v>0.14</v>
      </c>
      <c r="X182" s="7" t="s">
        <v>690</v>
      </c>
      <c r="Y182" s="7" t="s">
        <v>689</v>
      </c>
      <c r="Z182" s="7">
        <v>0.75</v>
      </c>
      <c r="AA182" s="7" t="str">
        <f t="shared" si="2"/>
        <v>M</v>
      </c>
      <c r="AB182" s="7">
        <f t="shared" si="3"/>
        <v>1.5</v>
      </c>
      <c r="AC182" s="7">
        <f t="shared" si="4"/>
        <v>0.6666666667</v>
      </c>
      <c r="AD182" s="7"/>
      <c r="AE182" s="7"/>
      <c r="AF182" s="24">
        <f t="shared" si="1"/>
        <v>350000</v>
      </c>
    </row>
    <row r="183">
      <c r="A183" s="7" t="s">
        <v>413</v>
      </c>
      <c r="B183" s="7" t="s">
        <v>70</v>
      </c>
      <c r="C183" s="7" t="s">
        <v>35</v>
      </c>
      <c r="D183" s="7" t="s">
        <v>44</v>
      </c>
      <c r="E183" s="7">
        <v>27.0</v>
      </c>
      <c r="F183" s="7">
        <v>1996.0</v>
      </c>
      <c r="G183" s="7">
        <v>9.0</v>
      </c>
      <c r="H183" s="7">
        <v>8.0</v>
      </c>
      <c r="I183" s="7">
        <v>732.0</v>
      </c>
      <c r="J183" s="7">
        <v>8.1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7">
        <v>0.0</v>
      </c>
      <c r="Q183" s="7">
        <v>1.0</v>
      </c>
      <c r="R183" s="7">
        <v>0.0</v>
      </c>
      <c r="S183" s="7">
        <v>0.0</v>
      </c>
      <c r="T183" s="7">
        <v>0.0</v>
      </c>
      <c r="U183" s="7">
        <v>0.0</v>
      </c>
      <c r="V183" s="7">
        <v>0.0</v>
      </c>
      <c r="W183" s="7">
        <v>0.0</v>
      </c>
      <c r="X183" s="7" t="s">
        <v>688</v>
      </c>
      <c r="Y183" s="7" t="s">
        <v>671</v>
      </c>
      <c r="Z183" s="7">
        <v>1.1944444444444444</v>
      </c>
      <c r="AA183" s="7" t="str">
        <f t="shared" si="2"/>
        <v>D</v>
      </c>
      <c r="AB183" s="7">
        <f t="shared" si="3"/>
        <v>1.194444444</v>
      </c>
      <c r="AC183" s="7">
        <f t="shared" si="4"/>
        <v>0.8372093023</v>
      </c>
      <c r="AD183" s="7"/>
      <c r="AE183" s="7"/>
      <c r="AF183" s="24">
        <f t="shared" si="1"/>
        <v>50000</v>
      </c>
    </row>
    <row r="184">
      <c r="A184" s="7" t="s">
        <v>415</v>
      </c>
      <c r="B184" s="7" t="s">
        <v>416</v>
      </c>
      <c r="C184" s="7" t="s">
        <v>35</v>
      </c>
      <c r="D184" s="7" t="s">
        <v>80</v>
      </c>
      <c r="E184" s="7">
        <v>23.0</v>
      </c>
      <c r="F184" s="7">
        <v>2000.0</v>
      </c>
      <c r="G184" s="7">
        <v>5.0</v>
      </c>
      <c r="H184" s="7">
        <v>3.0</v>
      </c>
      <c r="I184" s="7">
        <v>353.0</v>
      </c>
      <c r="J184" s="7">
        <v>3.9</v>
      </c>
      <c r="K184" s="7">
        <v>0.0</v>
      </c>
      <c r="L184" s="7">
        <v>0.0</v>
      </c>
      <c r="M184" s="7">
        <v>0.0</v>
      </c>
      <c r="N184" s="7">
        <v>0.0</v>
      </c>
      <c r="O184" s="7">
        <v>0.0</v>
      </c>
      <c r="P184" s="7">
        <v>0.0</v>
      </c>
      <c r="Q184" s="7">
        <v>2.0</v>
      </c>
      <c r="R184" s="7">
        <v>0.0</v>
      </c>
      <c r="S184" s="7">
        <v>0.0</v>
      </c>
      <c r="T184" s="7">
        <v>0.0</v>
      </c>
      <c r="U184" s="7">
        <v>0.0</v>
      </c>
      <c r="V184" s="7">
        <v>0.0</v>
      </c>
      <c r="W184" s="7">
        <v>0.0</v>
      </c>
      <c r="X184" s="1" t="s">
        <v>692</v>
      </c>
      <c r="Y184" s="24" t="s">
        <v>708</v>
      </c>
      <c r="Z184" s="7">
        <v>1.3888888888888888</v>
      </c>
      <c r="AA184" s="7" t="str">
        <f t="shared" si="2"/>
        <v>D</v>
      </c>
      <c r="AB184" s="7">
        <f t="shared" si="3"/>
        <v>1.388888889</v>
      </c>
      <c r="AC184" s="7">
        <f t="shared" si="4"/>
        <v>0.72</v>
      </c>
      <c r="AD184" s="7"/>
      <c r="AE184" s="7"/>
      <c r="AF184" s="24">
        <f t="shared" si="1"/>
        <v>52000</v>
      </c>
    </row>
    <row r="185">
      <c r="A185" s="7" t="s">
        <v>418</v>
      </c>
      <c r="B185" s="7" t="s">
        <v>34</v>
      </c>
      <c r="C185" s="7" t="s">
        <v>77</v>
      </c>
      <c r="D185" s="7" t="s">
        <v>98</v>
      </c>
      <c r="E185" s="7">
        <v>25.0</v>
      </c>
      <c r="F185" s="7">
        <v>1998.0</v>
      </c>
      <c r="G185" s="7">
        <v>6.0</v>
      </c>
      <c r="H185" s="7">
        <v>6.0</v>
      </c>
      <c r="I185" s="7">
        <v>540.0</v>
      </c>
      <c r="J185" s="7">
        <v>6.0</v>
      </c>
      <c r="K185" s="7">
        <v>0.0</v>
      </c>
      <c r="L185" s="7">
        <v>0.0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  <c r="U185" s="7">
        <v>0.0</v>
      </c>
      <c r="V185" s="7">
        <v>0.0</v>
      </c>
      <c r="W185" s="7">
        <v>0.0</v>
      </c>
      <c r="X185" s="7" t="s">
        <v>693</v>
      </c>
      <c r="Y185" s="7" t="s">
        <v>721</v>
      </c>
      <c r="Z185" s="7">
        <v>1.3055555555555556</v>
      </c>
      <c r="AA185" s="7" t="str">
        <f t="shared" si="2"/>
        <v>D</v>
      </c>
      <c r="AB185" s="7">
        <f t="shared" si="3"/>
        <v>1.305555556</v>
      </c>
      <c r="AC185" s="7">
        <f t="shared" si="4"/>
        <v>0.7659574468</v>
      </c>
      <c r="AD185" s="7"/>
      <c r="AE185" s="7"/>
      <c r="AF185" s="24">
        <f t="shared" si="1"/>
        <v>250000</v>
      </c>
    </row>
    <row r="186">
      <c r="A186" s="7" t="s">
        <v>420</v>
      </c>
      <c r="B186" s="7" t="s">
        <v>43</v>
      </c>
      <c r="C186" s="7" t="s">
        <v>77</v>
      </c>
      <c r="D186" s="7" t="s">
        <v>36</v>
      </c>
      <c r="E186" s="7">
        <v>27.0</v>
      </c>
      <c r="F186" s="7">
        <v>1996.0</v>
      </c>
      <c r="G186" s="7">
        <v>12.0</v>
      </c>
      <c r="H186" s="7">
        <v>12.0</v>
      </c>
      <c r="I186" s="25">
        <v>1035.0</v>
      </c>
      <c r="J186" s="7">
        <v>11.5</v>
      </c>
      <c r="K186" s="7">
        <v>0.0</v>
      </c>
      <c r="L186" s="7">
        <v>0.0</v>
      </c>
      <c r="M186" s="7">
        <v>0.0</v>
      </c>
      <c r="N186" s="7">
        <v>0.0</v>
      </c>
      <c r="O186" s="7">
        <v>0.0</v>
      </c>
      <c r="P186" s="7">
        <v>0.0</v>
      </c>
      <c r="Q186" s="7">
        <v>3.0</v>
      </c>
      <c r="R186" s="7">
        <v>0.0</v>
      </c>
      <c r="S186" s="7">
        <v>0.0</v>
      </c>
      <c r="T186" s="7">
        <v>0.0</v>
      </c>
      <c r="U186" s="7">
        <v>0.0</v>
      </c>
      <c r="V186" s="7">
        <v>0.0</v>
      </c>
      <c r="W186" s="7">
        <v>0.0</v>
      </c>
      <c r="X186" s="1" t="s">
        <v>692</v>
      </c>
      <c r="Y186" s="24" t="s">
        <v>702</v>
      </c>
      <c r="Z186" s="7">
        <v>1.6111111111111112</v>
      </c>
      <c r="AA186" s="7" t="str">
        <f t="shared" si="2"/>
        <v>D</v>
      </c>
      <c r="AB186" s="7">
        <f t="shared" si="3"/>
        <v>1.611111111</v>
      </c>
      <c r="AC186" s="7">
        <f t="shared" si="4"/>
        <v>0.6206896552</v>
      </c>
      <c r="AD186" s="7"/>
      <c r="AE186" s="7"/>
      <c r="AF186" s="24">
        <f t="shared" si="1"/>
        <v>117000</v>
      </c>
    </row>
    <row r="187">
      <c r="A187" s="7" t="s">
        <v>422</v>
      </c>
      <c r="B187" s="7" t="s">
        <v>25</v>
      </c>
      <c r="C187" s="7" t="s">
        <v>83</v>
      </c>
      <c r="D187" s="7" t="s">
        <v>36</v>
      </c>
      <c r="E187" s="7">
        <v>24.0</v>
      </c>
      <c r="F187" s="7">
        <v>1999.0</v>
      </c>
      <c r="G187" s="7">
        <v>30.0</v>
      </c>
      <c r="H187" s="7">
        <v>28.0</v>
      </c>
      <c r="I187" s="25">
        <v>2351.0</v>
      </c>
      <c r="J187" s="7">
        <v>26.1</v>
      </c>
      <c r="K187" s="7">
        <v>0.0</v>
      </c>
      <c r="L187" s="7">
        <v>1.0</v>
      </c>
      <c r="M187" s="7">
        <v>1.0</v>
      </c>
      <c r="N187" s="7">
        <v>0.0</v>
      </c>
      <c r="O187" s="7">
        <v>0.0</v>
      </c>
      <c r="P187" s="7">
        <v>0.0</v>
      </c>
      <c r="Q187" s="7">
        <v>7.0</v>
      </c>
      <c r="R187" s="7">
        <v>2.0</v>
      </c>
      <c r="S187" s="7">
        <v>0.0</v>
      </c>
      <c r="T187" s="7">
        <v>0.04</v>
      </c>
      <c r="U187" s="7">
        <v>0.04</v>
      </c>
      <c r="V187" s="7">
        <v>0.0</v>
      </c>
      <c r="W187" s="7">
        <v>0.04</v>
      </c>
      <c r="X187" s="7" t="s">
        <v>715</v>
      </c>
      <c r="Y187" s="7" t="s">
        <v>728</v>
      </c>
      <c r="Z187" s="7">
        <v>1.6111111111111112</v>
      </c>
      <c r="AA187" s="7" t="str">
        <f t="shared" si="2"/>
        <v>D</v>
      </c>
      <c r="AB187" s="7">
        <f t="shared" si="3"/>
        <v>1.611111111</v>
      </c>
      <c r="AC187" s="7">
        <f t="shared" si="4"/>
        <v>0.6206896552</v>
      </c>
      <c r="AD187" s="7"/>
      <c r="AE187" s="7"/>
      <c r="AF187" s="24">
        <f t="shared" si="1"/>
        <v>325000</v>
      </c>
    </row>
    <row r="188">
      <c r="A188" s="7" t="s">
        <v>424</v>
      </c>
      <c r="B188" s="7" t="s">
        <v>34</v>
      </c>
      <c r="C188" s="7" t="s">
        <v>35</v>
      </c>
      <c r="D188" s="7" t="s">
        <v>44</v>
      </c>
      <c r="E188" s="7">
        <v>20.0</v>
      </c>
      <c r="F188" s="7">
        <v>2003.0</v>
      </c>
      <c r="G188" s="7">
        <v>10.0</v>
      </c>
      <c r="H188" s="7">
        <v>8.0</v>
      </c>
      <c r="I188" s="7">
        <v>727.0</v>
      </c>
      <c r="J188" s="7">
        <v>8.1</v>
      </c>
      <c r="K188" s="7">
        <v>0.0</v>
      </c>
      <c r="L188" s="7">
        <v>1.0</v>
      </c>
      <c r="M188" s="7">
        <v>1.0</v>
      </c>
      <c r="N188" s="7">
        <v>0.0</v>
      </c>
      <c r="O188" s="7">
        <v>0.0</v>
      </c>
      <c r="P188" s="7">
        <v>0.0</v>
      </c>
      <c r="Q188" s="7">
        <v>0.0</v>
      </c>
      <c r="R188" s="7">
        <v>0.0</v>
      </c>
      <c r="S188" s="7">
        <v>0.0</v>
      </c>
      <c r="T188" s="7">
        <v>0.12</v>
      </c>
      <c r="U188" s="7">
        <v>0.12</v>
      </c>
      <c r="V188" s="7">
        <v>0.0</v>
      </c>
      <c r="W188" s="7">
        <v>0.12</v>
      </c>
      <c r="X188" s="1" t="s">
        <v>692</v>
      </c>
      <c r="Y188" s="24" t="s">
        <v>691</v>
      </c>
      <c r="Z188" s="7">
        <v>1.1944444444444444</v>
      </c>
      <c r="AA188" s="7" t="str">
        <f t="shared" si="2"/>
        <v>D</v>
      </c>
      <c r="AB188" s="7">
        <f t="shared" si="3"/>
        <v>1.194444444</v>
      </c>
      <c r="AC188" s="7">
        <f t="shared" si="4"/>
        <v>0.8372093023</v>
      </c>
      <c r="AD188" s="7"/>
      <c r="AE188" s="7"/>
      <c r="AF188" s="24">
        <f t="shared" si="1"/>
        <v>88000</v>
      </c>
    </row>
    <row r="189">
      <c r="A189" s="7" t="s">
        <v>426</v>
      </c>
      <c r="B189" s="7" t="s">
        <v>25</v>
      </c>
      <c r="C189" s="7" t="s">
        <v>35</v>
      </c>
      <c r="D189" s="7" t="s">
        <v>80</v>
      </c>
      <c r="E189" s="7">
        <v>16.0</v>
      </c>
      <c r="F189" s="7">
        <v>2007.0</v>
      </c>
      <c r="G189" s="7">
        <v>2.0</v>
      </c>
      <c r="H189" s="7">
        <v>0.0</v>
      </c>
      <c r="I189" s="7">
        <v>31.0</v>
      </c>
      <c r="J189" s="7">
        <v>0.3</v>
      </c>
      <c r="K189" s="7">
        <v>0.0</v>
      </c>
      <c r="L189" s="7">
        <v>0.0</v>
      </c>
      <c r="M189" s="7">
        <v>0.0</v>
      </c>
      <c r="N189" s="7">
        <v>0.0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 t="s">
        <v>688</v>
      </c>
      <c r="Y189" s="24" t="s">
        <v>677</v>
      </c>
      <c r="Z189" s="7">
        <v>1.3888888888888888</v>
      </c>
      <c r="AA189" s="7" t="str">
        <f t="shared" si="2"/>
        <v>D</v>
      </c>
      <c r="AB189" s="7">
        <f t="shared" si="3"/>
        <v>1.388888889</v>
      </c>
      <c r="AC189" s="7">
        <f t="shared" si="4"/>
        <v>0.72</v>
      </c>
      <c r="AD189" s="7"/>
      <c r="AE189" s="7"/>
      <c r="AF189" s="24">
        <f t="shared" si="1"/>
        <v>19000</v>
      </c>
    </row>
    <row r="190">
      <c r="A190" s="7" t="s">
        <v>428</v>
      </c>
      <c r="B190" s="7" t="s">
        <v>25</v>
      </c>
      <c r="C190" s="7" t="s">
        <v>30</v>
      </c>
      <c r="D190" s="7" t="s">
        <v>128</v>
      </c>
      <c r="E190" s="7">
        <v>19.0</v>
      </c>
      <c r="F190" s="7">
        <v>2004.0</v>
      </c>
      <c r="G190" s="7">
        <v>11.0</v>
      </c>
      <c r="H190" s="7">
        <v>4.0</v>
      </c>
      <c r="I190" s="7">
        <v>464.0</v>
      </c>
      <c r="J190" s="7">
        <v>5.2</v>
      </c>
      <c r="K190" s="7">
        <v>2.0</v>
      </c>
      <c r="L190" s="7">
        <v>0.0</v>
      </c>
      <c r="M190" s="7">
        <v>2.0</v>
      </c>
      <c r="N190" s="7">
        <v>2.0</v>
      </c>
      <c r="O190" s="7">
        <v>0.0</v>
      </c>
      <c r="P190" s="7">
        <v>0.0</v>
      </c>
      <c r="Q190" s="7">
        <v>3.0</v>
      </c>
      <c r="R190" s="7">
        <v>1.0</v>
      </c>
      <c r="S190" s="7">
        <v>0.39</v>
      </c>
      <c r="T190" s="7">
        <v>0.0</v>
      </c>
      <c r="U190" s="7">
        <v>0.39</v>
      </c>
      <c r="V190" s="7">
        <v>0.39</v>
      </c>
      <c r="W190" s="7">
        <v>0.39</v>
      </c>
      <c r="X190" s="1" t="s">
        <v>692</v>
      </c>
      <c r="Y190" s="24" t="s">
        <v>691</v>
      </c>
      <c r="Z190" s="7">
        <v>1.4166666666666667</v>
      </c>
      <c r="AA190" s="7" t="str">
        <f t="shared" si="2"/>
        <v>M</v>
      </c>
      <c r="AB190" s="7">
        <f t="shared" si="3"/>
        <v>2.833333333</v>
      </c>
      <c r="AC190" s="7">
        <f t="shared" si="4"/>
        <v>0.3529411765</v>
      </c>
      <c r="AD190" s="7"/>
      <c r="AE190" s="7"/>
      <c r="AF190" s="24">
        <f t="shared" si="1"/>
        <v>88000</v>
      </c>
    </row>
    <row r="191">
      <c r="A191" s="7" t="s">
        <v>430</v>
      </c>
      <c r="B191" s="7" t="s">
        <v>25</v>
      </c>
      <c r="C191" s="7" t="s">
        <v>35</v>
      </c>
      <c r="D191" s="7" t="s">
        <v>27</v>
      </c>
      <c r="E191" s="7">
        <v>21.0</v>
      </c>
      <c r="F191" s="7">
        <v>2002.0</v>
      </c>
      <c r="G191" s="7">
        <v>28.0</v>
      </c>
      <c r="H191" s="7">
        <v>25.0</v>
      </c>
      <c r="I191" s="25">
        <v>2205.0</v>
      </c>
      <c r="J191" s="7">
        <v>24.5</v>
      </c>
      <c r="K191" s="7">
        <v>3.0</v>
      </c>
      <c r="L191" s="7">
        <v>0.0</v>
      </c>
      <c r="M191" s="7">
        <v>3.0</v>
      </c>
      <c r="N191" s="7">
        <v>3.0</v>
      </c>
      <c r="O191" s="7">
        <v>0.0</v>
      </c>
      <c r="P191" s="7">
        <v>0.0</v>
      </c>
      <c r="Q191" s="7">
        <v>4.0</v>
      </c>
      <c r="R191" s="7">
        <v>0.0</v>
      </c>
      <c r="S191" s="7">
        <v>0.12</v>
      </c>
      <c r="T191" s="7">
        <v>0.0</v>
      </c>
      <c r="U191" s="7">
        <v>0.12</v>
      </c>
      <c r="V191" s="7">
        <v>0.12</v>
      </c>
      <c r="W191" s="7">
        <v>0.12</v>
      </c>
      <c r="X191" s="7" t="s">
        <v>685</v>
      </c>
      <c r="Y191" s="7" t="s">
        <v>707</v>
      </c>
      <c r="Z191" s="7">
        <v>1.0277777777777777</v>
      </c>
      <c r="AA191" s="7" t="str">
        <f t="shared" si="2"/>
        <v>D</v>
      </c>
      <c r="AB191" s="7">
        <f t="shared" si="3"/>
        <v>1.027777778</v>
      </c>
      <c r="AC191" s="7">
        <f t="shared" si="4"/>
        <v>0.972972973</v>
      </c>
      <c r="AD191" s="7"/>
      <c r="AE191" s="7"/>
      <c r="AF191" s="24">
        <f t="shared" si="1"/>
        <v>150000</v>
      </c>
    </row>
    <row r="192">
      <c r="A192" s="7" t="s">
        <v>432</v>
      </c>
      <c r="B192" s="7" t="s">
        <v>34</v>
      </c>
      <c r="C192" s="7" t="s">
        <v>26</v>
      </c>
      <c r="D192" s="7" t="s">
        <v>98</v>
      </c>
      <c r="E192" s="7">
        <v>21.0</v>
      </c>
      <c r="F192" s="7">
        <v>2002.0</v>
      </c>
      <c r="G192" s="7">
        <v>17.0</v>
      </c>
      <c r="H192" s="7">
        <v>14.0</v>
      </c>
      <c r="I192" s="25">
        <v>1114.0</v>
      </c>
      <c r="J192" s="7">
        <v>12.4</v>
      </c>
      <c r="K192" s="7">
        <v>6.0</v>
      </c>
      <c r="L192" s="7">
        <v>1.0</v>
      </c>
      <c r="M192" s="7">
        <v>7.0</v>
      </c>
      <c r="N192" s="7">
        <v>6.0</v>
      </c>
      <c r="O192" s="7">
        <v>0.0</v>
      </c>
      <c r="P192" s="7">
        <v>0.0</v>
      </c>
      <c r="Q192" s="7">
        <v>3.0</v>
      </c>
      <c r="R192" s="7">
        <v>0.0</v>
      </c>
      <c r="S192" s="7">
        <v>0.48</v>
      </c>
      <c r="T192" s="7">
        <v>0.08</v>
      </c>
      <c r="U192" s="7">
        <v>0.57</v>
      </c>
      <c r="V192" s="7">
        <v>0.48</v>
      </c>
      <c r="W192" s="7">
        <v>0.57</v>
      </c>
      <c r="X192" s="1" t="s">
        <v>692</v>
      </c>
      <c r="Y192" s="24" t="s">
        <v>703</v>
      </c>
      <c r="Z192" s="7">
        <v>1.3055555555555556</v>
      </c>
      <c r="AA192" s="7" t="str">
        <f t="shared" si="2"/>
        <v>M</v>
      </c>
      <c r="AB192" s="7">
        <f t="shared" si="3"/>
        <v>2.611111111</v>
      </c>
      <c r="AC192" s="7">
        <f t="shared" si="4"/>
        <v>0.3829787234</v>
      </c>
      <c r="AD192" s="7"/>
      <c r="AE192" s="7"/>
      <c r="AF192" s="24">
        <f t="shared" si="1"/>
        <v>39000</v>
      </c>
    </row>
    <row r="193">
      <c r="A193" s="7" t="s">
        <v>434</v>
      </c>
      <c r="B193" s="7" t="s">
        <v>70</v>
      </c>
      <c r="C193" s="7" t="s">
        <v>30</v>
      </c>
      <c r="D193" s="7" t="s">
        <v>31</v>
      </c>
      <c r="E193" s="7">
        <v>31.0</v>
      </c>
      <c r="F193" s="7">
        <v>1992.0</v>
      </c>
      <c r="G193" s="7">
        <v>10.0</v>
      </c>
      <c r="H193" s="7">
        <v>5.0</v>
      </c>
      <c r="I193" s="7">
        <v>427.0</v>
      </c>
      <c r="J193" s="7">
        <v>4.7</v>
      </c>
      <c r="K193" s="7">
        <v>1.0</v>
      </c>
      <c r="L193" s="7">
        <v>0.0</v>
      </c>
      <c r="M193" s="7">
        <v>1.0</v>
      </c>
      <c r="N193" s="7">
        <v>1.0</v>
      </c>
      <c r="O193" s="7">
        <v>0.0</v>
      </c>
      <c r="P193" s="7">
        <v>0.0</v>
      </c>
      <c r="Q193" s="7">
        <v>1.0</v>
      </c>
      <c r="R193" s="7">
        <v>0.0</v>
      </c>
      <c r="S193" s="7">
        <v>0.21</v>
      </c>
      <c r="T193" s="7">
        <v>0.0</v>
      </c>
      <c r="U193" s="7">
        <v>0.21</v>
      </c>
      <c r="V193" s="7">
        <v>0.21</v>
      </c>
      <c r="W193" s="7">
        <v>0.21</v>
      </c>
      <c r="X193" s="7" t="s">
        <v>729</v>
      </c>
      <c r="Y193" s="24" t="s">
        <v>701</v>
      </c>
      <c r="Z193" s="7">
        <v>0.9722222222222222</v>
      </c>
      <c r="AA193" s="7" t="str">
        <f t="shared" si="2"/>
        <v>M</v>
      </c>
      <c r="AB193" s="7">
        <f t="shared" si="3"/>
        <v>1.944444444</v>
      </c>
      <c r="AC193" s="7">
        <f t="shared" si="4"/>
        <v>0.5142857143</v>
      </c>
      <c r="AD193" s="7"/>
      <c r="AE193" s="7"/>
      <c r="AF193" s="24">
        <f t="shared" si="1"/>
        <v>86000</v>
      </c>
    </row>
    <row r="194">
      <c r="A194" s="7" t="s">
        <v>436</v>
      </c>
      <c r="B194" s="7" t="s">
        <v>437</v>
      </c>
      <c r="C194" s="7" t="s">
        <v>77</v>
      </c>
      <c r="D194" s="7" t="s">
        <v>27</v>
      </c>
      <c r="E194" s="7">
        <v>21.0</v>
      </c>
      <c r="F194" s="7">
        <v>2002.0</v>
      </c>
      <c r="G194" s="7">
        <v>4.0</v>
      </c>
      <c r="H194" s="7">
        <v>4.0</v>
      </c>
      <c r="I194" s="7">
        <v>360.0</v>
      </c>
      <c r="J194" s="7">
        <v>4.0</v>
      </c>
      <c r="K194" s="7">
        <v>0.0</v>
      </c>
      <c r="L194" s="7">
        <v>0.0</v>
      </c>
      <c r="M194" s="7">
        <v>0.0</v>
      </c>
      <c r="N194" s="7">
        <v>0.0</v>
      </c>
      <c r="O194" s="7">
        <v>0.0</v>
      </c>
      <c r="P194" s="7">
        <v>0.0</v>
      </c>
      <c r="Q194" s="7">
        <v>2.0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 t="s">
        <v>685</v>
      </c>
      <c r="Y194" s="7" t="s">
        <v>716</v>
      </c>
      <c r="Z194" s="7">
        <v>1.0277777777777777</v>
      </c>
      <c r="AA194" s="7" t="str">
        <f t="shared" si="2"/>
        <v>D</v>
      </c>
      <c r="AB194" s="7">
        <f t="shared" si="3"/>
        <v>1.027777778</v>
      </c>
      <c r="AC194" s="7">
        <f t="shared" si="4"/>
        <v>0.972972973</v>
      </c>
      <c r="AD194" s="7"/>
      <c r="AE194" s="7"/>
      <c r="AF194" s="24">
        <f t="shared" si="1"/>
        <v>175000</v>
      </c>
    </row>
    <row r="195">
      <c r="A195" s="7" t="s">
        <v>439</v>
      </c>
      <c r="B195" s="7" t="s">
        <v>25</v>
      </c>
      <c r="C195" s="7" t="s">
        <v>35</v>
      </c>
      <c r="D195" s="7" t="s">
        <v>52</v>
      </c>
      <c r="E195" s="7">
        <v>32.0</v>
      </c>
      <c r="F195" s="7">
        <v>1991.0</v>
      </c>
      <c r="G195" s="7">
        <v>32.0</v>
      </c>
      <c r="H195" s="7">
        <v>32.0</v>
      </c>
      <c r="I195" s="25">
        <v>2766.0</v>
      </c>
      <c r="J195" s="7">
        <v>30.7</v>
      </c>
      <c r="K195" s="7">
        <v>1.0</v>
      </c>
      <c r="L195" s="7">
        <v>2.0</v>
      </c>
      <c r="M195" s="7">
        <v>3.0</v>
      </c>
      <c r="N195" s="7">
        <v>1.0</v>
      </c>
      <c r="O195" s="7">
        <v>0.0</v>
      </c>
      <c r="P195" s="7">
        <v>0.0</v>
      </c>
      <c r="Q195" s="7">
        <v>10.0</v>
      </c>
      <c r="R195" s="7">
        <v>0.0</v>
      </c>
      <c r="S195" s="7">
        <v>0.03</v>
      </c>
      <c r="T195" s="7">
        <v>0.07</v>
      </c>
      <c r="U195" s="7">
        <v>0.1</v>
      </c>
      <c r="V195" s="7">
        <v>0.03</v>
      </c>
      <c r="W195" s="7">
        <v>0.1</v>
      </c>
      <c r="X195" s="7" t="s">
        <v>717</v>
      </c>
      <c r="Y195" s="7" t="s">
        <v>716</v>
      </c>
      <c r="Z195" s="7">
        <v>0.8611111111111112</v>
      </c>
      <c r="AA195" s="7" t="str">
        <f t="shared" si="2"/>
        <v>D</v>
      </c>
      <c r="AB195" s="7">
        <f t="shared" si="3"/>
        <v>0.8611111111</v>
      </c>
      <c r="AC195" s="7">
        <f t="shared" si="4"/>
        <v>1.161290323</v>
      </c>
      <c r="AD195" s="7"/>
      <c r="AE195" s="7"/>
      <c r="AF195" s="24">
        <f t="shared" si="1"/>
        <v>175000</v>
      </c>
    </row>
    <row r="196">
      <c r="A196" s="7" t="s">
        <v>441</v>
      </c>
      <c r="B196" s="7" t="s">
        <v>25</v>
      </c>
      <c r="C196" s="7" t="s">
        <v>26</v>
      </c>
      <c r="D196" s="7" t="s">
        <v>58</v>
      </c>
      <c r="E196" s="7">
        <v>26.0</v>
      </c>
      <c r="F196" s="7">
        <v>1997.0</v>
      </c>
      <c r="G196" s="7">
        <v>31.0</v>
      </c>
      <c r="H196" s="7">
        <v>31.0</v>
      </c>
      <c r="I196" s="25">
        <v>2510.0</v>
      </c>
      <c r="J196" s="7">
        <v>27.9</v>
      </c>
      <c r="K196" s="7">
        <v>2.0</v>
      </c>
      <c r="L196" s="7">
        <v>1.0</v>
      </c>
      <c r="M196" s="7">
        <v>3.0</v>
      </c>
      <c r="N196" s="7">
        <v>2.0</v>
      </c>
      <c r="O196" s="7">
        <v>0.0</v>
      </c>
      <c r="P196" s="7">
        <v>0.0</v>
      </c>
      <c r="Q196" s="7">
        <v>15.0</v>
      </c>
      <c r="R196" s="7">
        <v>0.0</v>
      </c>
      <c r="S196" s="7">
        <v>0.07</v>
      </c>
      <c r="T196" s="7">
        <v>0.04</v>
      </c>
      <c r="U196" s="7">
        <v>0.11</v>
      </c>
      <c r="V196" s="7">
        <v>0.07</v>
      </c>
      <c r="W196" s="7">
        <v>0.11</v>
      </c>
      <c r="X196" s="7" t="s">
        <v>719</v>
      </c>
      <c r="Y196" s="7" t="s">
        <v>707</v>
      </c>
      <c r="Z196" s="7">
        <v>0.75</v>
      </c>
      <c r="AA196" s="7" t="str">
        <f t="shared" si="2"/>
        <v>M</v>
      </c>
      <c r="AB196" s="7">
        <f t="shared" si="3"/>
        <v>1.5</v>
      </c>
      <c r="AC196" s="7">
        <f t="shared" si="4"/>
        <v>0.6666666667</v>
      </c>
      <c r="AD196" s="7"/>
      <c r="AE196" s="7"/>
      <c r="AF196" s="24">
        <f t="shared" si="1"/>
        <v>150000</v>
      </c>
    </row>
    <row r="197">
      <c r="A197" s="7" t="s">
        <v>443</v>
      </c>
      <c r="B197" s="7"/>
      <c r="C197" s="7" t="s">
        <v>55</v>
      </c>
      <c r="D197" s="7" t="s">
        <v>58</v>
      </c>
      <c r="G197" s="7">
        <v>1.0</v>
      </c>
      <c r="H197" s="7">
        <v>0.0</v>
      </c>
      <c r="I197" s="7">
        <v>4.0</v>
      </c>
      <c r="J197" s="7">
        <v>0.0</v>
      </c>
      <c r="K197" s="7">
        <v>0.0</v>
      </c>
      <c r="L197" s="7">
        <v>0.0</v>
      </c>
      <c r="M197" s="7">
        <v>0.0</v>
      </c>
      <c r="N197" s="7">
        <v>0.0</v>
      </c>
      <c r="O197" s="7">
        <v>0.0</v>
      </c>
      <c r="P197" s="7">
        <v>0.0</v>
      </c>
      <c r="Q197" s="7">
        <v>0.0</v>
      </c>
      <c r="R197" s="7">
        <v>0.0</v>
      </c>
      <c r="S197" s="7">
        <v>0.0</v>
      </c>
      <c r="T197" s="7">
        <v>0.0</v>
      </c>
      <c r="U197" s="7">
        <v>0.0</v>
      </c>
      <c r="V197" s="7">
        <v>0.0</v>
      </c>
      <c r="W197" s="7">
        <v>0.0</v>
      </c>
      <c r="X197" s="7" t="s">
        <v>719</v>
      </c>
      <c r="Y197" s="7" t="s">
        <v>711</v>
      </c>
      <c r="Z197" s="7">
        <v>0.75</v>
      </c>
      <c r="AA197" s="7" t="str">
        <f t="shared" si="2"/>
        <v>A</v>
      </c>
      <c r="AB197" s="7">
        <f t="shared" si="3"/>
        <v>3</v>
      </c>
      <c r="AC197" s="7">
        <f t="shared" si="4"/>
        <v>0.3333333333</v>
      </c>
      <c r="AD197" s="7"/>
      <c r="AE197" s="7"/>
      <c r="AF197" s="24">
        <f t="shared" si="1"/>
        <v>125000</v>
      </c>
    </row>
    <row r="198">
      <c r="A198" s="7" t="s">
        <v>445</v>
      </c>
      <c r="B198" s="7" t="s">
        <v>446</v>
      </c>
      <c r="C198" s="7" t="s">
        <v>26</v>
      </c>
      <c r="D198" s="7" t="s">
        <v>31</v>
      </c>
      <c r="E198" s="7">
        <v>24.0</v>
      </c>
      <c r="F198" s="7">
        <v>1999.0</v>
      </c>
      <c r="G198" s="7">
        <v>25.0</v>
      </c>
      <c r="H198" s="7">
        <v>16.0</v>
      </c>
      <c r="I198" s="25">
        <v>1604.0</v>
      </c>
      <c r="J198" s="7">
        <v>17.8</v>
      </c>
      <c r="K198" s="7">
        <v>1.0</v>
      </c>
      <c r="L198" s="7">
        <v>2.0</v>
      </c>
      <c r="M198" s="7">
        <v>3.0</v>
      </c>
      <c r="N198" s="7">
        <v>1.0</v>
      </c>
      <c r="O198" s="7">
        <v>0.0</v>
      </c>
      <c r="P198" s="7">
        <v>0.0</v>
      </c>
      <c r="Q198" s="7">
        <v>6.0</v>
      </c>
      <c r="R198" s="7">
        <v>0.0</v>
      </c>
      <c r="S198" s="7">
        <v>0.06</v>
      </c>
      <c r="T198" s="7">
        <v>0.11</v>
      </c>
      <c r="U198" s="7">
        <v>0.17</v>
      </c>
      <c r="V198" s="7">
        <v>0.06</v>
      </c>
      <c r="W198" s="7">
        <v>0.17</v>
      </c>
      <c r="X198" s="1" t="s">
        <v>692</v>
      </c>
      <c r="Y198" s="24" t="s">
        <v>702</v>
      </c>
      <c r="Z198" s="7">
        <v>0.9722222222222222</v>
      </c>
      <c r="AA198" s="7" t="str">
        <f t="shared" si="2"/>
        <v>M</v>
      </c>
      <c r="AB198" s="7">
        <f t="shared" si="3"/>
        <v>1.944444444</v>
      </c>
      <c r="AC198" s="7">
        <f t="shared" si="4"/>
        <v>0.5142857143</v>
      </c>
      <c r="AD198" s="7"/>
      <c r="AE198" s="7"/>
      <c r="AF198" s="24">
        <f t="shared" si="1"/>
        <v>117000</v>
      </c>
    </row>
    <row r="199">
      <c r="A199" s="7" t="s">
        <v>448</v>
      </c>
      <c r="B199" s="7" t="s">
        <v>449</v>
      </c>
      <c r="C199" s="7" t="s">
        <v>26</v>
      </c>
      <c r="D199" s="7" t="s">
        <v>44</v>
      </c>
      <c r="E199" s="7">
        <v>17.0</v>
      </c>
      <c r="F199" s="7">
        <v>2006.0</v>
      </c>
      <c r="G199" s="7">
        <v>1.0</v>
      </c>
      <c r="H199" s="7">
        <v>0.0</v>
      </c>
      <c r="I199" s="7">
        <v>11.0</v>
      </c>
      <c r="J199" s="7">
        <v>0.1</v>
      </c>
      <c r="K199" s="7">
        <v>0.0</v>
      </c>
      <c r="L199" s="7">
        <v>0.0</v>
      </c>
      <c r="M199" s="7">
        <v>0.0</v>
      </c>
      <c r="N199" s="7">
        <v>0.0</v>
      </c>
      <c r="O199" s="7">
        <v>0.0</v>
      </c>
      <c r="P199" s="7">
        <v>0.0</v>
      </c>
      <c r="Q199" s="7">
        <v>0.0</v>
      </c>
      <c r="R199" s="7">
        <v>0.0</v>
      </c>
      <c r="S199" s="7">
        <v>0.0</v>
      </c>
      <c r="T199" s="7">
        <v>0.0</v>
      </c>
      <c r="U199" s="7">
        <v>0.0</v>
      </c>
      <c r="V199" s="7">
        <v>0.0</v>
      </c>
      <c r="W199" s="7">
        <v>0.0</v>
      </c>
      <c r="X199" s="1" t="s">
        <v>692</v>
      </c>
      <c r="Y199" s="24" t="s">
        <v>697</v>
      </c>
      <c r="Z199" s="7">
        <v>1.1944444444444444</v>
      </c>
      <c r="AA199" s="7" t="str">
        <f t="shared" si="2"/>
        <v>M</v>
      </c>
      <c r="AB199" s="7">
        <f t="shared" si="3"/>
        <v>2.388888889</v>
      </c>
      <c r="AC199" s="7">
        <f t="shared" si="4"/>
        <v>0.4186046512</v>
      </c>
      <c r="AD199" s="7"/>
      <c r="AE199" s="7"/>
      <c r="AF199" s="24">
        <f t="shared" si="1"/>
        <v>65000</v>
      </c>
    </row>
    <row r="200">
      <c r="A200" s="7" t="s">
        <v>451</v>
      </c>
      <c r="B200" s="7" t="s">
        <v>446</v>
      </c>
      <c r="C200" s="7" t="s">
        <v>87</v>
      </c>
      <c r="D200" s="7" t="s">
        <v>44</v>
      </c>
      <c r="E200" s="7">
        <v>26.0</v>
      </c>
      <c r="F200" s="7">
        <v>1997.0</v>
      </c>
      <c r="G200" s="7">
        <v>20.0</v>
      </c>
      <c r="H200" s="7">
        <v>14.0</v>
      </c>
      <c r="I200" s="25">
        <v>1203.0</v>
      </c>
      <c r="J200" s="7">
        <v>13.4</v>
      </c>
      <c r="K200" s="7">
        <v>0.0</v>
      </c>
      <c r="L200" s="7">
        <v>0.0</v>
      </c>
      <c r="M200" s="7">
        <v>0.0</v>
      </c>
      <c r="N200" s="7">
        <v>0.0</v>
      </c>
      <c r="O200" s="7">
        <v>0.0</v>
      </c>
      <c r="P200" s="7">
        <v>0.0</v>
      </c>
      <c r="Q200" s="7">
        <v>4.0</v>
      </c>
      <c r="R200" s="7">
        <v>0.0</v>
      </c>
      <c r="S200" s="7">
        <v>0.0</v>
      </c>
      <c r="T200" s="7">
        <v>0.0</v>
      </c>
      <c r="U200" s="7">
        <v>0.0</v>
      </c>
      <c r="V200" s="7">
        <v>0.0</v>
      </c>
      <c r="W200" s="7">
        <v>0.0</v>
      </c>
      <c r="X200" s="7" t="s">
        <v>727</v>
      </c>
      <c r="Y200" s="7" t="s">
        <v>707</v>
      </c>
      <c r="Z200" s="7">
        <v>1.1944444444444444</v>
      </c>
      <c r="AA200" s="7" t="str">
        <f t="shared" si="2"/>
        <v>D</v>
      </c>
      <c r="AB200" s="7">
        <f t="shared" si="3"/>
        <v>1.194444444</v>
      </c>
      <c r="AC200" s="7">
        <f t="shared" si="4"/>
        <v>0.8372093023</v>
      </c>
      <c r="AD200" s="7"/>
      <c r="AE200" s="7"/>
      <c r="AF200" s="24">
        <f t="shared" si="1"/>
        <v>150000</v>
      </c>
    </row>
    <row r="201">
      <c r="A201" s="7" t="s">
        <v>453</v>
      </c>
      <c r="B201" s="7" t="s">
        <v>25</v>
      </c>
      <c r="C201" s="7" t="s">
        <v>30</v>
      </c>
      <c r="D201" s="7" t="s">
        <v>27</v>
      </c>
      <c r="E201" s="7">
        <v>16.0</v>
      </c>
      <c r="F201" s="7">
        <v>2007.0</v>
      </c>
      <c r="G201" s="7">
        <v>31.0</v>
      </c>
      <c r="H201" s="7">
        <v>14.0</v>
      </c>
      <c r="I201" s="25">
        <v>1471.0</v>
      </c>
      <c r="J201" s="7">
        <v>16.3</v>
      </c>
      <c r="K201" s="7">
        <v>6.0</v>
      </c>
      <c r="L201" s="7">
        <v>1.0</v>
      </c>
      <c r="M201" s="7">
        <v>7.0</v>
      </c>
      <c r="N201" s="7">
        <v>6.0</v>
      </c>
      <c r="O201" s="7">
        <v>0.0</v>
      </c>
      <c r="P201" s="7">
        <v>0.0</v>
      </c>
      <c r="Q201" s="7">
        <v>3.0</v>
      </c>
      <c r="R201" s="7">
        <v>0.0</v>
      </c>
      <c r="S201" s="7">
        <v>0.37</v>
      </c>
      <c r="T201" s="7">
        <v>0.06</v>
      </c>
      <c r="U201" s="7">
        <v>0.43</v>
      </c>
      <c r="V201" s="7">
        <v>0.37</v>
      </c>
      <c r="W201" s="7">
        <v>0.43</v>
      </c>
      <c r="X201" s="7" t="s">
        <v>670</v>
      </c>
      <c r="Y201" s="7" t="s">
        <v>687</v>
      </c>
      <c r="Z201" s="7">
        <v>1.0277777777777777</v>
      </c>
      <c r="AA201" s="7" t="str">
        <f t="shared" si="2"/>
        <v>M</v>
      </c>
      <c r="AB201" s="7">
        <f t="shared" si="3"/>
        <v>2.055555556</v>
      </c>
      <c r="AC201" s="7">
        <f t="shared" si="4"/>
        <v>0.4864864865</v>
      </c>
      <c r="AD201" s="7"/>
      <c r="AE201" s="7"/>
      <c r="AF201" s="24">
        <f t="shared" si="1"/>
        <v>25000</v>
      </c>
    </row>
    <row r="202">
      <c r="A202" s="7" t="s">
        <v>455</v>
      </c>
      <c r="B202" s="7" t="s">
        <v>25</v>
      </c>
      <c r="C202" s="7" t="s">
        <v>26</v>
      </c>
      <c r="D202" s="7" t="s">
        <v>31</v>
      </c>
      <c r="E202" s="7">
        <v>16.0</v>
      </c>
      <c r="F202" s="7">
        <v>2007.0</v>
      </c>
      <c r="G202" s="7">
        <v>1.0</v>
      </c>
      <c r="H202" s="7">
        <v>0.0</v>
      </c>
      <c r="I202" s="7">
        <v>12.0</v>
      </c>
      <c r="J202" s="7">
        <v>0.1</v>
      </c>
      <c r="K202" s="7">
        <v>0.0</v>
      </c>
      <c r="L202" s="7">
        <v>0.0</v>
      </c>
      <c r="M202" s="7">
        <v>0.0</v>
      </c>
      <c r="N202" s="7">
        <v>0.0</v>
      </c>
      <c r="O202" s="7">
        <v>0.0</v>
      </c>
      <c r="P202" s="7">
        <v>0.0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  <c r="V202" s="7">
        <v>0.0</v>
      </c>
      <c r="W202" s="7">
        <v>0.0</v>
      </c>
      <c r="X202" s="7" t="s">
        <v>720</v>
      </c>
      <c r="Y202" s="7" t="s">
        <v>684</v>
      </c>
      <c r="Z202" s="7">
        <v>0.9722222222222222</v>
      </c>
      <c r="AA202" s="7" t="str">
        <f t="shared" si="2"/>
        <v>M</v>
      </c>
      <c r="AB202" s="7">
        <f t="shared" si="3"/>
        <v>1.944444444</v>
      </c>
      <c r="AC202" s="7">
        <f t="shared" si="4"/>
        <v>0.5142857143</v>
      </c>
      <c r="AD202" s="7"/>
      <c r="AE202" s="7"/>
      <c r="AF202" s="24">
        <f t="shared" si="1"/>
        <v>200000</v>
      </c>
    </row>
    <row r="203">
      <c r="A203" s="7" t="s">
        <v>457</v>
      </c>
      <c r="B203" s="7" t="s">
        <v>25</v>
      </c>
      <c r="C203" s="7" t="s">
        <v>26</v>
      </c>
      <c r="D203" s="7" t="s">
        <v>36</v>
      </c>
      <c r="E203" s="7">
        <v>20.0</v>
      </c>
      <c r="F203" s="7">
        <v>2004.0</v>
      </c>
      <c r="G203" s="7">
        <v>9.0</v>
      </c>
      <c r="H203" s="7">
        <v>4.0</v>
      </c>
      <c r="I203" s="7">
        <v>440.0</v>
      </c>
      <c r="J203" s="7">
        <v>4.9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7">
        <v>0.0</v>
      </c>
      <c r="Q203" s="7">
        <v>2.0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 t="s">
        <v>685</v>
      </c>
      <c r="Y203" s="24" t="s">
        <v>677</v>
      </c>
      <c r="Z203" s="7">
        <v>1.6111111111111112</v>
      </c>
      <c r="AA203" s="7" t="str">
        <f t="shared" si="2"/>
        <v>M</v>
      </c>
      <c r="AB203" s="7">
        <f t="shared" si="3"/>
        <v>3.222222222</v>
      </c>
      <c r="AC203" s="7">
        <f t="shared" si="4"/>
        <v>0.3103448276</v>
      </c>
      <c r="AD203" s="7"/>
      <c r="AE203" s="7"/>
      <c r="AF203" s="24">
        <f t="shared" si="1"/>
        <v>19000</v>
      </c>
    </row>
    <row r="204">
      <c r="A204" s="7" t="s">
        <v>459</v>
      </c>
      <c r="B204" s="7" t="s">
        <v>70</v>
      </c>
      <c r="C204" s="7" t="s">
        <v>30</v>
      </c>
      <c r="D204" s="7" t="s">
        <v>58</v>
      </c>
      <c r="E204" s="7">
        <v>26.0</v>
      </c>
      <c r="F204" s="7">
        <v>1997.0</v>
      </c>
      <c r="G204" s="7">
        <v>30.0</v>
      </c>
      <c r="H204" s="7">
        <v>18.0</v>
      </c>
      <c r="I204" s="25">
        <v>1510.0</v>
      </c>
      <c r="J204" s="7">
        <v>16.8</v>
      </c>
      <c r="K204" s="7">
        <v>2.0</v>
      </c>
      <c r="L204" s="7">
        <v>2.0</v>
      </c>
      <c r="M204" s="7">
        <v>4.0</v>
      </c>
      <c r="N204" s="7">
        <v>2.0</v>
      </c>
      <c r="O204" s="7">
        <v>0.0</v>
      </c>
      <c r="P204" s="7">
        <v>0.0</v>
      </c>
      <c r="Q204" s="7">
        <v>5.0</v>
      </c>
      <c r="R204" s="7">
        <v>1.0</v>
      </c>
      <c r="S204" s="7">
        <v>0.12</v>
      </c>
      <c r="T204" s="7">
        <v>0.12</v>
      </c>
      <c r="U204" s="7">
        <v>0.24</v>
      </c>
      <c r="V204" s="7">
        <v>0.12</v>
      </c>
      <c r="W204" s="7">
        <v>0.24</v>
      </c>
      <c r="X204" s="7" t="s">
        <v>720</v>
      </c>
      <c r="Y204" s="7" t="s">
        <v>695</v>
      </c>
      <c r="Z204" s="7">
        <v>0.75</v>
      </c>
      <c r="AA204" s="7" t="str">
        <f t="shared" si="2"/>
        <v>M</v>
      </c>
      <c r="AB204" s="7">
        <f t="shared" si="3"/>
        <v>1.5</v>
      </c>
      <c r="AC204" s="7">
        <f t="shared" si="4"/>
        <v>0.6666666667</v>
      </c>
      <c r="AD204" s="7"/>
      <c r="AE204" s="7"/>
      <c r="AF204" s="24">
        <f t="shared" si="1"/>
        <v>75000</v>
      </c>
    </row>
    <row r="205">
      <c r="A205" s="7" t="s">
        <v>461</v>
      </c>
      <c r="B205" s="7" t="s">
        <v>25</v>
      </c>
      <c r="C205" s="7" t="s">
        <v>87</v>
      </c>
      <c r="D205" s="7" t="s">
        <v>62</v>
      </c>
      <c r="E205" s="7">
        <v>25.0</v>
      </c>
      <c r="F205" s="7">
        <v>1998.0</v>
      </c>
      <c r="G205" s="7">
        <v>17.0</v>
      </c>
      <c r="H205" s="7">
        <v>9.0</v>
      </c>
      <c r="I205" s="7">
        <v>872.0</v>
      </c>
      <c r="J205" s="7">
        <v>9.7</v>
      </c>
      <c r="K205" s="7">
        <v>3.0</v>
      </c>
      <c r="L205" s="7">
        <v>1.0</v>
      </c>
      <c r="M205" s="7">
        <v>4.0</v>
      </c>
      <c r="N205" s="7">
        <v>3.0</v>
      </c>
      <c r="O205" s="7">
        <v>0.0</v>
      </c>
      <c r="P205" s="7">
        <v>0.0</v>
      </c>
      <c r="Q205" s="7">
        <v>2.0</v>
      </c>
      <c r="R205" s="7">
        <v>0.0</v>
      </c>
      <c r="S205" s="7">
        <v>0.31</v>
      </c>
      <c r="T205" s="7">
        <v>0.1</v>
      </c>
      <c r="U205" s="7">
        <v>0.41</v>
      </c>
      <c r="V205" s="7">
        <v>0.31</v>
      </c>
      <c r="W205" s="7">
        <v>0.41</v>
      </c>
      <c r="X205" s="7" t="s">
        <v>685</v>
      </c>
      <c r="Y205" s="24" t="s">
        <v>700</v>
      </c>
      <c r="Z205" s="7">
        <v>0.8055555555555556</v>
      </c>
      <c r="AA205" s="7" t="str">
        <f t="shared" si="2"/>
        <v>D</v>
      </c>
      <c r="AB205" s="7">
        <f t="shared" si="3"/>
        <v>0.8055555556</v>
      </c>
      <c r="AC205" s="7">
        <f t="shared" si="4"/>
        <v>1.24137931</v>
      </c>
      <c r="AD205" s="7"/>
      <c r="AE205" s="7"/>
      <c r="AF205" s="24">
        <f t="shared" si="1"/>
        <v>20000</v>
      </c>
    </row>
    <row r="206">
      <c r="A206" s="7" t="s">
        <v>463</v>
      </c>
      <c r="B206" s="7"/>
      <c r="C206" s="7" t="s">
        <v>55</v>
      </c>
      <c r="D206" s="7" t="s">
        <v>31</v>
      </c>
      <c r="G206" s="7">
        <v>1.0</v>
      </c>
      <c r="H206" s="7">
        <v>0.0</v>
      </c>
      <c r="I206" s="7">
        <v>23.0</v>
      </c>
      <c r="J206" s="7">
        <v>0.3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7">
        <v>0.0</v>
      </c>
      <c r="Q206" s="7">
        <v>0.0</v>
      </c>
      <c r="R206" s="7">
        <v>0.0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 t="s">
        <v>730</v>
      </c>
      <c r="Y206" s="24" t="s">
        <v>703</v>
      </c>
      <c r="Z206" s="7">
        <v>0.9722222222222222</v>
      </c>
      <c r="AA206" s="7" t="str">
        <f t="shared" si="2"/>
        <v>A</v>
      </c>
      <c r="AB206" s="7">
        <f t="shared" si="3"/>
        <v>3.888888889</v>
      </c>
      <c r="AC206" s="7">
        <f t="shared" si="4"/>
        <v>0.2571428571</v>
      </c>
      <c r="AD206" s="7"/>
      <c r="AE206" s="7"/>
      <c r="AF206" s="24">
        <f t="shared" si="1"/>
        <v>39000</v>
      </c>
    </row>
    <row r="207">
      <c r="A207" s="7" t="s">
        <v>465</v>
      </c>
      <c r="B207" s="7" t="s">
        <v>65</v>
      </c>
      <c r="C207" s="7" t="s">
        <v>55</v>
      </c>
      <c r="D207" s="7" t="s">
        <v>128</v>
      </c>
      <c r="E207" s="7">
        <v>23.0</v>
      </c>
      <c r="F207" s="7">
        <v>2000.0</v>
      </c>
      <c r="G207" s="7">
        <v>14.0</v>
      </c>
      <c r="H207" s="7">
        <v>14.0</v>
      </c>
      <c r="I207" s="25">
        <v>1009.0</v>
      </c>
      <c r="J207" s="7">
        <v>11.2</v>
      </c>
      <c r="K207" s="7">
        <v>4.0</v>
      </c>
      <c r="L207" s="7">
        <v>3.0</v>
      </c>
      <c r="M207" s="7">
        <v>7.0</v>
      </c>
      <c r="N207" s="7">
        <v>4.0</v>
      </c>
      <c r="O207" s="7">
        <v>0.0</v>
      </c>
      <c r="P207" s="7">
        <v>0.0</v>
      </c>
      <c r="Q207" s="7">
        <v>0.0</v>
      </c>
      <c r="R207" s="7">
        <v>0.0</v>
      </c>
      <c r="S207" s="7">
        <v>0.36</v>
      </c>
      <c r="T207" s="7">
        <v>0.27</v>
      </c>
      <c r="U207" s="7">
        <v>0.62</v>
      </c>
      <c r="V207" s="7">
        <v>0.36</v>
      </c>
      <c r="W207" s="7">
        <v>0.62</v>
      </c>
      <c r="X207" s="7" t="s">
        <v>715</v>
      </c>
      <c r="Y207" s="7" t="s">
        <v>668</v>
      </c>
      <c r="Z207" s="7">
        <v>1.4166666666666667</v>
      </c>
      <c r="AA207" s="7" t="str">
        <f t="shared" si="2"/>
        <v>A</v>
      </c>
      <c r="AB207" s="7">
        <f t="shared" si="3"/>
        <v>5.666666667</v>
      </c>
      <c r="AC207" s="7">
        <f t="shared" si="4"/>
        <v>0.1764705882</v>
      </c>
      <c r="AD207" s="7"/>
      <c r="AE207" s="7"/>
      <c r="AF207" s="24">
        <f t="shared" si="1"/>
        <v>100000</v>
      </c>
    </row>
    <row r="208">
      <c r="A208" s="7" t="s">
        <v>467</v>
      </c>
      <c r="B208" s="7" t="s">
        <v>25</v>
      </c>
      <c r="C208" s="7" t="s">
        <v>35</v>
      </c>
      <c r="D208" s="7" t="s">
        <v>80</v>
      </c>
      <c r="E208" s="7">
        <v>20.0</v>
      </c>
      <c r="F208" s="7">
        <v>2003.0</v>
      </c>
      <c r="G208" s="7">
        <v>19.0</v>
      </c>
      <c r="H208" s="7">
        <v>16.0</v>
      </c>
      <c r="I208" s="25">
        <v>1275.0</v>
      </c>
      <c r="J208" s="7">
        <v>14.2</v>
      </c>
      <c r="K208" s="7">
        <v>0.0</v>
      </c>
      <c r="L208" s="7">
        <v>0.0</v>
      </c>
      <c r="M208" s="7">
        <v>0.0</v>
      </c>
      <c r="N208" s="7">
        <v>0.0</v>
      </c>
      <c r="O208" s="7">
        <v>0.0</v>
      </c>
      <c r="P208" s="7">
        <v>0.0</v>
      </c>
      <c r="Q208" s="7">
        <v>5.0</v>
      </c>
      <c r="R208" s="7">
        <v>0.0</v>
      </c>
      <c r="S208" s="7">
        <v>0.0</v>
      </c>
      <c r="T208" s="7">
        <v>0.0</v>
      </c>
      <c r="U208" s="7">
        <v>0.0</v>
      </c>
      <c r="V208" s="7">
        <v>0.0</v>
      </c>
      <c r="W208" s="7">
        <v>0.0</v>
      </c>
      <c r="X208" s="7" t="s">
        <v>670</v>
      </c>
      <c r="Y208" s="7" t="s">
        <v>726</v>
      </c>
      <c r="Z208" s="7">
        <v>1.3888888888888888</v>
      </c>
      <c r="AA208" s="7" t="str">
        <f t="shared" si="2"/>
        <v>D</v>
      </c>
      <c r="AB208" s="7">
        <f t="shared" si="3"/>
        <v>1.388888889</v>
      </c>
      <c r="AC208" s="7">
        <f t="shared" si="4"/>
        <v>0.72</v>
      </c>
      <c r="AD208" s="7"/>
      <c r="AE208" s="7"/>
      <c r="AF208" s="24">
        <f t="shared" si="1"/>
        <v>500000</v>
      </c>
    </row>
    <row r="209">
      <c r="A209" s="7" t="s">
        <v>469</v>
      </c>
      <c r="B209" s="7" t="s">
        <v>97</v>
      </c>
      <c r="C209" s="7" t="s">
        <v>47</v>
      </c>
      <c r="D209" s="7" t="s">
        <v>52</v>
      </c>
      <c r="E209" s="7">
        <v>29.0</v>
      </c>
      <c r="F209" s="7">
        <v>1994.0</v>
      </c>
      <c r="G209" s="7">
        <v>31.0</v>
      </c>
      <c r="H209" s="7">
        <v>27.0</v>
      </c>
      <c r="I209" s="25">
        <v>2404.0</v>
      </c>
      <c r="J209" s="7">
        <v>26.7</v>
      </c>
      <c r="K209" s="7">
        <v>5.0</v>
      </c>
      <c r="L209" s="7">
        <v>5.0</v>
      </c>
      <c r="M209" s="7">
        <v>10.0</v>
      </c>
      <c r="N209" s="7">
        <v>5.0</v>
      </c>
      <c r="O209" s="7">
        <v>0.0</v>
      </c>
      <c r="P209" s="7">
        <v>0.0</v>
      </c>
      <c r="Q209" s="7">
        <v>4.0</v>
      </c>
      <c r="R209" s="7">
        <v>0.0</v>
      </c>
      <c r="S209" s="7">
        <v>0.19</v>
      </c>
      <c r="T209" s="7">
        <v>0.19</v>
      </c>
      <c r="U209" s="7">
        <v>0.37</v>
      </c>
      <c r="V209" s="7">
        <v>0.19</v>
      </c>
      <c r="W209" s="7">
        <v>0.37</v>
      </c>
      <c r="X209" s="7" t="s">
        <v>678</v>
      </c>
      <c r="Y209" s="7" t="s">
        <v>731</v>
      </c>
      <c r="Z209" s="7">
        <v>0.8611111111111112</v>
      </c>
      <c r="AA209" s="7" t="str">
        <f t="shared" si="2"/>
        <v>M</v>
      </c>
      <c r="AB209" s="7">
        <f t="shared" si="3"/>
        <v>1.722222222</v>
      </c>
      <c r="AC209" s="7">
        <f t="shared" si="4"/>
        <v>0.5806451613</v>
      </c>
      <c r="AD209" s="7"/>
      <c r="AE209" s="7"/>
      <c r="AF209" s="24">
        <f t="shared" si="1"/>
        <v>10000</v>
      </c>
    </row>
    <row r="210">
      <c r="A210" s="7" t="s">
        <v>471</v>
      </c>
      <c r="B210" s="7" t="s">
        <v>446</v>
      </c>
      <c r="C210" s="7" t="s">
        <v>35</v>
      </c>
      <c r="D210" s="7" t="s">
        <v>44</v>
      </c>
      <c r="E210" s="7">
        <v>26.0</v>
      </c>
      <c r="F210" s="7">
        <v>1997.0</v>
      </c>
      <c r="G210" s="7">
        <v>8.0</v>
      </c>
      <c r="H210" s="7">
        <v>7.0</v>
      </c>
      <c r="I210" s="7">
        <v>642.0</v>
      </c>
      <c r="J210" s="7">
        <v>7.1</v>
      </c>
      <c r="K210" s="7">
        <v>0.0</v>
      </c>
      <c r="L210" s="7">
        <v>0.0</v>
      </c>
      <c r="M210" s="7">
        <v>0.0</v>
      </c>
      <c r="N210" s="7">
        <v>0.0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1" t="s">
        <v>692</v>
      </c>
      <c r="Y210" s="24" t="s">
        <v>702</v>
      </c>
      <c r="Z210" s="7">
        <v>1.1944444444444444</v>
      </c>
      <c r="AA210" s="7" t="str">
        <f t="shared" si="2"/>
        <v>D</v>
      </c>
      <c r="AB210" s="7">
        <f t="shared" si="3"/>
        <v>1.194444444</v>
      </c>
      <c r="AC210" s="7">
        <f t="shared" si="4"/>
        <v>0.8372093023</v>
      </c>
      <c r="AD210" s="7"/>
      <c r="AE210" s="7"/>
      <c r="AF210" s="24">
        <f t="shared" si="1"/>
        <v>117000</v>
      </c>
    </row>
    <row r="211">
      <c r="A211" s="7" t="s">
        <v>473</v>
      </c>
      <c r="B211" s="7" t="s">
        <v>25</v>
      </c>
      <c r="C211" s="7" t="s">
        <v>55</v>
      </c>
      <c r="D211" s="7" t="s">
        <v>27</v>
      </c>
      <c r="E211" s="7">
        <v>15.0</v>
      </c>
      <c r="F211" s="7">
        <v>2008.0</v>
      </c>
      <c r="G211" s="7">
        <v>1.0</v>
      </c>
      <c r="H211" s="7">
        <v>0.0</v>
      </c>
      <c r="I211" s="7">
        <v>2.0</v>
      </c>
      <c r="J211" s="7">
        <v>0.0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7">
        <v>0.0</v>
      </c>
      <c r="Q211" s="7">
        <v>0.0</v>
      </c>
      <c r="R211" s="7">
        <v>0.0</v>
      </c>
      <c r="S211" s="7">
        <v>0.0</v>
      </c>
      <c r="T211" s="7">
        <v>0.0</v>
      </c>
      <c r="U211" s="7">
        <v>0.0</v>
      </c>
      <c r="V211" s="7">
        <v>0.0</v>
      </c>
      <c r="W211" s="7">
        <v>0.0</v>
      </c>
      <c r="X211" s="7" t="s">
        <v>705</v>
      </c>
      <c r="Y211" s="24" t="s">
        <v>708</v>
      </c>
      <c r="Z211" s="7">
        <v>1.0277777777777777</v>
      </c>
      <c r="AA211" s="7" t="str">
        <f t="shared" si="2"/>
        <v>A</v>
      </c>
      <c r="AB211" s="7">
        <f t="shared" si="3"/>
        <v>4.111111111</v>
      </c>
      <c r="AC211" s="7">
        <f t="shared" si="4"/>
        <v>0.2432432432</v>
      </c>
      <c r="AD211" s="7"/>
      <c r="AE211" s="7"/>
      <c r="AF211" s="24">
        <f t="shared" si="1"/>
        <v>52000</v>
      </c>
    </row>
    <row r="212">
      <c r="A212" s="7" t="s">
        <v>475</v>
      </c>
      <c r="B212" s="7" t="s">
        <v>65</v>
      </c>
      <c r="C212" s="7" t="s">
        <v>35</v>
      </c>
      <c r="D212" s="7" t="s">
        <v>128</v>
      </c>
      <c r="E212" s="7">
        <v>24.0</v>
      </c>
      <c r="F212" s="7">
        <v>1999.0</v>
      </c>
      <c r="G212" s="7">
        <v>14.0</v>
      </c>
      <c r="H212" s="7">
        <v>14.0</v>
      </c>
      <c r="I212" s="25">
        <v>1241.0</v>
      </c>
      <c r="J212" s="7">
        <v>13.8</v>
      </c>
      <c r="K212" s="7">
        <v>0.0</v>
      </c>
      <c r="L212" s="7">
        <v>2.0</v>
      </c>
      <c r="M212" s="7">
        <v>2.0</v>
      </c>
      <c r="N212" s="7">
        <v>0.0</v>
      </c>
      <c r="O212" s="7">
        <v>0.0</v>
      </c>
      <c r="P212" s="7">
        <v>0.0</v>
      </c>
      <c r="Q212" s="7">
        <v>7.0</v>
      </c>
      <c r="R212" s="7">
        <v>0.0</v>
      </c>
      <c r="S212" s="7">
        <v>0.0</v>
      </c>
      <c r="T212" s="7">
        <v>0.15</v>
      </c>
      <c r="U212" s="7">
        <v>0.15</v>
      </c>
      <c r="V212" s="7">
        <v>0.0</v>
      </c>
      <c r="W212" s="7">
        <v>0.15</v>
      </c>
      <c r="X212" s="7" t="s">
        <v>725</v>
      </c>
      <c r="Y212" s="7" t="s">
        <v>671</v>
      </c>
      <c r="Z212" s="7">
        <v>1.4166666666666667</v>
      </c>
      <c r="AA212" s="7" t="str">
        <f t="shared" si="2"/>
        <v>D</v>
      </c>
      <c r="AB212" s="7">
        <f t="shared" si="3"/>
        <v>1.416666667</v>
      </c>
      <c r="AC212" s="7">
        <f t="shared" si="4"/>
        <v>0.7058823529</v>
      </c>
      <c r="AD212" s="7"/>
      <c r="AE212" s="7"/>
      <c r="AF212" s="24">
        <f t="shared" si="1"/>
        <v>50000</v>
      </c>
    </row>
    <row r="213">
      <c r="A213" s="7" t="s">
        <v>477</v>
      </c>
      <c r="B213" s="7" t="s">
        <v>25</v>
      </c>
      <c r="C213" s="7" t="s">
        <v>26</v>
      </c>
      <c r="D213" s="7" t="s">
        <v>31</v>
      </c>
      <c r="E213" s="7">
        <v>24.0</v>
      </c>
      <c r="F213" s="7">
        <v>1999.0</v>
      </c>
      <c r="G213" s="7">
        <v>22.0</v>
      </c>
      <c r="H213" s="7">
        <v>14.0</v>
      </c>
      <c r="I213" s="25">
        <v>1404.0</v>
      </c>
      <c r="J213" s="7">
        <v>15.6</v>
      </c>
      <c r="K213" s="7">
        <v>2.0</v>
      </c>
      <c r="L213" s="7">
        <v>3.0</v>
      </c>
      <c r="M213" s="7">
        <v>5.0</v>
      </c>
      <c r="N213" s="7">
        <v>2.0</v>
      </c>
      <c r="O213" s="7">
        <v>0.0</v>
      </c>
      <c r="P213" s="7">
        <v>0.0</v>
      </c>
      <c r="Q213" s="7">
        <v>2.0</v>
      </c>
      <c r="R213" s="7">
        <v>0.0</v>
      </c>
      <c r="S213" s="7">
        <v>0.13</v>
      </c>
      <c r="T213" s="7">
        <v>0.19</v>
      </c>
      <c r="U213" s="7">
        <v>0.32</v>
      </c>
      <c r="V213" s="7">
        <v>0.13</v>
      </c>
      <c r="W213" s="7">
        <v>0.32</v>
      </c>
      <c r="X213" s="7" t="s">
        <v>678</v>
      </c>
      <c r="Y213" s="7" t="s">
        <v>732</v>
      </c>
      <c r="Z213" s="7">
        <v>0.9722222222222222</v>
      </c>
      <c r="AA213" s="7" t="str">
        <f t="shared" si="2"/>
        <v>M</v>
      </c>
      <c r="AB213" s="7">
        <f t="shared" si="3"/>
        <v>1.944444444</v>
      </c>
      <c r="AC213" s="7">
        <f t="shared" si="4"/>
        <v>0.5142857143</v>
      </c>
      <c r="AD213" s="7"/>
      <c r="AE213" s="7"/>
      <c r="AF213" s="24">
        <f t="shared" si="1"/>
        <v>225000</v>
      </c>
    </row>
    <row r="214">
      <c r="A214" s="7" t="s">
        <v>479</v>
      </c>
      <c r="B214" s="7" t="s">
        <v>25</v>
      </c>
      <c r="C214" s="7" t="s">
        <v>26</v>
      </c>
      <c r="D214" s="7" t="s">
        <v>128</v>
      </c>
      <c r="E214" s="7">
        <v>23.0</v>
      </c>
      <c r="F214" s="7">
        <v>2000.0</v>
      </c>
      <c r="G214" s="7">
        <v>35.0</v>
      </c>
      <c r="H214" s="7">
        <v>35.0</v>
      </c>
      <c r="I214" s="25">
        <v>3124.0</v>
      </c>
      <c r="J214" s="7">
        <v>34.7</v>
      </c>
      <c r="K214" s="7">
        <v>1.0</v>
      </c>
      <c r="L214" s="7">
        <v>1.0</v>
      </c>
      <c r="M214" s="7">
        <v>2.0</v>
      </c>
      <c r="N214" s="7">
        <v>1.0</v>
      </c>
      <c r="O214" s="7">
        <v>0.0</v>
      </c>
      <c r="P214" s="7">
        <v>0.0</v>
      </c>
      <c r="Q214" s="7">
        <v>13.0</v>
      </c>
      <c r="R214" s="7">
        <v>0.0</v>
      </c>
      <c r="S214" s="7">
        <v>0.03</v>
      </c>
      <c r="T214" s="7">
        <v>0.03</v>
      </c>
      <c r="U214" s="7">
        <v>0.06</v>
      </c>
      <c r="V214" s="7">
        <v>0.03</v>
      </c>
      <c r="W214" s="7">
        <v>0.06</v>
      </c>
      <c r="X214" s="1" t="s">
        <v>692</v>
      </c>
      <c r="Y214" s="24" t="s">
        <v>691</v>
      </c>
      <c r="Z214" s="7">
        <v>1.4166666666666667</v>
      </c>
      <c r="AA214" s="7" t="str">
        <f t="shared" si="2"/>
        <v>M</v>
      </c>
      <c r="AB214" s="7">
        <f t="shared" si="3"/>
        <v>2.833333333</v>
      </c>
      <c r="AC214" s="7">
        <f t="shared" si="4"/>
        <v>0.3529411765</v>
      </c>
      <c r="AD214" s="7"/>
      <c r="AE214" s="7"/>
      <c r="AF214" s="24">
        <f t="shared" si="1"/>
        <v>88000</v>
      </c>
    </row>
    <row r="215">
      <c r="A215" s="7" t="s">
        <v>481</v>
      </c>
      <c r="B215" s="7" t="s">
        <v>25</v>
      </c>
      <c r="C215" s="7" t="s">
        <v>26</v>
      </c>
      <c r="D215" s="7" t="s">
        <v>98</v>
      </c>
      <c r="E215" s="7">
        <v>24.0</v>
      </c>
      <c r="F215" s="7">
        <v>2000.0</v>
      </c>
      <c r="G215" s="7">
        <v>19.0</v>
      </c>
      <c r="H215" s="7">
        <v>6.0</v>
      </c>
      <c r="I215" s="7">
        <v>689.0</v>
      </c>
      <c r="J215" s="7">
        <v>7.7</v>
      </c>
      <c r="K215" s="7">
        <v>1.0</v>
      </c>
      <c r="L215" s="7">
        <v>0.0</v>
      </c>
      <c r="M215" s="7">
        <v>1.0</v>
      </c>
      <c r="N215" s="7">
        <v>1.0</v>
      </c>
      <c r="O215" s="7">
        <v>0.0</v>
      </c>
      <c r="P215" s="7">
        <v>0.0</v>
      </c>
      <c r="Q215" s="7">
        <v>7.0</v>
      </c>
      <c r="R215" s="7">
        <v>0.0</v>
      </c>
      <c r="S215" s="7">
        <v>0.13</v>
      </c>
      <c r="T215" s="7">
        <v>0.0</v>
      </c>
      <c r="U215" s="7">
        <v>0.13</v>
      </c>
      <c r="V215" s="7">
        <v>0.13</v>
      </c>
      <c r="W215" s="7">
        <v>0.13</v>
      </c>
      <c r="X215" s="7" t="s">
        <v>718</v>
      </c>
      <c r="Y215" s="24" t="s">
        <v>702</v>
      </c>
      <c r="Z215" s="7">
        <v>1.3055555555555556</v>
      </c>
      <c r="AA215" s="7" t="str">
        <f t="shared" si="2"/>
        <v>M</v>
      </c>
      <c r="AB215" s="7">
        <f t="shared" si="3"/>
        <v>2.611111111</v>
      </c>
      <c r="AC215" s="7">
        <f t="shared" si="4"/>
        <v>0.3829787234</v>
      </c>
      <c r="AD215" s="7"/>
      <c r="AE215" s="7"/>
      <c r="AF215" s="24">
        <f t="shared" si="1"/>
        <v>117000</v>
      </c>
    </row>
    <row r="216">
      <c r="A216" s="7" t="s">
        <v>483</v>
      </c>
      <c r="B216" s="7" t="s">
        <v>25</v>
      </c>
      <c r="C216" s="7" t="s">
        <v>26</v>
      </c>
      <c r="D216" s="7" t="s">
        <v>44</v>
      </c>
      <c r="E216" s="7">
        <v>17.0</v>
      </c>
      <c r="F216" s="7">
        <v>2006.0</v>
      </c>
      <c r="G216" s="7">
        <v>5.0</v>
      </c>
      <c r="H216" s="7">
        <v>0.0</v>
      </c>
      <c r="I216" s="7">
        <v>49.0</v>
      </c>
      <c r="J216" s="7">
        <v>0.5</v>
      </c>
      <c r="K216" s="7">
        <v>0.0</v>
      </c>
      <c r="L216" s="7">
        <v>0.0</v>
      </c>
      <c r="M216" s="7">
        <v>0.0</v>
      </c>
      <c r="N216" s="7">
        <v>0.0</v>
      </c>
      <c r="O216" s="7">
        <v>0.0</v>
      </c>
      <c r="P216" s="7">
        <v>0.0</v>
      </c>
      <c r="Q216" s="7">
        <v>1.0</v>
      </c>
      <c r="R216" s="7">
        <v>0.0</v>
      </c>
      <c r="S216" s="7">
        <v>0.0</v>
      </c>
      <c r="T216" s="7">
        <v>0.0</v>
      </c>
      <c r="U216" s="7">
        <v>0.0</v>
      </c>
      <c r="V216" s="7">
        <v>0.0</v>
      </c>
      <c r="W216" s="7">
        <v>0.0</v>
      </c>
      <c r="X216" s="7" t="s">
        <v>693</v>
      </c>
      <c r="Y216" s="7" t="s">
        <v>731</v>
      </c>
      <c r="Z216" s="7">
        <v>1.1944444444444444</v>
      </c>
      <c r="AA216" s="7" t="str">
        <f t="shared" si="2"/>
        <v>M</v>
      </c>
      <c r="AB216" s="7">
        <f t="shared" si="3"/>
        <v>2.388888889</v>
      </c>
      <c r="AC216" s="7">
        <f t="shared" si="4"/>
        <v>0.4186046512</v>
      </c>
      <c r="AD216" s="7"/>
      <c r="AE216" s="7"/>
      <c r="AF216" s="24">
        <f t="shared" si="1"/>
        <v>10000</v>
      </c>
    </row>
    <row r="217">
      <c r="A217" s="7" t="s">
        <v>485</v>
      </c>
      <c r="B217" s="7" t="s">
        <v>65</v>
      </c>
      <c r="C217" s="7" t="s">
        <v>55</v>
      </c>
      <c r="D217" s="7" t="s">
        <v>80</v>
      </c>
      <c r="E217" s="7">
        <v>19.0</v>
      </c>
      <c r="F217" s="7">
        <v>2004.0</v>
      </c>
      <c r="G217" s="7">
        <v>7.0</v>
      </c>
      <c r="H217" s="7">
        <v>0.0</v>
      </c>
      <c r="I217" s="7">
        <v>106.0</v>
      </c>
      <c r="J217" s="7">
        <v>1.2</v>
      </c>
      <c r="K217" s="7">
        <v>0.0</v>
      </c>
      <c r="L217" s="7">
        <v>0.0</v>
      </c>
      <c r="M217" s="7">
        <v>0.0</v>
      </c>
      <c r="N217" s="7">
        <v>0.0</v>
      </c>
      <c r="O217" s="7">
        <v>0.0</v>
      </c>
      <c r="P217" s="7">
        <v>0.0</v>
      </c>
      <c r="Q217" s="7">
        <v>1.0</v>
      </c>
      <c r="R217" s="7">
        <v>0.0</v>
      </c>
      <c r="S217" s="7">
        <v>0.0</v>
      </c>
      <c r="T217" s="7">
        <v>0.0</v>
      </c>
      <c r="U217" s="7">
        <v>0.0</v>
      </c>
      <c r="V217" s="7">
        <v>0.0</v>
      </c>
      <c r="W217" s="7">
        <v>0.0</v>
      </c>
      <c r="X217" s="7" t="s">
        <v>720</v>
      </c>
      <c r="Y217" s="24" t="s">
        <v>701</v>
      </c>
      <c r="Z217" s="7">
        <v>1.3888888888888888</v>
      </c>
      <c r="AA217" s="7" t="str">
        <f t="shared" si="2"/>
        <v>A</v>
      </c>
      <c r="AB217" s="7">
        <f t="shared" si="3"/>
        <v>5.555555556</v>
      </c>
      <c r="AC217" s="7">
        <f t="shared" si="4"/>
        <v>0.18</v>
      </c>
      <c r="AD217" s="7"/>
      <c r="AE217" s="7"/>
      <c r="AF217" s="24">
        <f t="shared" si="1"/>
        <v>86000</v>
      </c>
    </row>
    <row r="218">
      <c r="A218" s="7" t="s">
        <v>487</v>
      </c>
      <c r="B218" s="7" t="s">
        <v>97</v>
      </c>
      <c r="C218" s="7" t="s">
        <v>26</v>
      </c>
      <c r="D218" s="7" t="s">
        <v>36</v>
      </c>
      <c r="E218" s="7">
        <v>18.0</v>
      </c>
      <c r="F218" s="7">
        <v>2005.0</v>
      </c>
      <c r="G218" s="7">
        <v>18.0</v>
      </c>
      <c r="H218" s="7">
        <v>15.0</v>
      </c>
      <c r="I218" s="25">
        <v>1282.0</v>
      </c>
      <c r="J218" s="7">
        <v>14.2</v>
      </c>
      <c r="K218" s="7">
        <v>1.0</v>
      </c>
      <c r="L218" s="7">
        <v>1.0</v>
      </c>
      <c r="M218" s="7">
        <v>2.0</v>
      </c>
      <c r="N218" s="7">
        <v>1.0</v>
      </c>
      <c r="O218" s="7">
        <v>0.0</v>
      </c>
      <c r="P218" s="7">
        <v>0.0</v>
      </c>
      <c r="Q218" s="7">
        <v>5.0</v>
      </c>
      <c r="R218" s="7">
        <v>0.0</v>
      </c>
      <c r="S218" s="7">
        <v>0.07</v>
      </c>
      <c r="T218" s="7">
        <v>0.07</v>
      </c>
      <c r="U218" s="7">
        <v>0.14</v>
      </c>
      <c r="V218" s="7">
        <v>0.07</v>
      </c>
      <c r="W218" s="7">
        <v>0.14</v>
      </c>
      <c r="X218" s="7" t="s">
        <v>729</v>
      </c>
      <c r="Y218" s="7" t="s">
        <v>684</v>
      </c>
      <c r="Z218" s="7">
        <v>1.6111111111111112</v>
      </c>
      <c r="AA218" s="7" t="str">
        <f t="shared" si="2"/>
        <v>M</v>
      </c>
      <c r="AB218" s="7">
        <f t="shared" si="3"/>
        <v>3.222222222</v>
      </c>
      <c r="AC218" s="7">
        <f t="shared" si="4"/>
        <v>0.3103448276</v>
      </c>
      <c r="AD218" s="7"/>
      <c r="AE218" s="7"/>
      <c r="AF218" s="24">
        <f t="shared" si="1"/>
        <v>200000</v>
      </c>
    </row>
    <row r="219">
      <c r="A219" s="7" t="s">
        <v>489</v>
      </c>
      <c r="B219" s="7" t="s">
        <v>157</v>
      </c>
      <c r="C219" s="7" t="s">
        <v>35</v>
      </c>
      <c r="D219" s="7" t="s">
        <v>128</v>
      </c>
      <c r="E219" s="7">
        <v>21.0</v>
      </c>
      <c r="F219" s="7">
        <v>2002.0</v>
      </c>
      <c r="G219" s="7">
        <v>35.0</v>
      </c>
      <c r="H219" s="7">
        <v>35.0</v>
      </c>
      <c r="I219" s="25">
        <v>3090.0</v>
      </c>
      <c r="J219" s="7">
        <v>34.3</v>
      </c>
      <c r="K219" s="7">
        <v>0.0</v>
      </c>
      <c r="L219" s="7">
        <v>2.0</v>
      </c>
      <c r="M219" s="7">
        <v>2.0</v>
      </c>
      <c r="N219" s="7">
        <v>0.0</v>
      </c>
      <c r="O219" s="7">
        <v>0.0</v>
      </c>
      <c r="P219" s="7">
        <v>0.0</v>
      </c>
      <c r="Q219" s="7">
        <v>8.0</v>
      </c>
      <c r="R219" s="7">
        <v>0.0</v>
      </c>
      <c r="S219" s="7">
        <v>0.0</v>
      </c>
      <c r="T219" s="7">
        <v>0.06</v>
      </c>
      <c r="U219" s="7">
        <v>0.06</v>
      </c>
      <c r="V219" s="7">
        <v>0.0</v>
      </c>
      <c r="W219" s="7">
        <v>0.06</v>
      </c>
      <c r="X219" s="7" t="s">
        <v>698</v>
      </c>
      <c r="Y219" s="7" t="s">
        <v>716</v>
      </c>
      <c r="Z219" s="7">
        <v>1.4166666666666667</v>
      </c>
      <c r="AA219" s="7" t="str">
        <f t="shared" si="2"/>
        <v>D</v>
      </c>
      <c r="AB219" s="7">
        <f t="shared" si="3"/>
        <v>1.416666667</v>
      </c>
      <c r="AC219" s="7">
        <f t="shared" si="4"/>
        <v>0.7058823529</v>
      </c>
      <c r="AD219" s="7"/>
      <c r="AE219" s="7"/>
      <c r="AF219" s="24">
        <f t="shared" si="1"/>
        <v>175000</v>
      </c>
    </row>
    <row r="220">
      <c r="A220" s="7" t="s">
        <v>491</v>
      </c>
      <c r="B220" s="7" t="s">
        <v>25</v>
      </c>
      <c r="C220" s="7" t="s">
        <v>26</v>
      </c>
      <c r="D220" s="7" t="s">
        <v>128</v>
      </c>
      <c r="E220" s="7">
        <v>17.0</v>
      </c>
      <c r="F220" s="7">
        <v>2006.0</v>
      </c>
      <c r="G220" s="7">
        <v>22.0</v>
      </c>
      <c r="H220" s="7">
        <v>2.0</v>
      </c>
      <c r="I220" s="7">
        <v>593.0</v>
      </c>
      <c r="J220" s="7">
        <v>6.6</v>
      </c>
      <c r="K220" s="7">
        <v>0.0</v>
      </c>
      <c r="L220" s="7">
        <v>0.0</v>
      </c>
      <c r="M220" s="7">
        <v>0.0</v>
      </c>
      <c r="N220" s="7">
        <v>0.0</v>
      </c>
      <c r="O220" s="7">
        <v>0.0</v>
      </c>
      <c r="P220" s="7">
        <v>0.0</v>
      </c>
      <c r="Q220" s="7">
        <v>2.0</v>
      </c>
      <c r="R220" s="7">
        <v>0.0</v>
      </c>
      <c r="S220" s="7">
        <v>0.0</v>
      </c>
      <c r="T220" s="7">
        <v>0.0</v>
      </c>
      <c r="U220" s="7">
        <v>0.0</v>
      </c>
      <c r="V220" s="7">
        <v>0.0</v>
      </c>
      <c r="W220" s="7">
        <v>0.0</v>
      </c>
      <c r="X220" s="7" t="s">
        <v>673</v>
      </c>
      <c r="Y220" s="7" t="s">
        <v>711</v>
      </c>
      <c r="Z220" s="7">
        <v>1.4166666666666667</v>
      </c>
      <c r="AA220" s="7" t="str">
        <f t="shared" si="2"/>
        <v>M</v>
      </c>
      <c r="AB220" s="7">
        <f t="shared" si="3"/>
        <v>2.833333333</v>
      </c>
      <c r="AC220" s="7">
        <f t="shared" si="4"/>
        <v>0.3529411765</v>
      </c>
      <c r="AD220" s="7"/>
      <c r="AE220" s="7"/>
      <c r="AF220" s="24">
        <f t="shared" si="1"/>
        <v>125000</v>
      </c>
    </row>
    <row r="221">
      <c r="A221" s="7" t="s">
        <v>493</v>
      </c>
      <c r="B221" s="7" t="s">
        <v>25</v>
      </c>
      <c r="C221" s="7" t="s">
        <v>35</v>
      </c>
      <c r="D221" s="7" t="s">
        <v>58</v>
      </c>
      <c r="E221" s="7">
        <v>30.0</v>
      </c>
      <c r="F221" s="7">
        <v>1993.0</v>
      </c>
      <c r="G221" s="7">
        <v>31.0</v>
      </c>
      <c r="H221" s="7">
        <v>31.0</v>
      </c>
      <c r="I221" s="25">
        <v>2762.0</v>
      </c>
      <c r="J221" s="7">
        <v>30.7</v>
      </c>
      <c r="K221" s="7">
        <v>0.0</v>
      </c>
      <c r="L221" s="7">
        <v>1.0</v>
      </c>
      <c r="M221" s="7">
        <v>1.0</v>
      </c>
      <c r="N221" s="7">
        <v>0.0</v>
      </c>
      <c r="O221" s="7">
        <v>0.0</v>
      </c>
      <c r="P221" s="7">
        <v>0.0</v>
      </c>
      <c r="Q221" s="7">
        <v>12.0</v>
      </c>
      <c r="R221" s="7">
        <v>1.0</v>
      </c>
      <c r="S221" s="7">
        <v>0.0</v>
      </c>
      <c r="T221" s="7">
        <v>0.03</v>
      </c>
      <c r="U221" s="7">
        <v>0.03</v>
      </c>
      <c r="V221" s="7">
        <v>0.0</v>
      </c>
      <c r="W221" s="7">
        <v>0.03</v>
      </c>
      <c r="X221" s="7" t="s">
        <v>688</v>
      </c>
      <c r="Y221" s="7" t="s">
        <v>687</v>
      </c>
      <c r="Z221" s="7">
        <v>0.75</v>
      </c>
      <c r="AA221" s="7" t="str">
        <f t="shared" si="2"/>
        <v>D</v>
      </c>
      <c r="AB221" s="7">
        <f t="shared" si="3"/>
        <v>0.75</v>
      </c>
      <c r="AC221" s="7">
        <f t="shared" si="4"/>
        <v>1.333333333</v>
      </c>
      <c r="AD221" s="7"/>
      <c r="AE221" s="7"/>
      <c r="AF221" s="24">
        <f t="shared" si="1"/>
        <v>25000</v>
      </c>
    </row>
    <row r="222">
      <c r="A222" s="7" t="s">
        <v>495</v>
      </c>
      <c r="B222" s="7" t="s">
        <v>25</v>
      </c>
      <c r="C222" s="7" t="s">
        <v>35</v>
      </c>
      <c r="D222" s="7" t="s">
        <v>44</v>
      </c>
      <c r="E222" s="7">
        <v>25.0</v>
      </c>
      <c r="F222" s="7">
        <v>1998.0</v>
      </c>
      <c r="G222" s="7">
        <v>33.0</v>
      </c>
      <c r="H222" s="7">
        <v>31.0</v>
      </c>
      <c r="I222" s="25">
        <v>2769.0</v>
      </c>
      <c r="J222" s="7">
        <v>30.8</v>
      </c>
      <c r="K222" s="7">
        <v>0.0</v>
      </c>
      <c r="L222" s="7">
        <v>1.0</v>
      </c>
      <c r="M222" s="7">
        <v>1.0</v>
      </c>
      <c r="N222" s="7">
        <v>0.0</v>
      </c>
      <c r="O222" s="7">
        <v>0.0</v>
      </c>
      <c r="P222" s="7">
        <v>0.0</v>
      </c>
      <c r="Q222" s="7">
        <v>9.0</v>
      </c>
      <c r="R222" s="7">
        <v>0.0</v>
      </c>
      <c r="S222" s="7">
        <v>0.0</v>
      </c>
      <c r="T222" s="7">
        <v>0.03</v>
      </c>
      <c r="U222" s="7">
        <v>0.03</v>
      </c>
      <c r="V222" s="7">
        <v>0.0</v>
      </c>
      <c r="W222" s="7">
        <v>0.03</v>
      </c>
      <c r="X222" s="7" t="s">
        <v>688</v>
      </c>
      <c r="Y222" s="7" t="s">
        <v>695</v>
      </c>
      <c r="Z222" s="7">
        <v>1.1944444444444444</v>
      </c>
      <c r="AA222" s="7" t="str">
        <f t="shared" si="2"/>
        <v>D</v>
      </c>
      <c r="AB222" s="7">
        <f t="shared" si="3"/>
        <v>1.194444444</v>
      </c>
      <c r="AC222" s="7">
        <f t="shared" si="4"/>
        <v>0.8372093023</v>
      </c>
      <c r="AD222" s="7"/>
      <c r="AE222" s="7"/>
      <c r="AF222" s="24">
        <f t="shared" si="1"/>
        <v>75000</v>
      </c>
    </row>
    <row r="223">
      <c r="A223" s="7" t="s">
        <v>497</v>
      </c>
      <c r="B223" s="7" t="s">
        <v>25</v>
      </c>
      <c r="C223" s="7" t="s">
        <v>55</v>
      </c>
      <c r="D223" s="7" t="s">
        <v>98</v>
      </c>
      <c r="E223" s="7">
        <v>35.0</v>
      </c>
      <c r="F223" s="7">
        <v>1988.0</v>
      </c>
      <c r="G223" s="7">
        <v>36.0</v>
      </c>
      <c r="H223" s="7">
        <v>36.0</v>
      </c>
      <c r="I223" s="25">
        <v>3230.0</v>
      </c>
      <c r="J223" s="7">
        <v>35.9</v>
      </c>
      <c r="K223" s="7">
        <v>14.0</v>
      </c>
      <c r="L223" s="7">
        <v>2.0</v>
      </c>
      <c r="M223" s="7">
        <v>16.0</v>
      </c>
      <c r="N223" s="7">
        <v>12.0</v>
      </c>
      <c r="O223" s="7">
        <v>2.0</v>
      </c>
      <c r="P223" s="7">
        <v>3.0</v>
      </c>
      <c r="Q223" s="7">
        <v>1.0</v>
      </c>
      <c r="R223" s="7">
        <v>0.0</v>
      </c>
      <c r="S223" s="7">
        <v>0.39</v>
      </c>
      <c r="T223" s="7">
        <v>0.06</v>
      </c>
      <c r="U223" s="7">
        <v>0.45</v>
      </c>
      <c r="V223" s="7">
        <v>0.33</v>
      </c>
      <c r="W223" s="7">
        <v>0.39</v>
      </c>
      <c r="X223" s="7" t="s">
        <v>693</v>
      </c>
      <c r="Y223" s="7" t="s">
        <v>716</v>
      </c>
      <c r="Z223" s="7">
        <v>1.3055555555555556</v>
      </c>
      <c r="AA223" s="7" t="str">
        <f t="shared" si="2"/>
        <v>A</v>
      </c>
      <c r="AB223" s="7">
        <f t="shared" si="3"/>
        <v>5.222222222</v>
      </c>
      <c r="AC223" s="7">
        <f t="shared" si="4"/>
        <v>0.1914893617</v>
      </c>
      <c r="AD223" s="7"/>
      <c r="AE223" s="7"/>
      <c r="AF223" s="24">
        <f t="shared" si="1"/>
        <v>175000</v>
      </c>
    </row>
    <row r="224">
      <c r="A224" s="7" t="s">
        <v>499</v>
      </c>
      <c r="B224" s="7" t="s">
        <v>43</v>
      </c>
      <c r="C224" s="7" t="s">
        <v>30</v>
      </c>
      <c r="D224" s="7" t="s">
        <v>62</v>
      </c>
      <c r="E224" s="7">
        <v>25.0</v>
      </c>
      <c r="F224" s="7">
        <v>1998.0</v>
      </c>
      <c r="G224" s="7">
        <v>32.0</v>
      </c>
      <c r="H224" s="7">
        <v>18.0</v>
      </c>
      <c r="I224" s="25">
        <v>1723.0</v>
      </c>
      <c r="J224" s="7">
        <v>19.1</v>
      </c>
      <c r="K224" s="7">
        <v>4.0</v>
      </c>
      <c r="L224" s="7">
        <v>3.0</v>
      </c>
      <c r="M224" s="7">
        <v>7.0</v>
      </c>
      <c r="N224" s="7">
        <v>4.0</v>
      </c>
      <c r="O224" s="7">
        <v>0.0</v>
      </c>
      <c r="P224" s="7">
        <v>0.0</v>
      </c>
      <c r="Q224" s="7">
        <v>4.0</v>
      </c>
      <c r="R224" s="7">
        <v>0.0</v>
      </c>
      <c r="S224" s="7">
        <v>0.21</v>
      </c>
      <c r="T224" s="7">
        <v>0.16</v>
      </c>
      <c r="U224" s="7">
        <v>0.37</v>
      </c>
      <c r="V224" s="7">
        <v>0.21</v>
      </c>
      <c r="W224" s="7">
        <v>0.37</v>
      </c>
      <c r="X224" s="1" t="s">
        <v>692</v>
      </c>
      <c r="Y224" s="24" t="s">
        <v>700</v>
      </c>
      <c r="Z224" s="7">
        <v>0.8055555555555556</v>
      </c>
      <c r="AA224" s="7" t="str">
        <f t="shared" si="2"/>
        <v>M</v>
      </c>
      <c r="AB224" s="7">
        <f t="shared" si="3"/>
        <v>1.611111111</v>
      </c>
      <c r="AC224" s="7">
        <f t="shared" si="4"/>
        <v>0.6206896552</v>
      </c>
      <c r="AD224" s="7"/>
      <c r="AE224" s="7"/>
      <c r="AF224" s="24">
        <f t="shared" si="1"/>
        <v>20000</v>
      </c>
    </row>
    <row r="225">
      <c r="A225" s="7" t="s">
        <v>501</v>
      </c>
      <c r="B225" s="7" t="s">
        <v>25</v>
      </c>
      <c r="C225" s="7" t="s">
        <v>55</v>
      </c>
      <c r="D225" s="7" t="s">
        <v>52</v>
      </c>
      <c r="E225" s="7">
        <v>32.0</v>
      </c>
      <c r="F225" s="7">
        <v>1991.0</v>
      </c>
      <c r="G225" s="7">
        <v>30.0</v>
      </c>
      <c r="H225" s="7">
        <v>27.0</v>
      </c>
      <c r="I225" s="25">
        <v>2352.0</v>
      </c>
      <c r="J225" s="7">
        <v>26.1</v>
      </c>
      <c r="K225" s="7">
        <v>14.0</v>
      </c>
      <c r="L225" s="7">
        <v>3.0</v>
      </c>
      <c r="M225" s="7">
        <v>17.0</v>
      </c>
      <c r="N225" s="7">
        <v>11.0</v>
      </c>
      <c r="O225" s="7">
        <v>3.0</v>
      </c>
      <c r="P225" s="7">
        <v>3.0</v>
      </c>
      <c r="Q225" s="7">
        <v>6.0</v>
      </c>
      <c r="R225" s="7">
        <v>0.0</v>
      </c>
      <c r="S225" s="7">
        <v>0.54</v>
      </c>
      <c r="T225" s="7">
        <v>0.11</v>
      </c>
      <c r="U225" s="7">
        <v>0.65</v>
      </c>
      <c r="V225" s="7">
        <v>0.42</v>
      </c>
      <c r="W225" s="7">
        <v>0.54</v>
      </c>
      <c r="X225" s="7" t="s">
        <v>685</v>
      </c>
      <c r="Y225" s="7" t="s">
        <v>668</v>
      </c>
      <c r="Z225" s="7">
        <v>0.8611111111111112</v>
      </c>
      <c r="AA225" s="7" t="str">
        <f t="shared" si="2"/>
        <v>A</v>
      </c>
      <c r="AB225" s="7">
        <f t="shared" si="3"/>
        <v>3.444444444</v>
      </c>
      <c r="AC225" s="7">
        <f t="shared" si="4"/>
        <v>0.2903225806</v>
      </c>
      <c r="AD225" s="7"/>
      <c r="AE225" s="7"/>
      <c r="AF225" s="24">
        <f t="shared" si="1"/>
        <v>100000</v>
      </c>
    </row>
    <row r="226">
      <c r="A226" s="7" t="s">
        <v>503</v>
      </c>
      <c r="B226" s="7" t="s">
        <v>25</v>
      </c>
      <c r="C226" s="7" t="s">
        <v>26</v>
      </c>
      <c r="D226" s="7" t="s">
        <v>52</v>
      </c>
      <c r="E226" s="7">
        <v>31.0</v>
      </c>
      <c r="F226" s="7">
        <v>1992.0</v>
      </c>
      <c r="G226" s="7">
        <v>13.0</v>
      </c>
      <c r="H226" s="7">
        <v>3.0</v>
      </c>
      <c r="I226" s="7">
        <v>502.0</v>
      </c>
      <c r="J226" s="7">
        <v>5.6</v>
      </c>
      <c r="K226" s="7">
        <v>0.0</v>
      </c>
      <c r="L226" s="7">
        <v>1.0</v>
      </c>
      <c r="M226" s="7">
        <v>1.0</v>
      </c>
      <c r="N226" s="7">
        <v>0.0</v>
      </c>
      <c r="O226" s="7">
        <v>0.0</v>
      </c>
      <c r="P226" s="7">
        <v>0.0</v>
      </c>
      <c r="Q226" s="7">
        <v>0.0</v>
      </c>
      <c r="R226" s="7">
        <v>0.0</v>
      </c>
      <c r="S226" s="7">
        <v>0.0</v>
      </c>
      <c r="T226" s="7">
        <v>0.18</v>
      </c>
      <c r="U226" s="7">
        <v>0.18</v>
      </c>
      <c r="V226" s="7">
        <v>0.0</v>
      </c>
      <c r="W226" s="7">
        <v>0.18</v>
      </c>
      <c r="X226" s="7" t="s">
        <v>690</v>
      </c>
      <c r="Y226" s="7" t="s">
        <v>671</v>
      </c>
      <c r="Z226" s="7">
        <v>0.8611111111111112</v>
      </c>
      <c r="AA226" s="7" t="str">
        <f t="shared" si="2"/>
        <v>M</v>
      </c>
      <c r="AB226" s="7">
        <f t="shared" si="3"/>
        <v>1.722222222</v>
      </c>
      <c r="AC226" s="7">
        <f t="shared" si="4"/>
        <v>0.5806451613</v>
      </c>
      <c r="AD226" s="7"/>
      <c r="AE226" s="7"/>
      <c r="AF226" s="24">
        <f t="shared" si="1"/>
        <v>50000</v>
      </c>
    </row>
    <row r="227">
      <c r="A227" s="7" t="s">
        <v>505</v>
      </c>
      <c r="B227" s="7" t="s">
        <v>25</v>
      </c>
      <c r="C227" s="7" t="s">
        <v>26</v>
      </c>
      <c r="D227" s="7" t="s">
        <v>80</v>
      </c>
      <c r="E227" s="7">
        <v>25.0</v>
      </c>
      <c r="F227" s="7">
        <v>1998.0</v>
      </c>
      <c r="G227" s="7">
        <v>19.0</v>
      </c>
      <c r="H227" s="7">
        <v>15.0</v>
      </c>
      <c r="I227" s="25">
        <v>1137.0</v>
      </c>
      <c r="J227" s="7">
        <v>12.6</v>
      </c>
      <c r="K227" s="7">
        <v>0.0</v>
      </c>
      <c r="L227" s="7">
        <v>1.0</v>
      </c>
      <c r="M227" s="7">
        <v>1.0</v>
      </c>
      <c r="N227" s="7">
        <v>0.0</v>
      </c>
      <c r="O227" s="7">
        <v>0.0</v>
      </c>
      <c r="P227" s="7">
        <v>0.0</v>
      </c>
      <c r="Q227" s="7">
        <v>6.0</v>
      </c>
      <c r="R227" s="7">
        <v>0.0</v>
      </c>
      <c r="S227" s="7">
        <v>0.0</v>
      </c>
      <c r="T227" s="7">
        <v>0.08</v>
      </c>
      <c r="U227" s="7">
        <v>0.08</v>
      </c>
      <c r="V227" s="7">
        <v>0.0</v>
      </c>
      <c r="W227" s="7">
        <v>0.08</v>
      </c>
      <c r="X227" s="7" t="s">
        <v>709</v>
      </c>
      <c r="Y227" s="7" t="s">
        <v>668</v>
      </c>
      <c r="Z227" s="7">
        <v>1.3888888888888888</v>
      </c>
      <c r="AA227" s="7" t="str">
        <f t="shared" si="2"/>
        <v>M</v>
      </c>
      <c r="AB227" s="7">
        <f t="shared" si="3"/>
        <v>2.777777778</v>
      </c>
      <c r="AC227" s="7">
        <f t="shared" si="4"/>
        <v>0.36</v>
      </c>
      <c r="AD227" s="7"/>
      <c r="AE227" s="7"/>
      <c r="AF227" s="24">
        <f t="shared" si="1"/>
        <v>100000</v>
      </c>
    </row>
    <row r="228">
      <c r="A228" s="7" t="s">
        <v>507</v>
      </c>
      <c r="B228" s="7" t="s">
        <v>70</v>
      </c>
      <c r="C228" s="7" t="s">
        <v>26</v>
      </c>
      <c r="D228" s="7" t="s">
        <v>52</v>
      </c>
      <c r="E228" s="7">
        <v>27.0</v>
      </c>
      <c r="F228" s="7">
        <v>1996.0</v>
      </c>
      <c r="G228" s="7">
        <v>36.0</v>
      </c>
      <c r="H228" s="7">
        <v>35.0</v>
      </c>
      <c r="I228" s="25">
        <v>2979.0</v>
      </c>
      <c r="J228" s="7">
        <v>33.1</v>
      </c>
      <c r="K228" s="7">
        <v>3.0</v>
      </c>
      <c r="L228" s="7">
        <v>5.0</v>
      </c>
      <c r="M228" s="7">
        <v>8.0</v>
      </c>
      <c r="N228" s="7">
        <v>3.0</v>
      </c>
      <c r="O228" s="7">
        <v>0.0</v>
      </c>
      <c r="P228" s="7">
        <v>0.0</v>
      </c>
      <c r="Q228" s="7">
        <v>6.0</v>
      </c>
      <c r="R228" s="7">
        <v>0.0</v>
      </c>
      <c r="S228" s="7">
        <v>0.09</v>
      </c>
      <c r="T228" s="7">
        <v>0.15</v>
      </c>
      <c r="U228" s="7">
        <v>0.24</v>
      </c>
      <c r="V228" s="7">
        <v>0.09</v>
      </c>
      <c r="W228" s="7">
        <v>0.24</v>
      </c>
      <c r="X228" s="7" t="s">
        <v>682</v>
      </c>
      <c r="Y228" s="7" t="s">
        <v>689</v>
      </c>
      <c r="Z228" s="7">
        <v>0.8611111111111112</v>
      </c>
      <c r="AA228" s="7" t="str">
        <f t="shared" si="2"/>
        <v>M</v>
      </c>
      <c r="AB228" s="7">
        <f t="shared" si="3"/>
        <v>1.722222222</v>
      </c>
      <c r="AC228" s="7">
        <f t="shared" si="4"/>
        <v>0.5806451613</v>
      </c>
      <c r="AD228" s="7"/>
      <c r="AE228" s="7"/>
      <c r="AF228" s="24">
        <f t="shared" si="1"/>
        <v>350000</v>
      </c>
    </row>
    <row r="229">
      <c r="A229" s="7" t="s">
        <v>509</v>
      </c>
      <c r="B229" s="7" t="s">
        <v>510</v>
      </c>
      <c r="C229" s="7" t="s">
        <v>35</v>
      </c>
      <c r="D229" s="7" t="s">
        <v>31</v>
      </c>
      <c r="E229" s="7">
        <v>31.0</v>
      </c>
      <c r="F229" s="7">
        <v>1992.0</v>
      </c>
      <c r="G229" s="7">
        <v>33.0</v>
      </c>
      <c r="H229" s="7">
        <v>31.0</v>
      </c>
      <c r="I229" s="25">
        <v>2818.0</v>
      </c>
      <c r="J229" s="7">
        <v>31.3</v>
      </c>
      <c r="K229" s="7">
        <v>1.0</v>
      </c>
      <c r="L229" s="7">
        <v>0.0</v>
      </c>
      <c r="M229" s="7">
        <v>1.0</v>
      </c>
      <c r="N229" s="7">
        <v>1.0</v>
      </c>
      <c r="O229" s="7">
        <v>0.0</v>
      </c>
      <c r="P229" s="7">
        <v>0.0</v>
      </c>
      <c r="Q229" s="7">
        <v>10.0</v>
      </c>
      <c r="R229" s="7">
        <v>1.0</v>
      </c>
      <c r="S229" s="7">
        <v>0.03</v>
      </c>
      <c r="T229" s="7">
        <v>0.0</v>
      </c>
      <c r="U229" s="7">
        <v>0.03</v>
      </c>
      <c r="V229" s="7">
        <v>0.03</v>
      </c>
      <c r="W229" s="7">
        <v>0.03</v>
      </c>
      <c r="X229" s="7" t="s">
        <v>690</v>
      </c>
      <c r="Y229" s="7" t="s">
        <v>695</v>
      </c>
      <c r="Z229" s="7">
        <v>0.9722222222222222</v>
      </c>
      <c r="AA229" s="7" t="str">
        <f t="shared" si="2"/>
        <v>D</v>
      </c>
      <c r="AB229" s="7">
        <f t="shared" si="3"/>
        <v>0.9722222222</v>
      </c>
      <c r="AC229" s="7">
        <f t="shared" si="4"/>
        <v>1.028571429</v>
      </c>
      <c r="AD229" s="7"/>
      <c r="AE229" s="7"/>
      <c r="AF229" s="24">
        <f t="shared" si="1"/>
        <v>75000</v>
      </c>
    </row>
    <row r="230">
      <c r="A230" s="7" t="s">
        <v>512</v>
      </c>
      <c r="B230" s="7" t="s">
        <v>34</v>
      </c>
      <c r="C230" s="7" t="s">
        <v>47</v>
      </c>
      <c r="D230" s="7" t="s">
        <v>58</v>
      </c>
      <c r="E230" s="7">
        <v>23.0</v>
      </c>
      <c r="F230" s="7">
        <v>2001.0</v>
      </c>
      <c r="G230" s="7">
        <v>10.0</v>
      </c>
      <c r="H230" s="7">
        <v>7.0</v>
      </c>
      <c r="I230" s="7">
        <v>573.0</v>
      </c>
      <c r="J230" s="7">
        <v>6.4</v>
      </c>
      <c r="K230" s="7">
        <v>2.0</v>
      </c>
      <c r="L230" s="7">
        <v>0.0</v>
      </c>
      <c r="M230" s="7">
        <v>2.0</v>
      </c>
      <c r="N230" s="7">
        <v>2.0</v>
      </c>
      <c r="O230" s="7">
        <v>0.0</v>
      </c>
      <c r="P230" s="7">
        <v>0.0</v>
      </c>
      <c r="Q230" s="7">
        <v>0.0</v>
      </c>
      <c r="R230" s="7">
        <v>0.0</v>
      </c>
      <c r="S230" s="7">
        <v>0.31</v>
      </c>
      <c r="T230" s="7">
        <v>0.0</v>
      </c>
      <c r="U230" s="7">
        <v>0.31</v>
      </c>
      <c r="V230" s="7">
        <v>0.31</v>
      </c>
      <c r="W230" s="7">
        <v>0.31</v>
      </c>
      <c r="X230" s="7" t="s">
        <v>678</v>
      </c>
      <c r="Y230" s="24" t="s">
        <v>677</v>
      </c>
      <c r="Z230" s="7">
        <v>0.75</v>
      </c>
      <c r="AA230" s="7" t="str">
        <f t="shared" si="2"/>
        <v>M</v>
      </c>
      <c r="AB230" s="7">
        <f t="shared" si="3"/>
        <v>1.5</v>
      </c>
      <c r="AC230" s="7">
        <f t="shared" si="4"/>
        <v>0.6666666667</v>
      </c>
      <c r="AD230" s="7"/>
      <c r="AE230" s="7"/>
      <c r="AF230" s="24">
        <f t="shared" si="1"/>
        <v>19000</v>
      </c>
    </row>
    <row r="231">
      <c r="A231" s="7" t="s">
        <v>514</v>
      </c>
      <c r="B231" s="7" t="s">
        <v>34</v>
      </c>
      <c r="C231" s="7" t="s">
        <v>35</v>
      </c>
      <c r="D231" s="7" t="s">
        <v>128</v>
      </c>
      <c r="E231" s="7">
        <v>23.0</v>
      </c>
      <c r="F231" s="7">
        <v>2000.0</v>
      </c>
      <c r="G231" s="7">
        <v>36.0</v>
      </c>
      <c r="H231" s="7">
        <v>36.0</v>
      </c>
      <c r="I231" s="25">
        <v>3220.0</v>
      </c>
      <c r="J231" s="7">
        <v>35.8</v>
      </c>
      <c r="K231" s="7">
        <v>2.0</v>
      </c>
      <c r="L231" s="7">
        <v>1.0</v>
      </c>
      <c r="M231" s="7">
        <v>3.0</v>
      </c>
      <c r="N231" s="7">
        <v>2.0</v>
      </c>
      <c r="O231" s="7">
        <v>0.0</v>
      </c>
      <c r="P231" s="7">
        <v>0.0</v>
      </c>
      <c r="Q231" s="7">
        <v>7.0</v>
      </c>
      <c r="R231" s="7">
        <v>0.0</v>
      </c>
      <c r="S231" s="7">
        <v>0.06</v>
      </c>
      <c r="T231" s="7">
        <v>0.03</v>
      </c>
      <c r="U231" s="7">
        <v>0.08</v>
      </c>
      <c r="V231" s="7">
        <v>0.06</v>
      </c>
      <c r="W231" s="7">
        <v>0.08</v>
      </c>
      <c r="X231" s="7" t="s">
        <v>729</v>
      </c>
      <c r="Y231" s="7" t="s">
        <v>707</v>
      </c>
      <c r="Z231" s="7">
        <v>1.4166666666666667</v>
      </c>
      <c r="AA231" s="7" t="str">
        <f t="shared" si="2"/>
        <v>D</v>
      </c>
      <c r="AB231" s="7">
        <f t="shared" si="3"/>
        <v>1.416666667</v>
      </c>
      <c r="AC231" s="7">
        <f t="shared" si="4"/>
        <v>0.7058823529</v>
      </c>
      <c r="AD231" s="7"/>
      <c r="AE231" s="7"/>
      <c r="AF231" s="24">
        <f t="shared" si="1"/>
        <v>150000</v>
      </c>
    </row>
    <row r="232">
      <c r="A232" s="7" t="s">
        <v>516</v>
      </c>
      <c r="B232" s="7" t="s">
        <v>25</v>
      </c>
      <c r="C232" s="7" t="s">
        <v>83</v>
      </c>
      <c r="D232" s="7" t="s">
        <v>62</v>
      </c>
      <c r="E232" s="7">
        <v>27.0</v>
      </c>
      <c r="F232" s="7">
        <v>1996.0</v>
      </c>
      <c r="G232" s="7">
        <v>13.0</v>
      </c>
      <c r="H232" s="7">
        <v>8.0</v>
      </c>
      <c r="I232" s="7">
        <v>660.0</v>
      </c>
      <c r="J232" s="7">
        <v>7.3</v>
      </c>
      <c r="K232" s="7">
        <v>0.0</v>
      </c>
      <c r="L232" s="7">
        <v>1.0</v>
      </c>
      <c r="M232" s="7">
        <v>1.0</v>
      </c>
      <c r="N232" s="7">
        <v>0.0</v>
      </c>
      <c r="O232" s="7">
        <v>0.0</v>
      </c>
      <c r="P232" s="7">
        <v>0.0</v>
      </c>
      <c r="Q232" s="7">
        <v>0.0</v>
      </c>
      <c r="R232" s="7">
        <v>0.0</v>
      </c>
      <c r="S232" s="7">
        <v>0.0</v>
      </c>
      <c r="T232" s="7">
        <v>0.14</v>
      </c>
      <c r="U232" s="7">
        <v>0.14</v>
      </c>
      <c r="V232" s="7">
        <v>0.0</v>
      </c>
      <c r="W232" s="7">
        <v>0.14</v>
      </c>
      <c r="X232" s="7" t="s">
        <v>704</v>
      </c>
      <c r="Y232" s="7" t="s">
        <v>695</v>
      </c>
      <c r="Z232" s="7">
        <v>0.8055555555555556</v>
      </c>
      <c r="AA232" s="7" t="str">
        <f t="shared" si="2"/>
        <v>D</v>
      </c>
      <c r="AB232" s="7">
        <f t="shared" si="3"/>
        <v>0.8055555556</v>
      </c>
      <c r="AC232" s="7">
        <f t="shared" si="4"/>
        <v>1.24137931</v>
      </c>
      <c r="AD232" s="7"/>
      <c r="AE232" s="7"/>
      <c r="AF232" s="24">
        <f t="shared" si="1"/>
        <v>75000</v>
      </c>
    </row>
    <row r="233">
      <c r="A233" s="7" t="s">
        <v>518</v>
      </c>
      <c r="B233" s="7" t="s">
        <v>393</v>
      </c>
      <c r="C233" s="7" t="s">
        <v>47</v>
      </c>
      <c r="D233" s="7" t="s">
        <v>128</v>
      </c>
      <c r="E233" s="7">
        <v>23.0</v>
      </c>
      <c r="F233" s="7">
        <v>2001.0</v>
      </c>
      <c r="G233" s="7">
        <v>11.0</v>
      </c>
      <c r="H233" s="7">
        <v>2.0</v>
      </c>
      <c r="I233" s="7">
        <v>345.0</v>
      </c>
      <c r="J233" s="7">
        <v>3.8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>
        <v>0.0</v>
      </c>
      <c r="Q233" s="7">
        <v>2.0</v>
      </c>
      <c r="R233" s="7">
        <v>0.0</v>
      </c>
      <c r="S233" s="7">
        <v>0.0</v>
      </c>
      <c r="T233" s="7">
        <v>0.0</v>
      </c>
      <c r="U233" s="7">
        <v>0.0</v>
      </c>
      <c r="V233" s="7">
        <v>0.0</v>
      </c>
      <c r="W233" s="7">
        <v>0.0</v>
      </c>
      <c r="X233" s="7" t="s">
        <v>678</v>
      </c>
      <c r="Y233" s="7" t="s">
        <v>695</v>
      </c>
      <c r="Z233" s="7">
        <v>1.4166666666666667</v>
      </c>
      <c r="AA233" s="7" t="str">
        <f t="shared" si="2"/>
        <v>M</v>
      </c>
      <c r="AB233" s="7">
        <f t="shared" si="3"/>
        <v>2.833333333</v>
      </c>
      <c r="AC233" s="7">
        <f t="shared" si="4"/>
        <v>0.3529411765</v>
      </c>
      <c r="AD233" s="7"/>
      <c r="AE233" s="7"/>
      <c r="AF233" s="24">
        <f t="shared" si="1"/>
        <v>75000</v>
      </c>
    </row>
    <row r="234">
      <c r="A234" s="7" t="s">
        <v>520</v>
      </c>
      <c r="B234" s="7" t="s">
        <v>25</v>
      </c>
      <c r="C234" s="7" t="s">
        <v>26</v>
      </c>
      <c r="D234" s="7" t="s">
        <v>44</v>
      </c>
      <c r="E234" s="7">
        <v>17.0</v>
      </c>
      <c r="F234" s="7">
        <v>2006.0</v>
      </c>
      <c r="G234" s="7">
        <v>1.0</v>
      </c>
      <c r="H234" s="7">
        <v>0.0</v>
      </c>
      <c r="I234" s="7">
        <v>26.0</v>
      </c>
      <c r="J234" s="7">
        <v>0.3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>
        <v>0.0</v>
      </c>
      <c r="Q234" s="7">
        <v>0.0</v>
      </c>
      <c r="R234" s="7">
        <v>0.0</v>
      </c>
      <c r="S234" s="7">
        <v>0.0</v>
      </c>
      <c r="T234" s="7">
        <v>0.0</v>
      </c>
      <c r="U234" s="7">
        <v>0.0</v>
      </c>
      <c r="V234" s="7">
        <v>0.0</v>
      </c>
      <c r="W234" s="7">
        <v>0.0</v>
      </c>
      <c r="X234" s="1" t="s">
        <v>692</v>
      </c>
      <c r="Y234" s="24" t="s">
        <v>700</v>
      </c>
      <c r="Z234" s="7">
        <v>1.1944444444444444</v>
      </c>
      <c r="AA234" s="7" t="str">
        <f t="shared" si="2"/>
        <v>M</v>
      </c>
      <c r="AB234" s="7">
        <f t="shared" si="3"/>
        <v>2.388888889</v>
      </c>
      <c r="AC234" s="7">
        <f t="shared" si="4"/>
        <v>0.4186046512</v>
      </c>
      <c r="AD234" s="7"/>
      <c r="AE234" s="7"/>
      <c r="AF234" s="24">
        <f t="shared" si="1"/>
        <v>20000</v>
      </c>
    </row>
    <row r="235">
      <c r="A235" s="7" t="s">
        <v>522</v>
      </c>
      <c r="B235" s="7" t="s">
        <v>34</v>
      </c>
      <c r="C235" s="7" t="s">
        <v>77</v>
      </c>
      <c r="D235" s="7" t="s">
        <v>128</v>
      </c>
      <c r="E235" s="7">
        <v>39.0</v>
      </c>
      <c r="F235" s="7">
        <v>1984.0</v>
      </c>
      <c r="G235" s="7">
        <v>1.0</v>
      </c>
      <c r="H235" s="7">
        <v>0.0</v>
      </c>
      <c r="I235" s="7">
        <v>9.0</v>
      </c>
      <c r="J235" s="7">
        <v>0.1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Q235" s="7">
        <v>0.0</v>
      </c>
      <c r="R235" s="7">
        <v>0.0</v>
      </c>
      <c r="S235" s="7">
        <v>0.0</v>
      </c>
      <c r="T235" s="7">
        <v>0.0</v>
      </c>
      <c r="U235" s="7">
        <v>0.0</v>
      </c>
      <c r="V235" s="7">
        <v>0.0</v>
      </c>
      <c r="W235" s="7">
        <v>0.0</v>
      </c>
      <c r="X235" s="7" t="s">
        <v>719</v>
      </c>
      <c r="Y235" s="7" t="s">
        <v>668</v>
      </c>
      <c r="Z235" s="7">
        <v>1.4166666666666667</v>
      </c>
      <c r="AA235" s="7" t="str">
        <f t="shared" si="2"/>
        <v>D</v>
      </c>
      <c r="AB235" s="7">
        <f t="shared" si="3"/>
        <v>1.416666667</v>
      </c>
      <c r="AC235" s="7">
        <f t="shared" si="4"/>
        <v>0.7058823529</v>
      </c>
      <c r="AD235" s="7"/>
      <c r="AE235" s="7"/>
      <c r="AF235" s="24">
        <f t="shared" si="1"/>
        <v>100000</v>
      </c>
    </row>
    <row r="236">
      <c r="A236" s="7" t="s">
        <v>524</v>
      </c>
      <c r="B236" s="7" t="s">
        <v>25</v>
      </c>
      <c r="C236" s="7" t="s">
        <v>47</v>
      </c>
      <c r="D236" s="7" t="s">
        <v>31</v>
      </c>
      <c r="E236" s="7">
        <v>32.0</v>
      </c>
      <c r="F236" s="7">
        <v>1991.0</v>
      </c>
      <c r="G236" s="7">
        <v>14.0</v>
      </c>
      <c r="H236" s="7">
        <v>6.0</v>
      </c>
      <c r="I236" s="7">
        <v>561.0</v>
      </c>
      <c r="J236" s="7">
        <v>6.2</v>
      </c>
      <c r="K236" s="7">
        <v>1.0</v>
      </c>
      <c r="L236" s="7">
        <v>0.0</v>
      </c>
      <c r="M236" s="7">
        <v>1.0</v>
      </c>
      <c r="N236" s="7">
        <v>1.0</v>
      </c>
      <c r="O236" s="7">
        <v>0.0</v>
      </c>
      <c r="P236" s="7">
        <v>0.0</v>
      </c>
      <c r="Q236" s="7">
        <v>2.0</v>
      </c>
      <c r="R236" s="7">
        <v>0.0</v>
      </c>
      <c r="S236" s="7">
        <v>0.16</v>
      </c>
      <c r="T236" s="7">
        <v>0.0</v>
      </c>
      <c r="U236" s="7">
        <v>0.16</v>
      </c>
      <c r="V236" s="7">
        <v>0.16</v>
      </c>
      <c r="W236" s="7">
        <v>0.16</v>
      </c>
      <c r="X236" s="7" t="s">
        <v>688</v>
      </c>
      <c r="Y236" s="24" t="s">
        <v>697</v>
      </c>
      <c r="Z236" s="7">
        <v>0.9722222222222222</v>
      </c>
      <c r="AA236" s="7" t="str">
        <f t="shared" si="2"/>
        <v>M</v>
      </c>
      <c r="AB236" s="7">
        <f t="shared" si="3"/>
        <v>1.944444444</v>
      </c>
      <c r="AC236" s="7">
        <f t="shared" si="4"/>
        <v>0.5142857143</v>
      </c>
      <c r="AD236" s="7"/>
      <c r="AE236" s="7"/>
      <c r="AF236" s="24">
        <f t="shared" si="1"/>
        <v>65000</v>
      </c>
    </row>
    <row r="237">
      <c r="A237" s="7" t="s">
        <v>526</v>
      </c>
      <c r="B237" s="7" t="s">
        <v>25</v>
      </c>
      <c r="C237" s="7" t="s">
        <v>35</v>
      </c>
      <c r="D237" s="7" t="s">
        <v>44</v>
      </c>
      <c r="E237" s="7">
        <v>29.0</v>
      </c>
      <c r="F237" s="7">
        <v>1994.0</v>
      </c>
      <c r="G237" s="7">
        <v>1.0</v>
      </c>
      <c r="H237" s="7">
        <v>1.0</v>
      </c>
      <c r="I237" s="7">
        <v>33.0</v>
      </c>
      <c r="J237" s="7">
        <v>0.4</v>
      </c>
      <c r="K237" s="7">
        <v>0.0</v>
      </c>
      <c r="L237" s="7">
        <v>0.0</v>
      </c>
      <c r="M237" s="7">
        <v>0.0</v>
      </c>
      <c r="N237" s="7">
        <v>0.0</v>
      </c>
      <c r="O237" s="7">
        <v>0.0</v>
      </c>
      <c r="P237" s="7">
        <v>0.0</v>
      </c>
      <c r="Q237" s="7">
        <v>0.0</v>
      </c>
      <c r="R237" s="7">
        <v>0.0</v>
      </c>
      <c r="S237" s="7">
        <v>0.0</v>
      </c>
      <c r="T237" s="7">
        <v>0.0</v>
      </c>
      <c r="U237" s="7">
        <v>0.0</v>
      </c>
      <c r="V237" s="7">
        <v>0.0</v>
      </c>
      <c r="W237" s="7">
        <v>0.0</v>
      </c>
      <c r="X237" s="7" t="s">
        <v>685</v>
      </c>
      <c r="Y237" s="7" t="s">
        <v>687</v>
      </c>
      <c r="Z237" s="7">
        <v>1.1944444444444444</v>
      </c>
      <c r="AA237" s="7" t="str">
        <f t="shared" si="2"/>
        <v>D</v>
      </c>
      <c r="AB237" s="7">
        <f t="shared" si="3"/>
        <v>1.194444444</v>
      </c>
      <c r="AC237" s="7">
        <f t="shared" si="4"/>
        <v>0.8372093023</v>
      </c>
      <c r="AD237" s="7"/>
      <c r="AE237" s="7"/>
      <c r="AF237" s="24">
        <f t="shared" si="1"/>
        <v>25000</v>
      </c>
    </row>
    <row r="238">
      <c r="A238" s="7" t="s">
        <v>528</v>
      </c>
      <c r="B238" s="7" t="s">
        <v>25</v>
      </c>
      <c r="C238" s="7" t="s">
        <v>35</v>
      </c>
      <c r="D238" s="7" t="s">
        <v>62</v>
      </c>
      <c r="E238" s="7">
        <v>25.0</v>
      </c>
      <c r="F238" s="7">
        <v>1998.0</v>
      </c>
      <c r="G238" s="7">
        <v>28.0</v>
      </c>
      <c r="H238" s="7">
        <v>22.0</v>
      </c>
      <c r="I238" s="25">
        <v>1949.0</v>
      </c>
      <c r="J238" s="7">
        <v>21.7</v>
      </c>
      <c r="K238" s="7">
        <v>2.0</v>
      </c>
      <c r="L238" s="7">
        <v>1.0</v>
      </c>
      <c r="M238" s="7">
        <v>3.0</v>
      </c>
      <c r="N238" s="7">
        <v>2.0</v>
      </c>
      <c r="O238" s="7">
        <v>0.0</v>
      </c>
      <c r="P238" s="7">
        <v>0.0</v>
      </c>
      <c r="Q238" s="7">
        <v>5.0</v>
      </c>
      <c r="R238" s="7">
        <v>0.0</v>
      </c>
      <c r="S238" s="7">
        <v>0.09</v>
      </c>
      <c r="T238" s="7">
        <v>0.05</v>
      </c>
      <c r="U238" s="7">
        <v>0.14</v>
      </c>
      <c r="V238" s="7">
        <v>0.09</v>
      </c>
      <c r="W238" s="7">
        <v>0.14</v>
      </c>
      <c r="X238" s="1" t="s">
        <v>692</v>
      </c>
      <c r="Y238" s="24" t="s">
        <v>677</v>
      </c>
      <c r="Z238" s="7">
        <v>0.8055555555555556</v>
      </c>
      <c r="AA238" s="7" t="str">
        <f t="shared" si="2"/>
        <v>D</v>
      </c>
      <c r="AB238" s="7">
        <f t="shared" si="3"/>
        <v>0.8055555556</v>
      </c>
      <c r="AC238" s="7">
        <f t="shared" si="4"/>
        <v>1.24137931</v>
      </c>
      <c r="AD238" s="7"/>
      <c r="AE238" s="7"/>
      <c r="AF238" s="24">
        <f t="shared" si="1"/>
        <v>19000</v>
      </c>
    </row>
    <row r="239">
      <c r="A239" s="7" t="s">
        <v>530</v>
      </c>
      <c r="B239" s="7" t="s">
        <v>25</v>
      </c>
      <c r="C239" s="7" t="s">
        <v>26</v>
      </c>
      <c r="D239" s="7" t="s">
        <v>80</v>
      </c>
      <c r="E239" s="7">
        <v>31.0</v>
      </c>
      <c r="F239" s="7">
        <v>1992.0</v>
      </c>
      <c r="G239" s="7">
        <v>30.0</v>
      </c>
      <c r="H239" s="7">
        <v>28.0</v>
      </c>
      <c r="I239" s="25">
        <v>2232.0</v>
      </c>
      <c r="J239" s="7">
        <v>24.8</v>
      </c>
      <c r="K239" s="7">
        <v>4.0</v>
      </c>
      <c r="L239" s="7">
        <v>1.0</v>
      </c>
      <c r="M239" s="7">
        <v>5.0</v>
      </c>
      <c r="N239" s="7">
        <v>3.0</v>
      </c>
      <c r="O239" s="7">
        <v>1.0</v>
      </c>
      <c r="P239" s="7">
        <v>1.0</v>
      </c>
      <c r="Q239" s="7">
        <v>8.0</v>
      </c>
      <c r="R239" s="7">
        <v>0.0</v>
      </c>
      <c r="S239" s="7">
        <v>0.16</v>
      </c>
      <c r="T239" s="7">
        <v>0.04</v>
      </c>
      <c r="U239" s="7">
        <v>0.2</v>
      </c>
      <c r="V239" s="7">
        <v>0.12</v>
      </c>
      <c r="W239" s="7">
        <v>0.16</v>
      </c>
      <c r="X239" s="1" t="s">
        <v>692</v>
      </c>
      <c r="Y239" s="24" t="s">
        <v>697</v>
      </c>
      <c r="Z239" s="7">
        <v>1.3888888888888888</v>
      </c>
      <c r="AA239" s="7" t="str">
        <f t="shared" si="2"/>
        <v>M</v>
      </c>
      <c r="AB239" s="7">
        <f t="shared" si="3"/>
        <v>2.777777778</v>
      </c>
      <c r="AC239" s="7">
        <f t="shared" si="4"/>
        <v>0.36</v>
      </c>
      <c r="AD239" s="7"/>
      <c r="AE239" s="7"/>
      <c r="AF239" s="24">
        <f t="shared" si="1"/>
        <v>65000</v>
      </c>
    </row>
    <row r="240">
      <c r="A240" s="7" t="s">
        <v>532</v>
      </c>
      <c r="B240" s="7" t="s">
        <v>25</v>
      </c>
      <c r="C240" s="7" t="s">
        <v>35</v>
      </c>
      <c r="D240" s="7" t="s">
        <v>98</v>
      </c>
      <c r="E240" s="7">
        <v>25.0</v>
      </c>
      <c r="F240" s="7">
        <v>1998.0</v>
      </c>
      <c r="G240" s="7">
        <v>20.0</v>
      </c>
      <c r="H240" s="7">
        <v>14.0</v>
      </c>
      <c r="I240" s="25">
        <v>1269.0</v>
      </c>
      <c r="J240" s="7">
        <v>14.1</v>
      </c>
      <c r="K240" s="7">
        <v>1.0</v>
      </c>
      <c r="L240" s="7">
        <v>1.0</v>
      </c>
      <c r="M240" s="7">
        <v>2.0</v>
      </c>
      <c r="N240" s="7">
        <v>1.0</v>
      </c>
      <c r="O240" s="7">
        <v>0.0</v>
      </c>
      <c r="P240" s="7">
        <v>0.0</v>
      </c>
      <c r="Q240" s="7">
        <v>4.0</v>
      </c>
      <c r="R240" s="7">
        <v>0.0</v>
      </c>
      <c r="S240" s="7">
        <v>0.07</v>
      </c>
      <c r="T240" s="7">
        <v>0.07</v>
      </c>
      <c r="U240" s="7">
        <v>0.14</v>
      </c>
      <c r="V240" s="7">
        <v>0.07</v>
      </c>
      <c r="W240" s="7">
        <v>0.14</v>
      </c>
      <c r="X240" s="7" t="s">
        <v>698</v>
      </c>
      <c r="Y240" s="24" t="s">
        <v>697</v>
      </c>
      <c r="Z240" s="7">
        <v>1.3055555555555556</v>
      </c>
      <c r="AA240" s="7" t="str">
        <f t="shared" si="2"/>
        <v>D</v>
      </c>
      <c r="AB240" s="7">
        <f t="shared" si="3"/>
        <v>1.305555556</v>
      </c>
      <c r="AC240" s="7">
        <f t="shared" si="4"/>
        <v>0.7659574468</v>
      </c>
      <c r="AD240" s="7"/>
      <c r="AE240" s="7"/>
      <c r="AF240" s="24">
        <f t="shared" si="1"/>
        <v>65000</v>
      </c>
    </row>
    <row r="241">
      <c r="A241" s="7" t="s">
        <v>534</v>
      </c>
      <c r="B241" s="7" t="s">
        <v>25</v>
      </c>
      <c r="C241" s="7" t="s">
        <v>47</v>
      </c>
      <c r="D241" s="7" t="s">
        <v>80</v>
      </c>
      <c r="E241" s="7">
        <v>20.0</v>
      </c>
      <c r="F241" s="7">
        <v>2003.0</v>
      </c>
      <c r="G241" s="7">
        <v>19.0</v>
      </c>
      <c r="H241" s="7">
        <v>7.0</v>
      </c>
      <c r="I241" s="7">
        <v>623.0</v>
      </c>
      <c r="J241" s="7">
        <v>6.9</v>
      </c>
      <c r="K241" s="7">
        <v>0.0</v>
      </c>
      <c r="L241" s="7">
        <v>1.0</v>
      </c>
      <c r="M241" s="7">
        <v>1.0</v>
      </c>
      <c r="N241" s="7">
        <v>0.0</v>
      </c>
      <c r="O241" s="7">
        <v>0.0</v>
      </c>
      <c r="P241" s="7">
        <v>0.0</v>
      </c>
      <c r="Q241" s="7">
        <v>1.0</v>
      </c>
      <c r="R241" s="7">
        <v>0.0</v>
      </c>
      <c r="S241" s="7">
        <v>0.0</v>
      </c>
      <c r="T241" s="7">
        <v>0.14</v>
      </c>
      <c r="U241" s="7">
        <v>0.14</v>
      </c>
      <c r="V241" s="7">
        <v>0.0</v>
      </c>
      <c r="W241" s="7">
        <v>0.14</v>
      </c>
      <c r="X241" s="7" t="s">
        <v>715</v>
      </c>
      <c r="Y241" s="7" t="s">
        <v>733</v>
      </c>
      <c r="Z241" s="7">
        <v>1.3888888888888888</v>
      </c>
      <c r="AA241" s="7" t="str">
        <f t="shared" si="2"/>
        <v>M</v>
      </c>
      <c r="AB241" s="7">
        <f t="shared" si="3"/>
        <v>2.777777778</v>
      </c>
      <c r="AC241" s="7">
        <f t="shared" si="4"/>
        <v>0.36</v>
      </c>
      <c r="AD241" s="7"/>
      <c r="AE241" s="7"/>
      <c r="AF241" s="24">
        <f t="shared" si="1"/>
        <v>900000</v>
      </c>
    </row>
    <row r="242">
      <c r="A242" s="7" t="s">
        <v>536</v>
      </c>
      <c r="B242" s="7" t="s">
        <v>34</v>
      </c>
      <c r="C242" s="7" t="s">
        <v>87</v>
      </c>
      <c r="D242" s="7" t="s">
        <v>27</v>
      </c>
      <c r="E242" s="7">
        <v>24.0</v>
      </c>
      <c r="F242" s="7">
        <v>1999.0</v>
      </c>
      <c r="G242" s="7">
        <v>19.0</v>
      </c>
      <c r="H242" s="7">
        <v>5.0</v>
      </c>
      <c r="I242" s="7">
        <v>564.0</v>
      </c>
      <c r="J242" s="7">
        <v>6.3</v>
      </c>
      <c r="K242" s="7">
        <v>1.0</v>
      </c>
      <c r="L242" s="7">
        <v>1.0</v>
      </c>
      <c r="M242" s="7">
        <v>2.0</v>
      </c>
      <c r="N242" s="7">
        <v>1.0</v>
      </c>
      <c r="O242" s="7">
        <v>0.0</v>
      </c>
      <c r="P242" s="7">
        <v>0.0</v>
      </c>
      <c r="Q242" s="7">
        <v>3.0</v>
      </c>
      <c r="R242" s="7">
        <v>0.0</v>
      </c>
      <c r="S242" s="7">
        <v>0.16</v>
      </c>
      <c r="T242" s="7">
        <v>0.16</v>
      </c>
      <c r="U242" s="7">
        <v>0.32</v>
      </c>
      <c r="V242" s="7">
        <v>0.16</v>
      </c>
      <c r="W242" s="7">
        <v>0.32</v>
      </c>
      <c r="X242" s="7" t="s">
        <v>698</v>
      </c>
      <c r="Y242" s="7" t="s">
        <v>668</v>
      </c>
      <c r="Z242" s="7">
        <v>1.0277777777777777</v>
      </c>
      <c r="AA242" s="7" t="str">
        <f t="shared" si="2"/>
        <v>D</v>
      </c>
      <c r="AB242" s="7">
        <f t="shared" si="3"/>
        <v>1.027777778</v>
      </c>
      <c r="AC242" s="7">
        <f t="shared" si="4"/>
        <v>0.972972973</v>
      </c>
      <c r="AD242" s="7"/>
      <c r="AE242" s="7"/>
      <c r="AF242" s="24">
        <f t="shared" si="1"/>
        <v>100000</v>
      </c>
    </row>
    <row r="243">
      <c r="A243" s="7" t="s">
        <v>538</v>
      </c>
      <c r="B243" s="7" t="s">
        <v>25</v>
      </c>
      <c r="C243" s="7" t="s">
        <v>26</v>
      </c>
      <c r="D243" s="7" t="s">
        <v>98</v>
      </c>
      <c r="E243" s="7">
        <v>17.0</v>
      </c>
      <c r="F243" s="7">
        <v>2006.0</v>
      </c>
      <c r="G243" s="7">
        <v>7.0</v>
      </c>
      <c r="H243" s="7">
        <v>0.0</v>
      </c>
      <c r="I243" s="7">
        <v>90.0</v>
      </c>
      <c r="J243" s="7">
        <v>1.0</v>
      </c>
      <c r="K243" s="7">
        <v>0.0</v>
      </c>
      <c r="L243" s="7">
        <v>0.0</v>
      </c>
      <c r="M243" s="7">
        <v>0.0</v>
      </c>
      <c r="N243" s="7">
        <v>0.0</v>
      </c>
      <c r="O243" s="7">
        <v>0.0</v>
      </c>
      <c r="P243" s="7">
        <v>0.0</v>
      </c>
      <c r="Q243" s="7">
        <v>0.0</v>
      </c>
      <c r="R243" s="7">
        <v>0.0</v>
      </c>
      <c r="S243" s="7">
        <v>0.0</v>
      </c>
      <c r="T243" s="7">
        <v>0.0</v>
      </c>
      <c r="U243" s="7">
        <v>0.0</v>
      </c>
      <c r="V243" s="7">
        <v>0.0</v>
      </c>
      <c r="W243" s="7">
        <v>0.0</v>
      </c>
      <c r="X243" s="7" t="s">
        <v>673</v>
      </c>
      <c r="Y243" s="24" t="s">
        <v>708</v>
      </c>
      <c r="Z243" s="7">
        <v>1.3055555555555556</v>
      </c>
      <c r="AA243" s="7" t="str">
        <f t="shared" si="2"/>
        <v>M</v>
      </c>
      <c r="AB243" s="7">
        <f t="shared" si="3"/>
        <v>2.611111111</v>
      </c>
      <c r="AC243" s="7">
        <f t="shared" si="4"/>
        <v>0.3829787234</v>
      </c>
      <c r="AD243" s="7"/>
      <c r="AE243" s="7"/>
      <c r="AF243" s="24">
        <f t="shared" si="1"/>
        <v>52000</v>
      </c>
    </row>
    <row r="244">
      <c r="A244" s="7" t="s">
        <v>540</v>
      </c>
      <c r="B244" s="7" t="s">
        <v>25</v>
      </c>
      <c r="C244" s="7" t="s">
        <v>83</v>
      </c>
      <c r="D244" s="7" t="s">
        <v>52</v>
      </c>
      <c r="E244" s="7">
        <v>21.0</v>
      </c>
      <c r="F244" s="7">
        <v>2002.0</v>
      </c>
      <c r="G244" s="7">
        <v>30.0</v>
      </c>
      <c r="H244" s="7">
        <v>25.0</v>
      </c>
      <c r="I244" s="25">
        <v>2163.0</v>
      </c>
      <c r="J244" s="7">
        <v>24.0</v>
      </c>
      <c r="K244" s="7">
        <v>2.0</v>
      </c>
      <c r="L244" s="7">
        <v>0.0</v>
      </c>
      <c r="M244" s="7">
        <v>2.0</v>
      </c>
      <c r="N244" s="7">
        <v>2.0</v>
      </c>
      <c r="O244" s="7">
        <v>0.0</v>
      </c>
      <c r="P244" s="7">
        <v>0.0</v>
      </c>
      <c r="Q244" s="7">
        <v>2.0</v>
      </c>
      <c r="R244" s="7">
        <v>0.0</v>
      </c>
      <c r="S244" s="7">
        <v>0.08</v>
      </c>
      <c r="T244" s="7">
        <v>0.0</v>
      </c>
      <c r="U244" s="7">
        <v>0.08</v>
      </c>
      <c r="V244" s="7">
        <v>0.08</v>
      </c>
      <c r="W244" s="7">
        <v>0.08</v>
      </c>
      <c r="X244" s="7" t="s">
        <v>688</v>
      </c>
      <c r="Y244" s="24" t="s">
        <v>697</v>
      </c>
      <c r="Z244" s="7">
        <v>0.8611111111111112</v>
      </c>
      <c r="AA244" s="7" t="str">
        <f t="shared" si="2"/>
        <v>D</v>
      </c>
      <c r="AB244" s="7">
        <f t="shared" si="3"/>
        <v>0.8611111111</v>
      </c>
      <c r="AC244" s="7">
        <f t="shared" si="4"/>
        <v>1.161290323</v>
      </c>
      <c r="AD244" s="7"/>
      <c r="AE244" s="7"/>
      <c r="AF244" s="24">
        <f t="shared" si="1"/>
        <v>65000</v>
      </c>
    </row>
    <row r="245">
      <c r="A245" s="7" t="s">
        <v>542</v>
      </c>
      <c r="B245" s="7" t="s">
        <v>25</v>
      </c>
      <c r="C245" s="7" t="s">
        <v>55</v>
      </c>
      <c r="D245" s="7" t="s">
        <v>31</v>
      </c>
      <c r="E245" s="7">
        <v>34.0</v>
      </c>
      <c r="F245" s="7">
        <v>1989.0</v>
      </c>
      <c r="G245" s="7">
        <v>8.0</v>
      </c>
      <c r="H245" s="7">
        <v>6.0</v>
      </c>
      <c r="I245" s="7">
        <v>536.0</v>
      </c>
      <c r="J245" s="7">
        <v>6.0</v>
      </c>
      <c r="K245" s="7">
        <v>1.0</v>
      </c>
      <c r="L245" s="7">
        <v>0.0</v>
      </c>
      <c r="M245" s="7">
        <v>1.0</v>
      </c>
      <c r="N245" s="7">
        <v>1.0</v>
      </c>
      <c r="O245" s="7">
        <v>0.0</v>
      </c>
      <c r="P245" s="7">
        <v>0.0</v>
      </c>
      <c r="Q245" s="7">
        <v>3.0</v>
      </c>
      <c r="R245" s="7">
        <v>0.0</v>
      </c>
      <c r="S245" s="7">
        <v>0.17</v>
      </c>
      <c r="T245" s="7">
        <v>0.0</v>
      </c>
      <c r="U245" s="7">
        <v>0.17</v>
      </c>
      <c r="V245" s="7">
        <v>0.17</v>
      </c>
      <c r="W245" s="7">
        <v>0.17</v>
      </c>
      <c r="X245" s="7" t="s">
        <v>688</v>
      </c>
      <c r="Y245" s="24" t="s">
        <v>702</v>
      </c>
      <c r="Z245" s="7">
        <v>0.9722222222222222</v>
      </c>
      <c r="AA245" s="7" t="str">
        <f t="shared" si="2"/>
        <v>A</v>
      </c>
      <c r="AB245" s="7">
        <f t="shared" si="3"/>
        <v>3.888888889</v>
      </c>
      <c r="AC245" s="7">
        <f t="shared" si="4"/>
        <v>0.2571428571</v>
      </c>
      <c r="AD245" s="7"/>
      <c r="AE245" s="7"/>
      <c r="AF245" s="24">
        <f t="shared" si="1"/>
        <v>117000</v>
      </c>
    </row>
    <row r="246">
      <c r="A246" s="7" t="s">
        <v>544</v>
      </c>
      <c r="B246" s="7" t="s">
        <v>70</v>
      </c>
      <c r="C246" s="7" t="s">
        <v>77</v>
      </c>
      <c r="D246" s="7" t="s">
        <v>80</v>
      </c>
      <c r="E246" s="7">
        <v>23.0</v>
      </c>
      <c r="F246" s="7">
        <v>2000.0</v>
      </c>
      <c r="G246" s="7">
        <v>20.0</v>
      </c>
      <c r="H246" s="7">
        <v>19.0</v>
      </c>
      <c r="I246" s="25">
        <v>1755.0</v>
      </c>
      <c r="J246" s="7">
        <v>19.5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>
        <v>0.0</v>
      </c>
      <c r="Q246" s="7">
        <v>1.0</v>
      </c>
      <c r="R246" s="7">
        <v>0.0</v>
      </c>
      <c r="S246" s="7">
        <v>0.0</v>
      </c>
      <c r="T246" s="7">
        <v>0.0</v>
      </c>
      <c r="U246" s="7">
        <v>0.0</v>
      </c>
      <c r="V246" s="7">
        <v>0.0</v>
      </c>
      <c r="W246" s="7">
        <v>0.0</v>
      </c>
      <c r="X246" s="7" t="s">
        <v>688</v>
      </c>
      <c r="Y246" s="24" t="s">
        <v>677</v>
      </c>
      <c r="Z246" s="7">
        <v>1.3888888888888888</v>
      </c>
      <c r="AA246" s="7" t="str">
        <f t="shared" si="2"/>
        <v>D</v>
      </c>
      <c r="AB246" s="7">
        <f t="shared" si="3"/>
        <v>1.388888889</v>
      </c>
      <c r="AC246" s="7">
        <f t="shared" si="4"/>
        <v>0.72</v>
      </c>
      <c r="AD246" s="7"/>
      <c r="AE246" s="7"/>
      <c r="AF246" s="24">
        <f t="shared" si="1"/>
        <v>19000</v>
      </c>
    </row>
    <row r="247">
      <c r="A247" s="7" t="s">
        <v>546</v>
      </c>
      <c r="B247" s="7" t="s">
        <v>25</v>
      </c>
      <c r="C247" s="7" t="s">
        <v>26</v>
      </c>
      <c r="D247" s="7" t="s">
        <v>44</v>
      </c>
      <c r="E247" s="7">
        <v>22.0</v>
      </c>
      <c r="F247" s="7">
        <v>2001.0</v>
      </c>
      <c r="G247" s="7">
        <v>13.0</v>
      </c>
      <c r="H247" s="7">
        <v>12.0</v>
      </c>
      <c r="I247" s="25">
        <v>1048.0</v>
      </c>
      <c r="J247" s="7">
        <v>11.6</v>
      </c>
      <c r="K247" s="7">
        <v>3.0</v>
      </c>
      <c r="L247" s="7">
        <v>0.0</v>
      </c>
      <c r="M247" s="7">
        <v>3.0</v>
      </c>
      <c r="N247" s="7">
        <v>3.0</v>
      </c>
      <c r="O247" s="7">
        <v>0.0</v>
      </c>
      <c r="P247" s="7">
        <v>0.0</v>
      </c>
      <c r="Q247" s="7">
        <v>4.0</v>
      </c>
      <c r="R247" s="7">
        <v>1.0</v>
      </c>
      <c r="S247" s="7">
        <v>0.26</v>
      </c>
      <c r="T247" s="7">
        <v>0.0</v>
      </c>
      <c r="U247" s="7">
        <v>0.26</v>
      </c>
      <c r="V247" s="7">
        <v>0.26</v>
      </c>
      <c r="W247" s="7">
        <v>0.26</v>
      </c>
      <c r="X247" s="7" t="s">
        <v>734</v>
      </c>
      <c r="Y247" s="24" t="s">
        <v>691</v>
      </c>
      <c r="Z247" s="7">
        <v>1.1944444444444444</v>
      </c>
      <c r="AA247" s="7" t="str">
        <f t="shared" si="2"/>
        <v>M</v>
      </c>
      <c r="AB247" s="7">
        <f t="shared" si="3"/>
        <v>2.388888889</v>
      </c>
      <c r="AC247" s="7">
        <f t="shared" si="4"/>
        <v>0.4186046512</v>
      </c>
      <c r="AD247" s="7"/>
      <c r="AE247" s="7"/>
      <c r="AF247" s="24">
        <f t="shared" si="1"/>
        <v>88000</v>
      </c>
    </row>
    <row r="248">
      <c r="A248" s="7" t="s">
        <v>735</v>
      </c>
      <c r="B248" s="7" t="s">
        <v>34</v>
      </c>
      <c r="C248" s="7" t="s">
        <v>26</v>
      </c>
      <c r="D248" s="7" t="s">
        <v>98</v>
      </c>
      <c r="E248" s="7">
        <v>22.0</v>
      </c>
      <c r="F248" s="7">
        <v>2001.0</v>
      </c>
      <c r="G248" s="7">
        <v>32.0</v>
      </c>
      <c r="H248" s="7">
        <v>26.0</v>
      </c>
      <c r="I248" s="25">
        <v>2275.0</v>
      </c>
      <c r="J248" s="7">
        <v>25.3</v>
      </c>
      <c r="K248" s="7">
        <v>1.0</v>
      </c>
      <c r="L248" s="7">
        <v>1.0</v>
      </c>
      <c r="M248" s="7">
        <v>2.0</v>
      </c>
      <c r="N248" s="7">
        <v>1.0</v>
      </c>
      <c r="O248" s="7">
        <v>0.0</v>
      </c>
      <c r="P248" s="7">
        <v>0.0</v>
      </c>
      <c r="Q248" s="7">
        <v>6.0</v>
      </c>
      <c r="R248" s="7">
        <v>0.0</v>
      </c>
      <c r="S248" s="7">
        <v>0.04</v>
      </c>
      <c r="T248" s="7">
        <v>0.04</v>
      </c>
      <c r="U248" s="7">
        <v>0.08</v>
      </c>
      <c r="V248" s="7">
        <v>0.04</v>
      </c>
      <c r="W248" s="7">
        <v>0.08</v>
      </c>
      <c r="X248" s="7" t="s">
        <v>715</v>
      </c>
      <c r="Y248" s="7" t="s">
        <v>668</v>
      </c>
      <c r="Z248" s="7">
        <v>1.3055555555555556</v>
      </c>
      <c r="AA248" s="7" t="str">
        <f t="shared" si="2"/>
        <v>M</v>
      </c>
      <c r="AB248" s="7">
        <f t="shared" si="3"/>
        <v>2.611111111</v>
      </c>
      <c r="AC248" s="7">
        <f t="shared" si="4"/>
        <v>0.3829787234</v>
      </c>
      <c r="AD248" s="7"/>
      <c r="AE248" s="7"/>
      <c r="AF248" s="24">
        <f t="shared" si="1"/>
        <v>100000</v>
      </c>
    </row>
    <row r="249">
      <c r="A249" s="7" t="s">
        <v>550</v>
      </c>
      <c r="B249" s="7" t="s">
        <v>25</v>
      </c>
      <c r="C249" s="7" t="s">
        <v>55</v>
      </c>
      <c r="D249" s="7" t="s">
        <v>27</v>
      </c>
      <c r="E249" s="7">
        <v>28.0</v>
      </c>
      <c r="F249" s="7">
        <v>1995.0</v>
      </c>
      <c r="G249" s="7">
        <v>22.0</v>
      </c>
      <c r="H249" s="7">
        <v>18.0</v>
      </c>
      <c r="I249" s="25">
        <v>1406.0</v>
      </c>
      <c r="J249" s="7">
        <v>15.6</v>
      </c>
      <c r="K249" s="7">
        <v>4.0</v>
      </c>
      <c r="L249" s="7">
        <v>0.0</v>
      </c>
      <c r="M249" s="7">
        <v>4.0</v>
      </c>
      <c r="N249" s="7">
        <v>4.0</v>
      </c>
      <c r="O249" s="7">
        <v>0.0</v>
      </c>
      <c r="P249" s="7">
        <v>0.0</v>
      </c>
      <c r="Q249" s="7">
        <v>2.0</v>
      </c>
      <c r="R249" s="7">
        <v>0.0</v>
      </c>
      <c r="S249" s="7">
        <v>0.26</v>
      </c>
      <c r="T249" s="7">
        <v>0.0</v>
      </c>
      <c r="U249" s="7">
        <v>0.26</v>
      </c>
      <c r="V249" s="7">
        <v>0.26</v>
      </c>
      <c r="W249" s="7">
        <v>0.26</v>
      </c>
      <c r="X249" s="1" t="s">
        <v>692</v>
      </c>
      <c r="Y249" s="24" t="s">
        <v>700</v>
      </c>
      <c r="Z249" s="7">
        <v>1.0277777777777777</v>
      </c>
      <c r="AA249" s="7" t="str">
        <f t="shared" si="2"/>
        <v>A</v>
      </c>
      <c r="AB249" s="7">
        <f t="shared" si="3"/>
        <v>4.111111111</v>
      </c>
      <c r="AC249" s="7">
        <f t="shared" si="4"/>
        <v>0.2432432432</v>
      </c>
      <c r="AD249" s="7"/>
      <c r="AE249" s="7"/>
      <c r="AF249" s="24">
        <f t="shared" si="1"/>
        <v>20000</v>
      </c>
    </row>
    <row r="250">
      <c r="A250" s="7" t="s">
        <v>552</v>
      </c>
      <c r="B250" s="7" t="s">
        <v>25</v>
      </c>
      <c r="C250" s="7" t="s">
        <v>47</v>
      </c>
      <c r="D250" s="7" t="s">
        <v>36</v>
      </c>
      <c r="E250" s="7">
        <v>32.0</v>
      </c>
      <c r="F250" s="7">
        <v>1991.0</v>
      </c>
      <c r="G250" s="7">
        <v>33.0</v>
      </c>
      <c r="H250" s="7">
        <v>23.0</v>
      </c>
      <c r="I250" s="25">
        <v>2092.0</v>
      </c>
      <c r="J250" s="7">
        <v>23.2</v>
      </c>
      <c r="K250" s="7">
        <v>0.0</v>
      </c>
      <c r="L250" s="7">
        <v>0.0</v>
      </c>
      <c r="M250" s="7">
        <v>0.0</v>
      </c>
      <c r="N250" s="7">
        <v>0.0</v>
      </c>
      <c r="O250" s="7">
        <v>0.0</v>
      </c>
      <c r="P250" s="7">
        <v>1.0</v>
      </c>
      <c r="Q250" s="7">
        <v>8.0</v>
      </c>
      <c r="R250" s="7">
        <v>0.0</v>
      </c>
      <c r="S250" s="7">
        <v>0.0</v>
      </c>
      <c r="T250" s="7">
        <v>0.0</v>
      </c>
      <c r="U250" s="7">
        <v>0.0</v>
      </c>
      <c r="V250" s="7">
        <v>0.0</v>
      </c>
      <c r="W250" s="7">
        <v>0.0</v>
      </c>
      <c r="X250" s="7" t="s">
        <v>688</v>
      </c>
      <c r="Y250" s="7" t="s">
        <v>695</v>
      </c>
      <c r="Z250" s="7">
        <v>1.6111111111111112</v>
      </c>
      <c r="AA250" s="7" t="str">
        <f t="shared" si="2"/>
        <v>M</v>
      </c>
      <c r="AB250" s="7">
        <f t="shared" si="3"/>
        <v>3.222222222</v>
      </c>
      <c r="AC250" s="7">
        <f t="shared" si="4"/>
        <v>0.3103448276</v>
      </c>
      <c r="AD250" s="7"/>
      <c r="AE250" s="7"/>
      <c r="AF250" s="24">
        <f t="shared" si="1"/>
        <v>75000</v>
      </c>
    </row>
    <row r="251">
      <c r="A251" s="7" t="s">
        <v>554</v>
      </c>
      <c r="B251" s="7" t="s">
        <v>25</v>
      </c>
      <c r="C251" s="7" t="s">
        <v>35</v>
      </c>
      <c r="D251" s="7" t="s">
        <v>98</v>
      </c>
      <c r="E251" s="7">
        <v>23.0</v>
      </c>
      <c r="F251" s="7">
        <v>2000.0</v>
      </c>
      <c r="G251" s="7">
        <v>24.0</v>
      </c>
      <c r="H251" s="7">
        <v>17.0</v>
      </c>
      <c r="I251" s="25">
        <v>1597.0</v>
      </c>
      <c r="J251" s="7">
        <v>17.7</v>
      </c>
      <c r="K251" s="7">
        <v>0.0</v>
      </c>
      <c r="L251" s="7">
        <v>0.0</v>
      </c>
      <c r="M251" s="7">
        <v>0.0</v>
      </c>
      <c r="N251" s="7">
        <v>0.0</v>
      </c>
      <c r="O251" s="7">
        <v>0.0</v>
      </c>
      <c r="P251" s="7">
        <v>0.0</v>
      </c>
      <c r="Q251" s="7">
        <v>7.0</v>
      </c>
      <c r="R251" s="7">
        <v>1.0</v>
      </c>
      <c r="S251" s="7">
        <v>0.0</v>
      </c>
      <c r="T251" s="7">
        <v>0.0</v>
      </c>
      <c r="U251" s="7">
        <v>0.0</v>
      </c>
      <c r="V251" s="7">
        <v>0.0</v>
      </c>
      <c r="W251" s="7">
        <v>0.0</v>
      </c>
      <c r="X251" s="7" t="s">
        <v>670</v>
      </c>
      <c r="Y251" s="24" t="s">
        <v>691</v>
      </c>
      <c r="Z251" s="7">
        <v>1.3055555555555556</v>
      </c>
      <c r="AA251" s="7" t="str">
        <f t="shared" si="2"/>
        <v>D</v>
      </c>
      <c r="AB251" s="7">
        <f t="shared" si="3"/>
        <v>1.305555556</v>
      </c>
      <c r="AC251" s="7">
        <f t="shared" si="4"/>
        <v>0.7659574468</v>
      </c>
      <c r="AD251" s="7"/>
      <c r="AE251" s="7"/>
      <c r="AF251" s="24">
        <f t="shared" si="1"/>
        <v>88000</v>
      </c>
    </row>
    <row r="252">
      <c r="A252" s="7" t="s">
        <v>556</v>
      </c>
      <c r="B252" s="7" t="s">
        <v>97</v>
      </c>
      <c r="C252" s="7" t="s">
        <v>35</v>
      </c>
      <c r="D252" s="7" t="s">
        <v>27</v>
      </c>
      <c r="E252" s="7">
        <v>29.0</v>
      </c>
      <c r="F252" s="7">
        <v>1994.0</v>
      </c>
      <c r="G252" s="7">
        <v>16.0</v>
      </c>
      <c r="H252" s="7">
        <v>12.0</v>
      </c>
      <c r="I252" s="7">
        <v>979.0</v>
      </c>
      <c r="J252" s="7">
        <v>10.9</v>
      </c>
      <c r="K252" s="7">
        <v>0.0</v>
      </c>
      <c r="L252" s="7">
        <v>0.0</v>
      </c>
      <c r="M252" s="7">
        <v>0.0</v>
      </c>
      <c r="N252" s="7">
        <v>0.0</v>
      </c>
      <c r="O252" s="7">
        <v>0.0</v>
      </c>
      <c r="P252" s="7">
        <v>0.0</v>
      </c>
      <c r="Q252" s="7">
        <v>6.0</v>
      </c>
      <c r="R252" s="7">
        <v>0.0</v>
      </c>
      <c r="S252" s="7">
        <v>0.0</v>
      </c>
      <c r="T252" s="7">
        <v>0.0</v>
      </c>
      <c r="U252" s="7">
        <v>0.0</v>
      </c>
      <c r="V252" s="7">
        <v>0.0</v>
      </c>
      <c r="W252" s="7">
        <v>0.0</v>
      </c>
      <c r="X252" s="7" t="s">
        <v>715</v>
      </c>
      <c r="Y252" s="7" t="s">
        <v>711</v>
      </c>
      <c r="Z252" s="7">
        <v>1.0277777777777777</v>
      </c>
      <c r="AA252" s="7" t="str">
        <f t="shared" si="2"/>
        <v>D</v>
      </c>
      <c r="AB252" s="7">
        <f t="shared" si="3"/>
        <v>1.027777778</v>
      </c>
      <c r="AC252" s="7">
        <f t="shared" si="4"/>
        <v>0.972972973</v>
      </c>
      <c r="AD252" s="7"/>
      <c r="AE252" s="7"/>
      <c r="AF252" s="24">
        <f t="shared" si="1"/>
        <v>125000</v>
      </c>
    </row>
    <row r="253">
      <c r="A253" s="7" t="s">
        <v>558</v>
      </c>
      <c r="B253" s="7" t="s">
        <v>25</v>
      </c>
      <c r="C253" s="7" t="s">
        <v>47</v>
      </c>
      <c r="D253" s="7" t="s">
        <v>80</v>
      </c>
      <c r="E253" s="7">
        <v>20.0</v>
      </c>
      <c r="F253" s="7">
        <v>2003.0</v>
      </c>
      <c r="G253" s="7">
        <v>33.0</v>
      </c>
      <c r="H253" s="7">
        <v>14.0</v>
      </c>
      <c r="I253" s="25">
        <v>1460.0</v>
      </c>
      <c r="J253" s="7">
        <v>16.2</v>
      </c>
      <c r="K253" s="7">
        <v>3.0</v>
      </c>
      <c r="L253" s="7">
        <v>2.0</v>
      </c>
      <c r="M253" s="7">
        <v>5.0</v>
      </c>
      <c r="N253" s="7">
        <v>3.0</v>
      </c>
      <c r="O253" s="7">
        <v>0.0</v>
      </c>
      <c r="P253" s="7">
        <v>0.0</v>
      </c>
      <c r="Q253" s="7">
        <v>1.0</v>
      </c>
      <c r="R253" s="7">
        <v>0.0</v>
      </c>
      <c r="S253" s="7">
        <v>0.18</v>
      </c>
      <c r="T253" s="7">
        <v>0.12</v>
      </c>
      <c r="U253" s="7">
        <v>0.31</v>
      </c>
      <c r="V253" s="7">
        <v>0.18</v>
      </c>
      <c r="W253" s="7">
        <v>0.31</v>
      </c>
      <c r="X253" s="7" t="s">
        <v>693</v>
      </c>
      <c r="Y253" s="7" t="s">
        <v>684</v>
      </c>
      <c r="Z253" s="7">
        <v>1.3888888888888888</v>
      </c>
      <c r="AA253" s="7" t="str">
        <f t="shared" si="2"/>
        <v>M</v>
      </c>
      <c r="AB253" s="7">
        <f t="shared" si="3"/>
        <v>2.777777778</v>
      </c>
      <c r="AC253" s="7">
        <f t="shared" si="4"/>
        <v>0.36</v>
      </c>
      <c r="AD253" s="7"/>
      <c r="AE253" s="7"/>
      <c r="AF253" s="24">
        <f t="shared" si="1"/>
        <v>200000</v>
      </c>
    </row>
    <row r="254">
      <c r="A254" s="7" t="s">
        <v>560</v>
      </c>
      <c r="B254" s="7" t="s">
        <v>34</v>
      </c>
      <c r="C254" s="7" t="s">
        <v>26</v>
      </c>
      <c r="D254" s="7" t="s">
        <v>52</v>
      </c>
      <c r="E254" s="7">
        <v>24.0</v>
      </c>
      <c r="F254" s="7">
        <v>1999.0</v>
      </c>
      <c r="G254" s="7">
        <v>21.0</v>
      </c>
      <c r="H254" s="7">
        <v>15.0</v>
      </c>
      <c r="I254" s="25">
        <v>1192.0</v>
      </c>
      <c r="J254" s="7">
        <v>13.2</v>
      </c>
      <c r="K254" s="7">
        <v>1.0</v>
      </c>
      <c r="L254" s="7">
        <v>0.0</v>
      </c>
      <c r="M254" s="7">
        <v>1.0</v>
      </c>
      <c r="N254" s="7">
        <v>1.0</v>
      </c>
      <c r="O254" s="7">
        <v>0.0</v>
      </c>
      <c r="P254" s="7">
        <v>0.0</v>
      </c>
      <c r="Q254" s="7">
        <v>4.0</v>
      </c>
      <c r="R254" s="7">
        <v>0.0</v>
      </c>
      <c r="S254" s="7">
        <v>0.08</v>
      </c>
      <c r="T254" s="7">
        <v>0.0</v>
      </c>
      <c r="U254" s="7">
        <v>0.08</v>
      </c>
      <c r="V254" s="7">
        <v>0.08</v>
      </c>
      <c r="W254" s="7">
        <v>0.08</v>
      </c>
      <c r="X254" s="7" t="s">
        <v>698</v>
      </c>
      <c r="Y254" s="24" t="s">
        <v>703</v>
      </c>
      <c r="Z254" s="7">
        <v>0.8611111111111112</v>
      </c>
      <c r="AA254" s="7" t="str">
        <f t="shared" si="2"/>
        <v>M</v>
      </c>
      <c r="AB254" s="7">
        <f t="shared" si="3"/>
        <v>1.722222222</v>
      </c>
      <c r="AC254" s="7">
        <f t="shared" si="4"/>
        <v>0.5806451613</v>
      </c>
      <c r="AD254" s="7"/>
      <c r="AE254" s="7"/>
      <c r="AF254" s="24">
        <f t="shared" si="1"/>
        <v>39000</v>
      </c>
    </row>
    <row r="255">
      <c r="A255" s="7" t="s">
        <v>562</v>
      </c>
      <c r="B255" s="7" t="s">
        <v>34</v>
      </c>
      <c r="C255" s="7" t="s">
        <v>55</v>
      </c>
      <c r="D255" s="7" t="s">
        <v>98</v>
      </c>
      <c r="E255" s="7">
        <v>21.0</v>
      </c>
      <c r="F255" s="7">
        <v>2002.0</v>
      </c>
      <c r="G255" s="7">
        <v>8.0</v>
      </c>
      <c r="H255" s="7">
        <v>3.0</v>
      </c>
      <c r="I255" s="7">
        <v>285.0</v>
      </c>
      <c r="J255" s="7">
        <v>3.2</v>
      </c>
      <c r="K255" s="7">
        <v>1.0</v>
      </c>
      <c r="L255" s="7">
        <v>0.0</v>
      </c>
      <c r="M255" s="7">
        <v>1.0</v>
      </c>
      <c r="N255" s="7">
        <v>1.0</v>
      </c>
      <c r="O255" s="7">
        <v>0.0</v>
      </c>
      <c r="P255" s="7">
        <v>0.0</v>
      </c>
      <c r="Q255" s="7">
        <v>0.0</v>
      </c>
      <c r="R255" s="7">
        <v>0.0</v>
      </c>
      <c r="S255" s="7">
        <v>0.32</v>
      </c>
      <c r="T255" s="7">
        <v>0.0</v>
      </c>
      <c r="U255" s="7">
        <v>0.32</v>
      </c>
      <c r="V255" s="7">
        <v>0.32</v>
      </c>
      <c r="W255" s="7">
        <v>0.32</v>
      </c>
      <c r="X255" s="1" t="s">
        <v>692</v>
      </c>
      <c r="Y255" s="24" t="s">
        <v>703</v>
      </c>
      <c r="Z255" s="7">
        <v>1.3055555555555556</v>
      </c>
      <c r="AA255" s="7" t="str">
        <f t="shared" si="2"/>
        <v>A</v>
      </c>
      <c r="AB255" s="7">
        <f t="shared" si="3"/>
        <v>5.222222222</v>
      </c>
      <c r="AC255" s="7">
        <f t="shared" si="4"/>
        <v>0.1914893617</v>
      </c>
      <c r="AD255" s="7"/>
      <c r="AE255" s="7"/>
      <c r="AF255" s="24">
        <f t="shared" si="1"/>
        <v>39000</v>
      </c>
    </row>
    <row r="256">
      <c r="A256" s="7" t="s">
        <v>564</v>
      </c>
      <c r="B256" s="7" t="s">
        <v>34</v>
      </c>
      <c r="C256" s="7" t="s">
        <v>35</v>
      </c>
      <c r="D256" s="7" t="s">
        <v>58</v>
      </c>
      <c r="E256" s="7">
        <v>25.0</v>
      </c>
      <c r="F256" s="7">
        <v>1998.0</v>
      </c>
      <c r="G256" s="7">
        <v>4.0</v>
      </c>
      <c r="H256" s="7">
        <v>2.0</v>
      </c>
      <c r="I256" s="7">
        <v>171.0</v>
      </c>
      <c r="J256" s="7">
        <v>1.9</v>
      </c>
      <c r="K256" s="7">
        <v>0.0</v>
      </c>
      <c r="L256" s="7">
        <v>0.0</v>
      </c>
      <c r="M256" s="7">
        <v>0.0</v>
      </c>
      <c r="N256" s="7">
        <v>0.0</v>
      </c>
      <c r="O256" s="7">
        <v>0.0</v>
      </c>
      <c r="P256" s="7">
        <v>0.0</v>
      </c>
      <c r="Q256" s="7">
        <v>0.0</v>
      </c>
      <c r="R256" s="7">
        <v>0.0</v>
      </c>
      <c r="S256" s="7">
        <v>0.0</v>
      </c>
      <c r="T256" s="7">
        <v>0.0</v>
      </c>
      <c r="U256" s="7">
        <v>0.0</v>
      </c>
      <c r="V256" s="7">
        <v>0.0</v>
      </c>
      <c r="W256" s="7">
        <v>0.0</v>
      </c>
      <c r="X256" s="1" t="s">
        <v>692</v>
      </c>
      <c r="Y256" s="24" t="s">
        <v>702</v>
      </c>
      <c r="Z256" s="7">
        <v>0.75</v>
      </c>
      <c r="AA256" s="7" t="str">
        <f t="shared" si="2"/>
        <v>D</v>
      </c>
      <c r="AB256" s="7">
        <f t="shared" si="3"/>
        <v>0.75</v>
      </c>
      <c r="AC256" s="7">
        <f t="shared" si="4"/>
        <v>1.333333333</v>
      </c>
      <c r="AD256" s="7"/>
      <c r="AE256" s="7"/>
      <c r="AF256" s="24">
        <f t="shared" si="1"/>
        <v>117000</v>
      </c>
    </row>
    <row r="257">
      <c r="A257" s="7" t="s">
        <v>566</v>
      </c>
      <c r="B257" s="7" t="s">
        <v>567</v>
      </c>
      <c r="C257" s="7" t="s">
        <v>47</v>
      </c>
      <c r="D257" s="7" t="s">
        <v>80</v>
      </c>
      <c r="E257" s="7">
        <v>21.0</v>
      </c>
      <c r="F257" s="7">
        <v>2002.0</v>
      </c>
      <c r="G257" s="7">
        <v>18.0</v>
      </c>
      <c r="H257" s="7">
        <v>6.0</v>
      </c>
      <c r="I257" s="7">
        <v>678.0</v>
      </c>
      <c r="J257" s="7">
        <v>7.5</v>
      </c>
      <c r="K257" s="7">
        <v>0.0</v>
      </c>
      <c r="L257" s="7">
        <v>1.0</v>
      </c>
      <c r="M257" s="7">
        <v>1.0</v>
      </c>
      <c r="N257" s="7">
        <v>0.0</v>
      </c>
      <c r="O257" s="7">
        <v>0.0</v>
      </c>
      <c r="P257" s="7">
        <v>0.0</v>
      </c>
      <c r="Q257" s="7">
        <v>4.0</v>
      </c>
      <c r="R257" s="7">
        <v>0.0</v>
      </c>
      <c r="S257" s="7">
        <v>0.0</v>
      </c>
      <c r="T257" s="7">
        <v>0.13</v>
      </c>
      <c r="U257" s="7">
        <v>0.13</v>
      </c>
      <c r="V257" s="7">
        <v>0.0</v>
      </c>
      <c r="W257" s="7">
        <v>0.13</v>
      </c>
      <c r="X257" s="7" t="s">
        <v>709</v>
      </c>
      <c r="Y257" s="7" t="s">
        <v>668</v>
      </c>
      <c r="Z257" s="7">
        <v>1.3888888888888888</v>
      </c>
      <c r="AA257" s="7" t="str">
        <f t="shared" si="2"/>
        <v>M</v>
      </c>
      <c r="AB257" s="7">
        <f t="shared" si="3"/>
        <v>2.777777778</v>
      </c>
      <c r="AC257" s="7">
        <f t="shared" si="4"/>
        <v>0.36</v>
      </c>
      <c r="AD257" s="7"/>
      <c r="AE257" s="7"/>
      <c r="AF257" s="24">
        <f t="shared" si="1"/>
        <v>100000</v>
      </c>
    </row>
    <row r="258">
      <c r="A258" s="7" t="s">
        <v>569</v>
      </c>
      <c r="B258" s="7" t="s">
        <v>34</v>
      </c>
      <c r="C258" s="7" t="s">
        <v>77</v>
      </c>
      <c r="D258" s="7" t="s">
        <v>98</v>
      </c>
      <c r="E258" s="7">
        <v>26.0</v>
      </c>
      <c r="F258" s="7">
        <v>1997.0</v>
      </c>
      <c r="G258" s="7">
        <v>30.0</v>
      </c>
      <c r="H258" s="7">
        <v>30.0</v>
      </c>
      <c r="I258" s="25">
        <v>2700.0</v>
      </c>
      <c r="J258" s="7">
        <v>30.0</v>
      </c>
      <c r="K258" s="7">
        <v>0.0</v>
      </c>
      <c r="L258" s="7">
        <v>1.0</v>
      </c>
      <c r="M258" s="7">
        <v>1.0</v>
      </c>
      <c r="N258" s="7">
        <v>0.0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0.03</v>
      </c>
      <c r="U258" s="7">
        <v>0.03</v>
      </c>
      <c r="V258" s="7">
        <v>0.0</v>
      </c>
      <c r="W258" s="7">
        <v>0.03</v>
      </c>
      <c r="X258" s="1" t="s">
        <v>692</v>
      </c>
      <c r="Y258" s="24" t="s">
        <v>697</v>
      </c>
      <c r="Z258" s="7">
        <v>1.3055555555555556</v>
      </c>
      <c r="AA258" s="7" t="str">
        <f t="shared" si="2"/>
        <v>D</v>
      </c>
      <c r="AB258" s="7">
        <f t="shared" si="3"/>
        <v>1.305555556</v>
      </c>
      <c r="AC258" s="7">
        <f t="shared" si="4"/>
        <v>0.7659574468</v>
      </c>
      <c r="AD258" s="7"/>
      <c r="AE258" s="7"/>
      <c r="AF258" s="24">
        <f t="shared" si="1"/>
        <v>65000</v>
      </c>
    </row>
    <row r="259">
      <c r="A259" s="7" t="s">
        <v>571</v>
      </c>
      <c r="B259" s="7" t="s">
        <v>25</v>
      </c>
      <c r="C259" s="7" t="s">
        <v>35</v>
      </c>
      <c r="D259" s="7" t="s">
        <v>52</v>
      </c>
      <c r="E259" s="7">
        <v>25.0</v>
      </c>
      <c r="F259" s="7">
        <v>1998.0</v>
      </c>
      <c r="G259" s="7">
        <v>10.0</v>
      </c>
      <c r="H259" s="7">
        <v>4.0</v>
      </c>
      <c r="I259" s="7">
        <v>309.0</v>
      </c>
      <c r="J259" s="7">
        <v>3.4</v>
      </c>
      <c r="K259" s="7">
        <v>0.0</v>
      </c>
      <c r="L259" s="7">
        <v>0.0</v>
      </c>
      <c r="M259" s="7">
        <v>0.0</v>
      </c>
      <c r="N259" s="7">
        <v>0.0</v>
      </c>
      <c r="O259" s="7">
        <v>0.0</v>
      </c>
      <c r="P259" s="7">
        <v>0.0</v>
      </c>
      <c r="Q259" s="7">
        <v>3.0</v>
      </c>
      <c r="R259" s="7">
        <v>1.0</v>
      </c>
      <c r="S259" s="7">
        <v>0.0</v>
      </c>
      <c r="T259" s="7">
        <v>0.0</v>
      </c>
      <c r="U259" s="7">
        <v>0.0</v>
      </c>
      <c r="V259" s="7">
        <v>0.0</v>
      </c>
      <c r="W259" s="7">
        <v>0.0</v>
      </c>
      <c r="X259" s="7" t="s">
        <v>698</v>
      </c>
      <c r="Y259" s="7" t="s">
        <v>668</v>
      </c>
      <c r="Z259" s="7">
        <v>0.8611111111111112</v>
      </c>
      <c r="AA259" s="7" t="str">
        <f t="shared" si="2"/>
        <v>D</v>
      </c>
      <c r="AB259" s="7">
        <f t="shared" si="3"/>
        <v>0.8611111111</v>
      </c>
      <c r="AC259" s="7">
        <f t="shared" si="4"/>
        <v>1.161290323</v>
      </c>
      <c r="AD259" s="7"/>
      <c r="AE259" s="7"/>
      <c r="AF259" s="24">
        <f t="shared" si="1"/>
        <v>100000</v>
      </c>
    </row>
    <row r="260">
      <c r="A260" s="7" t="s">
        <v>573</v>
      </c>
      <c r="B260" s="7" t="s">
        <v>97</v>
      </c>
      <c r="C260" s="7" t="s">
        <v>26</v>
      </c>
      <c r="D260" s="7" t="s">
        <v>98</v>
      </c>
      <c r="E260" s="7">
        <v>18.0</v>
      </c>
      <c r="F260" s="7">
        <v>2005.0</v>
      </c>
      <c r="G260" s="7">
        <v>9.0</v>
      </c>
      <c r="H260" s="7">
        <v>4.0</v>
      </c>
      <c r="I260" s="7">
        <v>407.0</v>
      </c>
      <c r="J260" s="7">
        <v>4.5</v>
      </c>
      <c r="K260" s="7">
        <v>2.0</v>
      </c>
      <c r="L260" s="7">
        <v>0.0</v>
      </c>
      <c r="M260" s="7">
        <v>2.0</v>
      </c>
      <c r="N260" s="7">
        <v>2.0</v>
      </c>
      <c r="O260" s="7">
        <v>0.0</v>
      </c>
      <c r="P260" s="7">
        <v>0.0</v>
      </c>
      <c r="Q260" s="7">
        <v>6.0</v>
      </c>
      <c r="R260" s="7">
        <v>0.0</v>
      </c>
      <c r="S260" s="7">
        <v>0.44</v>
      </c>
      <c r="T260" s="7">
        <v>0.0</v>
      </c>
      <c r="U260" s="7">
        <v>0.44</v>
      </c>
      <c r="V260" s="7">
        <v>0.44</v>
      </c>
      <c r="W260" s="7">
        <v>0.44</v>
      </c>
      <c r="X260" s="7" t="s">
        <v>719</v>
      </c>
      <c r="Y260" s="7" t="s">
        <v>665</v>
      </c>
      <c r="Z260" s="7">
        <v>1.3055555555555556</v>
      </c>
      <c r="AA260" s="7" t="str">
        <f t="shared" si="2"/>
        <v>M</v>
      </c>
      <c r="AB260" s="7">
        <f t="shared" si="3"/>
        <v>2.611111111</v>
      </c>
      <c r="AC260" s="7">
        <f t="shared" si="4"/>
        <v>0.3829787234</v>
      </c>
      <c r="AD260" s="7"/>
      <c r="AE260" s="7"/>
      <c r="AF260" s="24">
        <f t="shared" si="1"/>
        <v>91000</v>
      </c>
    </row>
    <row r="261">
      <c r="A261" s="7" t="s">
        <v>575</v>
      </c>
      <c r="B261" s="7" t="s">
        <v>70</v>
      </c>
      <c r="C261" s="7" t="s">
        <v>26</v>
      </c>
      <c r="D261" s="7" t="s">
        <v>80</v>
      </c>
      <c r="E261" s="7">
        <v>22.0</v>
      </c>
      <c r="F261" s="7">
        <v>2001.0</v>
      </c>
      <c r="G261" s="7">
        <v>14.0</v>
      </c>
      <c r="H261" s="7">
        <v>14.0</v>
      </c>
      <c r="I261" s="25">
        <v>1235.0</v>
      </c>
      <c r="J261" s="7">
        <v>13.7</v>
      </c>
      <c r="K261" s="7">
        <v>1.0</v>
      </c>
      <c r="L261" s="7">
        <v>0.0</v>
      </c>
      <c r="M261" s="7">
        <v>1.0</v>
      </c>
      <c r="N261" s="7">
        <v>1.0</v>
      </c>
      <c r="O261" s="7">
        <v>0.0</v>
      </c>
      <c r="P261" s="7">
        <v>0.0</v>
      </c>
      <c r="Q261" s="7">
        <v>1.0</v>
      </c>
      <c r="R261" s="7">
        <v>0.0</v>
      </c>
      <c r="S261" s="7">
        <v>0.07</v>
      </c>
      <c r="T261" s="7">
        <v>0.0</v>
      </c>
      <c r="U261" s="7">
        <v>0.07</v>
      </c>
      <c r="V261" s="7">
        <v>0.07</v>
      </c>
      <c r="W261" s="7">
        <v>0.07</v>
      </c>
      <c r="X261" s="7" t="s">
        <v>688</v>
      </c>
      <c r="Y261" s="7" t="s">
        <v>665</v>
      </c>
      <c r="Z261" s="7">
        <v>1.3888888888888888</v>
      </c>
      <c r="AA261" s="7" t="str">
        <f t="shared" si="2"/>
        <v>M</v>
      </c>
      <c r="AB261" s="7">
        <f t="shared" si="3"/>
        <v>2.777777778</v>
      </c>
      <c r="AC261" s="7">
        <f t="shared" si="4"/>
        <v>0.36</v>
      </c>
      <c r="AD261" s="7"/>
      <c r="AE261" s="7"/>
      <c r="AF261" s="24">
        <f t="shared" si="1"/>
        <v>91000</v>
      </c>
    </row>
    <row r="262">
      <c r="A262" s="7" t="s">
        <v>577</v>
      </c>
      <c r="B262" s="7" t="s">
        <v>70</v>
      </c>
      <c r="C262" s="7" t="s">
        <v>26</v>
      </c>
      <c r="D262" s="7" t="s">
        <v>80</v>
      </c>
      <c r="E262" s="7">
        <v>22.0</v>
      </c>
      <c r="F262" s="7">
        <v>2002.0</v>
      </c>
      <c r="G262" s="7">
        <v>9.0</v>
      </c>
      <c r="H262" s="7">
        <v>2.0</v>
      </c>
      <c r="I262" s="7">
        <v>336.0</v>
      </c>
      <c r="J262" s="7">
        <v>3.7</v>
      </c>
      <c r="K262" s="7">
        <v>0.0</v>
      </c>
      <c r="L262" s="7">
        <v>0.0</v>
      </c>
      <c r="M262" s="7">
        <v>0.0</v>
      </c>
      <c r="N262" s="7">
        <v>0.0</v>
      </c>
      <c r="O262" s="7">
        <v>0.0</v>
      </c>
      <c r="P262" s="7">
        <v>0.0</v>
      </c>
      <c r="Q262" s="7">
        <v>1.0</v>
      </c>
      <c r="R262" s="7">
        <v>0.0</v>
      </c>
      <c r="S262" s="7">
        <v>0.0</v>
      </c>
      <c r="T262" s="7">
        <v>0.0</v>
      </c>
      <c r="U262" s="7">
        <v>0.0</v>
      </c>
      <c r="V262" s="7">
        <v>0.0</v>
      </c>
      <c r="W262" s="7">
        <v>0.0</v>
      </c>
      <c r="X262" s="7" t="s">
        <v>685</v>
      </c>
      <c r="Y262" s="7" t="s">
        <v>665</v>
      </c>
      <c r="Z262" s="7">
        <v>1.3888888888888888</v>
      </c>
      <c r="AA262" s="7" t="str">
        <f t="shared" si="2"/>
        <v>M</v>
      </c>
      <c r="AB262" s="7">
        <f t="shared" si="3"/>
        <v>2.777777778</v>
      </c>
      <c r="AC262" s="7">
        <f t="shared" si="4"/>
        <v>0.36</v>
      </c>
      <c r="AD262" s="7"/>
      <c r="AE262" s="7"/>
      <c r="AF262" s="24">
        <f t="shared" si="1"/>
        <v>91000</v>
      </c>
    </row>
    <row r="263">
      <c r="A263" s="7" t="s">
        <v>579</v>
      </c>
      <c r="B263" s="7" t="s">
        <v>25</v>
      </c>
      <c r="C263" s="7" t="s">
        <v>55</v>
      </c>
      <c r="D263" s="7" t="s">
        <v>58</v>
      </c>
      <c r="E263" s="7">
        <v>25.0</v>
      </c>
      <c r="F263" s="7">
        <v>1998.0</v>
      </c>
      <c r="G263" s="7">
        <v>27.0</v>
      </c>
      <c r="H263" s="7">
        <v>12.0</v>
      </c>
      <c r="I263" s="25">
        <v>1399.0</v>
      </c>
      <c r="J263" s="7">
        <v>15.5</v>
      </c>
      <c r="K263" s="7">
        <v>10.0</v>
      </c>
      <c r="L263" s="7">
        <v>4.0</v>
      </c>
      <c r="M263" s="7">
        <v>14.0</v>
      </c>
      <c r="N263" s="7">
        <v>9.0</v>
      </c>
      <c r="O263" s="7">
        <v>1.0</v>
      </c>
      <c r="P263" s="7">
        <v>1.0</v>
      </c>
      <c r="Q263" s="7">
        <v>6.0</v>
      </c>
      <c r="R263" s="7">
        <v>1.0</v>
      </c>
      <c r="S263" s="7">
        <v>0.64</v>
      </c>
      <c r="T263" s="7">
        <v>0.26</v>
      </c>
      <c r="U263" s="7">
        <v>0.9</v>
      </c>
      <c r="V263" s="7">
        <v>0.58</v>
      </c>
      <c r="W263" s="7">
        <v>0.84</v>
      </c>
      <c r="X263" s="1" t="s">
        <v>692</v>
      </c>
      <c r="Y263" s="7" t="s">
        <v>665</v>
      </c>
      <c r="Z263" s="7">
        <v>0.75</v>
      </c>
      <c r="AA263" s="7" t="str">
        <f t="shared" si="2"/>
        <v>A</v>
      </c>
      <c r="AB263" s="7">
        <f t="shared" si="3"/>
        <v>3</v>
      </c>
      <c r="AC263" s="7">
        <f t="shared" si="4"/>
        <v>0.3333333333</v>
      </c>
      <c r="AD263" s="7"/>
      <c r="AE263" s="7"/>
      <c r="AF263" s="24">
        <f t="shared" si="1"/>
        <v>91000</v>
      </c>
    </row>
    <row r="264">
      <c r="A264" s="7" t="s">
        <v>581</v>
      </c>
      <c r="B264" s="7" t="s">
        <v>25</v>
      </c>
      <c r="C264" s="7" t="s">
        <v>35</v>
      </c>
      <c r="D264" s="7" t="s">
        <v>58</v>
      </c>
      <c r="E264" s="7">
        <v>32.0</v>
      </c>
      <c r="F264" s="7">
        <v>1991.0</v>
      </c>
      <c r="G264" s="7">
        <v>33.0</v>
      </c>
      <c r="H264" s="7">
        <v>33.0</v>
      </c>
      <c r="I264" s="25">
        <v>2919.0</v>
      </c>
      <c r="J264" s="7">
        <v>32.4</v>
      </c>
      <c r="K264" s="7">
        <v>0.0</v>
      </c>
      <c r="L264" s="7">
        <v>1.0</v>
      </c>
      <c r="M264" s="7">
        <v>1.0</v>
      </c>
      <c r="N264" s="7">
        <v>0.0</v>
      </c>
      <c r="O264" s="7">
        <v>0.0</v>
      </c>
      <c r="P264" s="7">
        <v>0.0</v>
      </c>
      <c r="Q264" s="7">
        <v>13.0</v>
      </c>
      <c r="R264" s="7">
        <v>0.0</v>
      </c>
      <c r="S264" s="7">
        <v>0.0</v>
      </c>
      <c r="T264" s="7">
        <v>0.03</v>
      </c>
      <c r="U264" s="7">
        <v>0.03</v>
      </c>
      <c r="V264" s="7">
        <v>0.0</v>
      </c>
      <c r="W264" s="7">
        <v>0.03</v>
      </c>
      <c r="X264" s="1" t="s">
        <v>692</v>
      </c>
      <c r="Y264" s="7" t="s">
        <v>665</v>
      </c>
      <c r="Z264" s="7">
        <v>0.75</v>
      </c>
      <c r="AA264" s="7" t="str">
        <f t="shared" si="2"/>
        <v>D</v>
      </c>
      <c r="AB264" s="7">
        <f t="shared" si="3"/>
        <v>0.75</v>
      </c>
      <c r="AC264" s="7">
        <f t="shared" si="4"/>
        <v>1.333333333</v>
      </c>
      <c r="AD264" s="7"/>
      <c r="AE264" s="7"/>
      <c r="AF264" s="24">
        <f t="shared" si="1"/>
        <v>91000</v>
      </c>
    </row>
    <row r="265">
      <c r="A265" s="7" t="s">
        <v>583</v>
      </c>
      <c r="B265" s="7" t="s">
        <v>25</v>
      </c>
      <c r="C265" s="7" t="s">
        <v>35</v>
      </c>
      <c r="D265" s="7" t="s">
        <v>31</v>
      </c>
      <c r="E265" s="7">
        <v>29.0</v>
      </c>
      <c r="F265" s="7">
        <v>1994.0</v>
      </c>
      <c r="G265" s="7">
        <v>12.0</v>
      </c>
      <c r="H265" s="7">
        <v>10.0</v>
      </c>
      <c r="I265" s="7">
        <v>812.0</v>
      </c>
      <c r="J265" s="7">
        <v>9.0</v>
      </c>
      <c r="K265" s="7">
        <v>2.0</v>
      </c>
      <c r="L265" s="7">
        <v>0.0</v>
      </c>
      <c r="M265" s="7">
        <v>2.0</v>
      </c>
      <c r="N265" s="7">
        <v>2.0</v>
      </c>
      <c r="O265" s="7">
        <v>0.0</v>
      </c>
      <c r="P265" s="7">
        <v>0.0</v>
      </c>
      <c r="Q265" s="7">
        <v>1.0</v>
      </c>
      <c r="R265" s="7">
        <v>0.0</v>
      </c>
      <c r="S265" s="7">
        <v>0.22</v>
      </c>
      <c r="T265" s="7">
        <v>0.0</v>
      </c>
      <c r="U265" s="7">
        <v>0.22</v>
      </c>
      <c r="V265" s="7">
        <v>0.22</v>
      </c>
      <c r="W265" s="7">
        <v>0.22</v>
      </c>
      <c r="X265" s="7" t="s">
        <v>698</v>
      </c>
      <c r="Y265" s="7" t="s">
        <v>665</v>
      </c>
      <c r="Z265" s="7">
        <v>0.9722222222222222</v>
      </c>
      <c r="AA265" s="7" t="str">
        <f t="shared" si="2"/>
        <v>D</v>
      </c>
      <c r="AB265" s="7">
        <f t="shared" si="3"/>
        <v>0.9722222222</v>
      </c>
      <c r="AC265" s="7">
        <f t="shared" si="4"/>
        <v>1.028571429</v>
      </c>
      <c r="AD265" s="7"/>
      <c r="AE265" s="7"/>
      <c r="AF265" s="24">
        <f t="shared" si="1"/>
        <v>91000</v>
      </c>
    </row>
    <row r="266">
      <c r="A266" s="7" t="s">
        <v>585</v>
      </c>
      <c r="B266" s="7" t="s">
        <v>25</v>
      </c>
      <c r="C266" s="7" t="s">
        <v>87</v>
      </c>
      <c r="D266" s="7" t="s">
        <v>31</v>
      </c>
      <c r="E266" s="7">
        <v>30.0</v>
      </c>
      <c r="F266" s="7">
        <v>1994.0</v>
      </c>
      <c r="G266" s="7">
        <v>12.0</v>
      </c>
      <c r="H266" s="7">
        <v>9.0</v>
      </c>
      <c r="I266" s="7">
        <v>602.0</v>
      </c>
      <c r="J266" s="7">
        <v>6.7</v>
      </c>
      <c r="K266" s="7">
        <v>0.0</v>
      </c>
      <c r="L266" s="7">
        <v>0.0</v>
      </c>
      <c r="M266" s="7">
        <v>0.0</v>
      </c>
      <c r="N266" s="7">
        <v>0.0</v>
      </c>
      <c r="O266" s="7">
        <v>0.0</v>
      </c>
      <c r="P266" s="7">
        <v>0.0</v>
      </c>
      <c r="Q266" s="7">
        <v>1.0</v>
      </c>
      <c r="R266" s="7">
        <v>0.0</v>
      </c>
      <c r="S266" s="7">
        <v>0.0</v>
      </c>
      <c r="T266" s="7">
        <v>0.0</v>
      </c>
      <c r="U266" s="7">
        <v>0.0</v>
      </c>
      <c r="V266" s="7">
        <v>0.0</v>
      </c>
      <c r="W266" s="7">
        <v>0.0</v>
      </c>
      <c r="X266" s="7" t="s">
        <v>715</v>
      </c>
      <c r="Y266" s="7" t="s">
        <v>665</v>
      </c>
      <c r="Z266" s="7">
        <v>0.9722222222222222</v>
      </c>
      <c r="AA266" s="7" t="str">
        <f t="shared" si="2"/>
        <v>D</v>
      </c>
      <c r="AB266" s="7">
        <f t="shared" si="3"/>
        <v>0.9722222222</v>
      </c>
      <c r="AC266" s="7">
        <f t="shared" si="4"/>
        <v>1.028571429</v>
      </c>
      <c r="AD266" s="7"/>
      <c r="AE266" s="7"/>
      <c r="AF266" s="24">
        <f t="shared" si="1"/>
        <v>91000</v>
      </c>
    </row>
    <row r="267">
      <c r="A267" s="7" t="s">
        <v>587</v>
      </c>
      <c r="B267" s="7" t="s">
        <v>25</v>
      </c>
      <c r="C267" s="7" t="s">
        <v>588</v>
      </c>
      <c r="D267" s="7" t="s">
        <v>80</v>
      </c>
      <c r="E267" s="7">
        <v>17.0</v>
      </c>
      <c r="F267" s="7">
        <v>2006.0</v>
      </c>
      <c r="G267" s="7">
        <v>11.0</v>
      </c>
      <c r="H267" s="7">
        <v>10.0</v>
      </c>
      <c r="I267" s="7">
        <v>785.0</v>
      </c>
      <c r="J267" s="7">
        <v>8.7</v>
      </c>
      <c r="K267" s="7">
        <v>0.0</v>
      </c>
      <c r="L267" s="7">
        <v>0.0</v>
      </c>
      <c r="M267" s="7">
        <v>0.0</v>
      </c>
      <c r="N267" s="7">
        <v>0.0</v>
      </c>
      <c r="O267" s="7">
        <v>0.0</v>
      </c>
      <c r="P267" s="7">
        <v>0.0</v>
      </c>
      <c r="Q267" s="7">
        <v>5.0</v>
      </c>
      <c r="R267" s="7">
        <v>0.0</v>
      </c>
      <c r="S267" s="7">
        <v>0.0</v>
      </c>
      <c r="T267" s="7">
        <v>0.0</v>
      </c>
      <c r="U267" s="7">
        <v>0.0</v>
      </c>
      <c r="V267" s="7">
        <v>0.0</v>
      </c>
      <c r="W267" s="7">
        <v>0.0</v>
      </c>
      <c r="X267" s="7" t="s">
        <v>698</v>
      </c>
      <c r="Y267" s="7" t="s">
        <v>665</v>
      </c>
      <c r="Z267" s="7">
        <v>1.3888888888888888</v>
      </c>
      <c r="AA267" s="7" t="str">
        <f t="shared" si="2"/>
        <v>D</v>
      </c>
      <c r="AB267" s="7">
        <f t="shared" si="3"/>
        <v>1.388888889</v>
      </c>
      <c r="AC267" s="7">
        <f t="shared" si="4"/>
        <v>0.72</v>
      </c>
      <c r="AD267" s="7"/>
      <c r="AE267" s="7"/>
      <c r="AF267" s="24">
        <f t="shared" si="1"/>
        <v>91000</v>
      </c>
    </row>
    <row r="268">
      <c r="A268" s="7" t="s">
        <v>590</v>
      </c>
      <c r="B268" s="7" t="s">
        <v>25</v>
      </c>
      <c r="C268" s="7" t="s">
        <v>26</v>
      </c>
      <c r="D268" s="7" t="s">
        <v>128</v>
      </c>
      <c r="E268" s="7">
        <v>20.0</v>
      </c>
      <c r="F268" s="7">
        <v>2003.0</v>
      </c>
      <c r="G268" s="7">
        <v>1.0</v>
      </c>
      <c r="H268" s="7">
        <v>0.0</v>
      </c>
      <c r="I268" s="7">
        <v>1.0</v>
      </c>
      <c r="J268" s="7">
        <v>0.0</v>
      </c>
      <c r="K268" s="7">
        <v>0.0</v>
      </c>
      <c r="L268" s="7">
        <v>0.0</v>
      </c>
      <c r="M268" s="7">
        <v>0.0</v>
      </c>
      <c r="N268" s="7">
        <v>0.0</v>
      </c>
      <c r="O268" s="7">
        <v>0.0</v>
      </c>
      <c r="P268" s="7">
        <v>0.0</v>
      </c>
      <c r="Q268" s="7">
        <v>0.0</v>
      </c>
      <c r="R268" s="7">
        <v>0.0</v>
      </c>
      <c r="S268" s="7">
        <v>0.0</v>
      </c>
      <c r="T268" s="7">
        <v>0.0</v>
      </c>
      <c r="U268" s="7">
        <v>0.0</v>
      </c>
      <c r="V268" s="7">
        <v>0.0</v>
      </c>
      <c r="W268" s="7">
        <v>0.0</v>
      </c>
      <c r="X268" s="7" t="s">
        <v>673</v>
      </c>
      <c r="Y268" s="7" t="s">
        <v>665</v>
      </c>
      <c r="Z268" s="7">
        <v>1.4166666666666667</v>
      </c>
      <c r="AA268" s="7" t="str">
        <f t="shared" si="2"/>
        <v>M</v>
      </c>
      <c r="AB268" s="7">
        <f t="shared" si="3"/>
        <v>2.833333333</v>
      </c>
      <c r="AC268" s="7">
        <f t="shared" si="4"/>
        <v>0.3529411765</v>
      </c>
      <c r="AD268" s="7"/>
      <c r="AE268" s="7"/>
      <c r="AF268" s="24">
        <f t="shared" si="1"/>
        <v>91000</v>
      </c>
    </row>
    <row r="269">
      <c r="A269" s="7" t="s">
        <v>592</v>
      </c>
      <c r="B269" s="7" t="s">
        <v>25</v>
      </c>
      <c r="C269" s="7" t="s">
        <v>77</v>
      </c>
      <c r="D269" s="7" t="s">
        <v>80</v>
      </c>
      <c r="E269" s="7">
        <v>18.0</v>
      </c>
      <c r="F269" s="7">
        <v>2005.0</v>
      </c>
      <c r="G269" s="7">
        <v>2.0</v>
      </c>
      <c r="H269" s="7">
        <v>2.0</v>
      </c>
      <c r="I269" s="7">
        <v>180.0</v>
      </c>
      <c r="J269" s="7">
        <v>2.0</v>
      </c>
      <c r="K269" s="7">
        <v>0.0</v>
      </c>
      <c r="L269" s="7">
        <v>0.0</v>
      </c>
      <c r="M269" s="7">
        <v>0.0</v>
      </c>
      <c r="N269" s="7">
        <v>0.0</v>
      </c>
      <c r="O269" s="7">
        <v>0.0</v>
      </c>
      <c r="P269" s="7">
        <v>0.0</v>
      </c>
      <c r="Q269" s="7">
        <v>0.0</v>
      </c>
      <c r="R269" s="7">
        <v>0.0</v>
      </c>
      <c r="S269" s="7">
        <v>0.0</v>
      </c>
      <c r="T269" s="7">
        <v>0.0</v>
      </c>
      <c r="U269" s="7">
        <v>0.0</v>
      </c>
      <c r="V269" s="7">
        <v>0.0</v>
      </c>
      <c r="W269" s="7">
        <v>0.0</v>
      </c>
      <c r="X269" s="7" t="s">
        <v>688</v>
      </c>
      <c r="Y269" s="7" t="s">
        <v>665</v>
      </c>
      <c r="Z269" s="7">
        <v>1.3888888888888888</v>
      </c>
      <c r="AA269" s="7" t="str">
        <f t="shared" si="2"/>
        <v>D</v>
      </c>
      <c r="AB269" s="7">
        <f t="shared" si="3"/>
        <v>1.388888889</v>
      </c>
      <c r="AC269" s="7">
        <f t="shared" si="4"/>
        <v>0.72</v>
      </c>
      <c r="AD269" s="7"/>
      <c r="AE269" s="7"/>
      <c r="AF269" s="24">
        <f t="shared" si="1"/>
        <v>91000</v>
      </c>
    </row>
    <row r="270">
      <c r="A270" s="7" t="s">
        <v>594</v>
      </c>
      <c r="B270" s="7" t="s">
        <v>25</v>
      </c>
      <c r="C270" s="7" t="s">
        <v>55</v>
      </c>
      <c r="D270" s="7" t="s">
        <v>52</v>
      </c>
      <c r="E270" s="7">
        <v>17.0</v>
      </c>
      <c r="F270" s="7">
        <v>2006.0</v>
      </c>
      <c r="G270" s="7">
        <v>5.0</v>
      </c>
      <c r="H270" s="7">
        <v>0.0</v>
      </c>
      <c r="I270" s="7">
        <v>43.0</v>
      </c>
      <c r="J270" s="7">
        <v>0.5</v>
      </c>
      <c r="K270" s="7">
        <v>0.0</v>
      </c>
      <c r="L270" s="7">
        <v>0.0</v>
      </c>
      <c r="M270" s="7">
        <v>0.0</v>
      </c>
      <c r="N270" s="7">
        <v>0.0</v>
      </c>
      <c r="O270" s="7">
        <v>0.0</v>
      </c>
      <c r="P270" s="7">
        <v>0.0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  <c r="V270" s="7">
        <v>0.0</v>
      </c>
      <c r="W270" s="7">
        <v>0.0</v>
      </c>
      <c r="X270" s="7" t="s">
        <v>688</v>
      </c>
      <c r="Y270" s="7" t="s">
        <v>665</v>
      </c>
      <c r="Z270" s="7">
        <v>0.8611111111111112</v>
      </c>
      <c r="AA270" s="7" t="str">
        <f t="shared" si="2"/>
        <v>A</v>
      </c>
      <c r="AB270" s="7">
        <f t="shared" si="3"/>
        <v>3.444444444</v>
      </c>
      <c r="AC270" s="7">
        <f t="shared" si="4"/>
        <v>0.2903225806</v>
      </c>
      <c r="AD270" s="7"/>
      <c r="AE270" s="7"/>
      <c r="AF270" s="24">
        <f t="shared" si="1"/>
        <v>91000</v>
      </c>
    </row>
    <row r="271">
      <c r="A271" s="7" t="s">
        <v>596</v>
      </c>
      <c r="B271" s="7" t="s">
        <v>34</v>
      </c>
      <c r="C271" s="7" t="s">
        <v>26</v>
      </c>
      <c r="D271" s="7" t="s">
        <v>52</v>
      </c>
      <c r="E271" s="7">
        <v>22.0</v>
      </c>
      <c r="F271" s="7">
        <v>2001.0</v>
      </c>
      <c r="G271" s="7">
        <v>7.0</v>
      </c>
      <c r="H271" s="7">
        <v>0.0</v>
      </c>
      <c r="I271" s="7">
        <v>90.0</v>
      </c>
      <c r="J271" s="7">
        <v>1.0</v>
      </c>
      <c r="K271" s="7">
        <v>0.0</v>
      </c>
      <c r="L271" s="7">
        <v>0.0</v>
      </c>
      <c r="M271" s="7">
        <v>0.0</v>
      </c>
      <c r="N271" s="7">
        <v>0.0</v>
      </c>
      <c r="O271" s="7">
        <v>0.0</v>
      </c>
      <c r="P271" s="7">
        <v>0.0</v>
      </c>
      <c r="Q271" s="7">
        <v>1.0</v>
      </c>
      <c r="R271" s="7">
        <v>0.0</v>
      </c>
      <c r="S271" s="7">
        <v>0.0</v>
      </c>
      <c r="T271" s="7">
        <v>0.0</v>
      </c>
      <c r="U271" s="7">
        <v>0.0</v>
      </c>
      <c r="V271" s="7">
        <v>0.0</v>
      </c>
      <c r="W271" s="7">
        <v>0.0</v>
      </c>
      <c r="X271" s="7" t="s">
        <v>688</v>
      </c>
      <c r="Y271" s="7" t="s">
        <v>665</v>
      </c>
      <c r="Z271" s="7">
        <v>0.8611111111111112</v>
      </c>
      <c r="AA271" s="7" t="str">
        <f t="shared" si="2"/>
        <v>M</v>
      </c>
      <c r="AB271" s="7">
        <f t="shared" si="3"/>
        <v>1.722222222</v>
      </c>
      <c r="AC271" s="7">
        <f t="shared" si="4"/>
        <v>0.5806451613</v>
      </c>
      <c r="AD271" s="7"/>
      <c r="AE271" s="7"/>
      <c r="AF271" s="24">
        <f t="shared" si="1"/>
        <v>91000</v>
      </c>
    </row>
    <row r="272">
      <c r="A272" s="7" t="s">
        <v>598</v>
      </c>
      <c r="B272" s="7" t="s">
        <v>25</v>
      </c>
      <c r="C272" s="7" t="s">
        <v>35</v>
      </c>
      <c r="D272" s="7" t="s">
        <v>58</v>
      </c>
      <c r="E272" s="7">
        <v>29.0</v>
      </c>
      <c r="F272" s="7">
        <v>1994.0</v>
      </c>
      <c r="G272" s="7">
        <v>12.0</v>
      </c>
      <c r="H272" s="7">
        <v>8.0</v>
      </c>
      <c r="I272" s="7">
        <v>595.0</v>
      </c>
      <c r="J272" s="7">
        <v>6.6</v>
      </c>
      <c r="K272" s="7">
        <v>0.0</v>
      </c>
      <c r="L272" s="7">
        <v>0.0</v>
      </c>
      <c r="M272" s="7">
        <v>0.0</v>
      </c>
      <c r="N272" s="7">
        <v>0.0</v>
      </c>
      <c r="O272" s="7">
        <v>0.0</v>
      </c>
      <c r="P272" s="7">
        <v>0.0</v>
      </c>
      <c r="Q272" s="7">
        <v>4.0</v>
      </c>
      <c r="R272" s="7">
        <v>0.0</v>
      </c>
      <c r="S272" s="7">
        <v>0.0</v>
      </c>
      <c r="T272" s="7">
        <v>0.0</v>
      </c>
      <c r="U272" s="7">
        <v>0.0</v>
      </c>
      <c r="V272" s="7">
        <v>0.0</v>
      </c>
      <c r="W272" s="7">
        <v>0.0</v>
      </c>
      <c r="X272" s="7" t="s">
        <v>734</v>
      </c>
      <c r="Y272" s="7" t="s">
        <v>665</v>
      </c>
      <c r="Z272" s="7">
        <v>0.75</v>
      </c>
      <c r="AA272" s="7" t="str">
        <f t="shared" si="2"/>
        <v>D</v>
      </c>
      <c r="AB272" s="7">
        <f t="shared" si="3"/>
        <v>0.75</v>
      </c>
      <c r="AC272" s="7">
        <f t="shared" si="4"/>
        <v>1.333333333</v>
      </c>
      <c r="AD272" s="7"/>
      <c r="AE272" s="7"/>
      <c r="AF272" s="24">
        <f t="shared" si="1"/>
        <v>91000</v>
      </c>
    </row>
    <row r="273">
      <c r="A273" s="7" t="s">
        <v>600</v>
      </c>
      <c r="B273" s="7" t="s">
        <v>25</v>
      </c>
      <c r="C273" s="7" t="s">
        <v>26</v>
      </c>
      <c r="D273" s="7" t="s">
        <v>36</v>
      </c>
      <c r="E273" s="7">
        <v>23.0</v>
      </c>
      <c r="F273" s="7">
        <v>2000.0</v>
      </c>
      <c r="G273" s="7">
        <v>11.0</v>
      </c>
      <c r="H273" s="7">
        <v>10.0</v>
      </c>
      <c r="I273" s="7">
        <v>871.0</v>
      </c>
      <c r="J273" s="7">
        <v>9.7</v>
      </c>
      <c r="K273" s="7">
        <v>1.0</v>
      </c>
      <c r="L273" s="7">
        <v>1.0</v>
      </c>
      <c r="M273" s="7">
        <v>2.0</v>
      </c>
      <c r="N273" s="7">
        <v>1.0</v>
      </c>
      <c r="O273" s="7">
        <v>0.0</v>
      </c>
      <c r="P273" s="7">
        <v>0.0</v>
      </c>
      <c r="Q273" s="7">
        <v>5.0</v>
      </c>
      <c r="R273" s="7">
        <v>0.0</v>
      </c>
      <c r="S273" s="7">
        <v>0.1</v>
      </c>
      <c r="T273" s="7">
        <v>0.1</v>
      </c>
      <c r="U273" s="7">
        <v>0.21</v>
      </c>
      <c r="V273" s="7">
        <v>0.1</v>
      </c>
      <c r="W273" s="7">
        <v>0.21</v>
      </c>
      <c r="X273" s="7" t="s">
        <v>715</v>
      </c>
      <c r="Y273" s="7" t="s">
        <v>665</v>
      </c>
      <c r="Z273" s="7">
        <v>1.6111111111111112</v>
      </c>
      <c r="AA273" s="7" t="str">
        <f t="shared" si="2"/>
        <v>M</v>
      </c>
      <c r="AB273" s="7">
        <f t="shared" si="3"/>
        <v>3.222222222</v>
      </c>
      <c r="AC273" s="7">
        <f t="shared" si="4"/>
        <v>0.3103448276</v>
      </c>
      <c r="AD273" s="7"/>
      <c r="AE273" s="7"/>
      <c r="AF273" s="24">
        <f t="shared" si="1"/>
        <v>91000</v>
      </c>
    </row>
    <row r="274">
      <c r="A274" s="7" t="s">
        <v>600</v>
      </c>
      <c r="B274" s="7" t="s">
        <v>25</v>
      </c>
      <c r="C274" s="7" t="s">
        <v>26</v>
      </c>
      <c r="D274" s="7" t="s">
        <v>58</v>
      </c>
      <c r="E274" s="7">
        <v>23.0</v>
      </c>
      <c r="F274" s="7">
        <v>2000.0</v>
      </c>
      <c r="G274" s="7">
        <v>17.0</v>
      </c>
      <c r="H274" s="7">
        <v>2.0</v>
      </c>
      <c r="I274" s="7">
        <v>333.0</v>
      </c>
      <c r="J274" s="7">
        <v>3.7</v>
      </c>
      <c r="K274" s="7">
        <v>0.0</v>
      </c>
      <c r="L274" s="7">
        <v>1.0</v>
      </c>
      <c r="M274" s="7">
        <v>1.0</v>
      </c>
      <c r="N274" s="7">
        <v>0.0</v>
      </c>
      <c r="O274" s="7">
        <v>0.0</v>
      </c>
      <c r="P274" s="7">
        <v>0.0</v>
      </c>
      <c r="Q274" s="7">
        <v>5.0</v>
      </c>
      <c r="R274" s="7">
        <v>1.0</v>
      </c>
      <c r="S274" s="7">
        <v>0.0</v>
      </c>
      <c r="T274" s="7">
        <v>0.27</v>
      </c>
      <c r="U274" s="7">
        <v>0.27</v>
      </c>
      <c r="V274" s="7">
        <v>0.0</v>
      </c>
      <c r="W274" s="7">
        <v>0.27</v>
      </c>
      <c r="X274" s="1" t="s">
        <v>692</v>
      </c>
      <c r="Y274" s="7" t="s">
        <v>665</v>
      </c>
      <c r="Z274" s="7">
        <v>0.75</v>
      </c>
      <c r="AA274" s="7" t="str">
        <f t="shared" si="2"/>
        <v>M</v>
      </c>
      <c r="AB274" s="7">
        <f t="shared" si="3"/>
        <v>1.5</v>
      </c>
      <c r="AC274" s="7">
        <f t="shared" si="4"/>
        <v>0.6666666667</v>
      </c>
      <c r="AD274" s="7"/>
      <c r="AE274" s="7"/>
      <c r="AF274" s="24">
        <f t="shared" si="1"/>
        <v>91000</v>
      </c>
    </row>
    <row r="275">
      <c r="A275" s="7" t="s">
        <v>603</v>
      </c>
      <c r="B275" s="7" t="s">
        <v>25</v>
      </c>
      <c r="C275" s="7" t="s">
        <v>26</v>
      </c>
      <c r="D275" s="7" t="s">
        <v>98</v>
      </c>
      <c r="E275" s="7">
        <v>22.0</v>
      </c>
      <c r="F275" s="7">
        <v>2001.0</v>
      </c>
      <c r="G275" s="7">
        <v>8.0</v>
      </c>
      <c r="H275" s="7">
        <v>3.0</v>
      </c>
      <c r="I275" s="7">
        <v>260.0</v>
      </c>
      <c r="J275" s="7">
        <v>2.9</v>
      </c>
      <c r="K275" s="7">
        <v>0.0</v>
      </c>
      <c r="L275" s="7">
        <v>0.0</v>
      </c>
      <c r="M275" s="7">
        <v>0.0</v>
      </c>
      <c r="N275" s="7">
        <v>0.0</v>
      </c>
      <c r="O275" s="7">
        <v>0.0</v>
      </c>
      <c r="P275" s="7">
        <v>0.0</v>
      </c>
      <c r="Q275" s="7">
        <v>1.0</v>
      </c>
      <c r="R275" s="7">
        <v>0.0</v>
      </c>
      <c r="S275" s="7">
        <v>0.0</v>
      </c>
      <c r="T275" s="7">
        <v>0.0</v>
      </c>
      <c r="U275" s="7">
        <v>0.0</v>
      </c>
      <c r="V275" s="7">
        <v>0.0</v>
      </c>
      <c r="W275" s="7">
        <v>0.0</v>
      </c>
      <c r="X275" s="7" t="s">
        <v>688</v>
      </c>
      <c r="Y275" s="7" t="s">
        <v>665</v>
      </c>
      <c r="Z275" s="7">
        <v>1.3055555555555556</v>
      </c>
      <c r="AA275" s="7" t="str">
        <f t="shared" si="2"/>
        <v>M</v>
      </c>
      <c r="AB275" s="7">
        <f t="shared" si="3"/>
        <v>2.611111111</v>
      </c>
      <c r="AC275" s="7">
        <f t="shared" si="4"/>
        <v>0.3829787234</v>
      </c>
      <c r="AD275" s="7"/>
      <c r="AE275" s="7"/>
      <c r="AF275" s="24">
        <f t="shared" si="1"/>
        <v>91000</v>
      </c>
    </row>
    <row r="276">
      <c r="A276" s="7" t="s">
        <v>605</v>
      </c>
      <c r="B276" s="7" t="s">
        <v>25</v>
      </c>
      <c r="C276" s="7" t="s">
        <v>35</v>
      </c>
      <c r="D276" s="7" t="s">
        <v>52</v>
      </c>
      <c r="E276" s="7">
        <v>33.0</v>
      </c>
      <c r="F276" s="7">
        <v>1991.0</v>
      </c>
      <c r="G276" s="7">
        <v>23.0</v>
      </c>
      <c r="H276" s="7">
        <v>16.0</v>
      </c>
      <c r="I276" s="25">
        <v>1547.0</v>
      </c>
      <c r="J276" s="7">
        <v>17.2</v>
      </c>
      <c r="K276" s="7">
        <v>0.0</v>
      </c>
      <c r="L276" s="7">
        <v>0.0</v>
      </c>
      <c r="M276" s="7">
        <v>0.0</v>
      </c>
      <c r="N276" s="7">
        <v>0.0</v>
      </c>
      <c r="O276" s="7">
        <v>0.0</v>
      </c>
      <c r="P276" s="7">
        <v>0.0</v>
      </c>
      <c r="Q276" s="7">
        <v>2.0</v>
      </c>
      <c r="R276" s="7">
        <v>0.0</v>
      </c>
      <c r="S276" s="7">
        <v>0.0</v>
      </c>
      <c r="T276" s="7">
        <v>0.0</v>
      </c>
      <c r="U276" s="7">
        <v>0.0</v>
      </c>
      <c r="V276" s="7">
        <v>0.0</v>
      </c>
      <c r="W276" s="7">
        <v>0.0</v>
      </c>
      <c r="X276" s="7" t="s">
        <v>670</v>
      </c>
      <c r="Y276" s="7" t="s">
        <v>665</v>
      </c>
      <c r="Z276" s="7">
        <v>0.8611111111111112</v>
      </c>
      <c r="AA276" s="7" t="str">
        <f t="shared" si="2"/>
        <v>D</v>
      </c>
      <c r="AB276" s="7">
        <f t="shared" si="3"/>
        <v>0.8611111111</v>
      </c>
      <c r="AC276" s="7">
        <f t="shared" si="4"/>
        <v>1.161290323</v>
      </c>
      <c r="AD276" s="7"/>
      <c r="AE276" s="7"/>
      <c r="AF276" s="24">
        <f t="shared" si="1"/>
        <v>91000</v>
      </c>
    </row>
    <row r="277">
      <c r="A277" s="7" t="s">
        <v>607</v>
      </c>
      <c r="B277" s="7" t="s">
        <v>25</v>
      </c>
      <c r="C277" s="7" t="s">
        <v>47</v>
      </c>
      <c r="D277" s="7" t="s">
        <v>128</v>
      </c>
      <c r="E277" s="7">
        <v>25.0</v>
      </c>
      <c r="F277" s="7">
        <v>1998.0</v>
      </c>
      <c r="G277" s="7">
        <v>19.0</v>
      </c>
      <c r="H277" s="7">
        <v>16.0</v>
      </c>
      <c r="I277" s="25">
        <v>1375.0</v>
      </c>
      <c r="J277" s="7">
        <v>15.3</v>
      </c>
      <c r="K277" s="7">
        <v>4.0</v>
      </c>
      <c r="L277" s="7">
        <v>2.0</v>
      </c>
      <c r="M277" s="7">
        <v>6.0</v>
      </c>
      <c r="N277" s="7">
        <v>4.0</v>
      </c>
      <c r="O277" s="7">
        <v>0.0</v>
      </c>
      <c r="P277" s="7">
        <v>0.0</v>
      </c>
      <c r="Q277" s="7">
        <v>2.0</v>
      </c>
      <c r="R277" s="7">
        <v>1.0</v>
      </c>
      <c r="S277" s="7">
        <v>0.26</v>
      </c>
      <c r="T277" s="7">
        <v>0.13</v>
      </c>
      <c r="U277" s="7">
        <v>0.39</v>
      </c>
      <c r="V277" s="7">
        <v>0.26</v>
      </c>
      <c r="W277" s="7">
        <v>0.39</v>
      </c>
      <c r="X277" s="7" t="s">
        <v>715</v>
      </c>
      <c r="Y277" s="7" t="s">
        <v>665</v>
      </c>
      <c r="Z277" s="7">
        <v>1.4166666666666667</v>
      </c>
      <c r="AA277" s="7" t="str">
        <f t="shared" si="2"/>
        <v>M</v>
      </c>
      <c r="AB277" s="7">
        <f t="shared" si="3"/>
        <v>2.833333333</v>
      </c>
      <c r="AC277" s="7">
        <f t="shared" si="4"/>
        <v>0.3529411765</v>
      </c>
      <c r="AD277" s="7"/>
      <c r="AE277" s="7"/>
      <c r="AF277" s="24">
        <f t="shared" si="1"/>
        <v>91000</v>
      </c>
    </row>
    <row r="278">
      <c r="A278" s="7" t="s">
        <v>609</v>
      </c>
      <c r="B278" s="7" t="s">
        <v>610</v>
      </c>
      <c r="C278" s="7" t="s">
        <v>47</v>
      </c>
      <c r="D278" s="7" t="s">
        <v>128</v>
      </c>
      <c r="E278" s="7">
        <v>23.0</v>
      </c>
      <c r="F278" s="7">
        <v>2000.0</v>
      </c>
      <c r="G278" s="7">
        <v>15.0</v>
      </c>
      <c r="H278" s="7">
        <v>8.0</v>
      </c>
      <c r="I278" s="7">
        <v>729.0</v>
      </c>
      <c r="J278" s="7">
        <v>8.1</v>
      </c>
      <c r="K278" s="7">
        <v>0.0</v>
      </c>
      <c r="L278" s="7">
        <v>1.0</v>
      </c>
      <c r="M278" s="7">
        <v>1.0</v>
      </c>
      <c r="N278" s="7">
        <v>0.0</v>
      </c>
      <c r="O278" s="7">
        <v>0.0</v>
      </c>
      <c r="P278" s="7">
        <v>0.0</v>
      </c>
      <c r="Q278" s="7">
        <v>1.0</v>
      </c>
      <c r="R278" s="7">
        <v>0.0</v>
      </c>
      <c r="S278" s="7">
        <v>0.0</v>
      </c>
      <c r="T278" s="7">
        <v>0.12</v>
      </c>
      <c r="U278" s="7">
        <v>0.12</v>
      </c>
      <c r="V278" s="7">
        <v>0.0</v>
      </c>
      <c r="W278" s="7">
        <v>0.12</v>
      </c>
      <c r="X278" s="7" t="s">
        <v>693</v>
      </c>
      <c r="Y278" s="7" t="s">
        <v>665</v>
      </c>
      <c r="Z278" s="7">
        <v>1.4166666666666667</v>
      </c>
      <c r="AA278" s="7" t="str">
        <f t="shared" si="2"/>
        <v>M</v>
      </c>
      <c r="AB278" s="7">
        <f t="shared" si="3"/>
        <v>2.833333333</v>
      </c>
      <c r="AC278" s="7">
        <f t="shared" si="4"/>
        <v>0.3529411765</v>
      </c>
      <c r="AD278" s="7"/>
      <c r="AE278" s="7"/>
      <c r="AF278" s="24">
        <f t="shared" si="1"/>
        <v>91000</v>
      </c>
    </row>
    <row r="279">
      <c r="A279" s="7" t="s">
        <v>612</v>
      </c>
      <c r="B279" s="7" t="s">
        <v>446</v>
      </c>
      <c r="C279" s="7" t="s">
        <v>55</v>
      </c>
      <c r="D279" s="7" t="s">
        <v>44</v>
      </c>
      <c r="E279" s="7">
        <v>25.0</v>
      </c>
      <c r="F279" s="7">
        <v>1998.0</v>
      </c>
      <c r="G279" s="7">
        <v>8.0</v>
      </c>
      <c r="H279" s="7">
        <v>3.0</v>
      </c>
      <c r="I279" s="7">
        <v>246.0</v>
      </c>
      <c r="J279" s="7">
        <v>2.7</v>
      </c>
      <c r="K279" s="7">
        <v>1.0</v>
      </c>
      <c r="L279" s="7">
        <v>0.0</v>
      </c>
      <c r="M279" s="7">
        <v>1.0</v>
      </c>
      <c r="N279" s="7">
        <v>1.0</v>
      </c>
      <c r="O279" s="7">
        <v>0.0</v>
      </c>
      <c r="P279" s="7">
        <v>0.0</v>
      </c>
      <c r="Q279" s="7">
        <v>0.0</v>
      </c>
      <c r="R279" s="7">
        <v>0.0</v>
      </c>
      <c r="S279" s="7">
        <v>0.37</v>
      </c>
      <c r="T279" s="7">
        <v>0.0</v>
      </c>
      <c r="U279" s="7">
        <v>0.37</v>
      </c>
      <c r="V279" s="7">
        <v>0.37</v>
      </c>
      <c r="W279" s="7">
        <v>0.37</v>
      </c>
      <c r="X279" s="1" t="s">
        <v>692</v>
      </c>
      <c r="Y279" s="7" t="s">
        <v>665</v>
      </c>
      <c r="Z279" s="7">
        <v>1.1944444444444444</v>
      </c>
      <c r="AA279" s="7" t="str">
        <f t="shared" si="2"/>
        <v>A</v>
      </c>
      <c r="AB279" s="7">
        <f t="shared" si="3"/>
        <v>4.777777778</v>
      </c>
      <c r="AC279" s="7">
        <f t="shared" si="4"/>
        <v>0.2093023256</v>
      </c>
      <c r="AD279" s="7"/>
      <c r="AE279" s="7"/>
      <c r="AF279" s="24">
        <f t="shared" si="1"/>
        <v>91000</v>
      </c>
    </row>
    <row r="280">
      <c r="A280" s="7" t="s">
        <v>614</v>
      </c>
      <c r="B280" s="7" t="s">
        <v>25</v>
      </c>
      <c r="C280" s="7" t="s">
        <v>26</v>
      </c>
      <c r="D280" s="7" t="s">
        <v>128</v>
      </c>
      <c r="E280" s="7">
        <v>24.0</v>
      </c>
      <c r="F280" s="7">
        <v>1999.0</v>
      </c>
      <c r="G280" s="7">
        <v>6.0</v>
      </c>
      <c r="H280" s="7">
        <v>4.0</v>
      </c>
      <c r="I280" s="7">
        <v>289.0</v>
      </c>
      <c r="J280" s="7">
        <v>3.2</v>
      </c>
      <c r="K280" s="7">
        <v>0.0</v>
      </c>
      <c r="L280" s="7">
        <v>0.0</v>
      </c>
      <c r="M280" s="7">
        <v>0.0</v>
      </c>
      <c r="N280" s="7">
        <v>0.0</v>
      </c>
      <c r="O280" s="7">
        <v>0.0</v>
      </c>
      <c r="P280" s="7">
        <v>0.0</v>
      </c>
      <c r="Q280" s="7">
        <v>2.0</v>
      </c>
      <c r="R280" s="7">
        <v>1.0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1" t="s">
        <v>692</v>
      </c>
      <c r="Y280" s="7" t="s">
        <v>665</v>
      </c>
      <c r="Z280" s="7">
        <v>1.4166666666666667</v>
      </c>
      <c r="AA280" s="7" t="str">
        <f t="shared" si="2"/>
        <v>M</v>
      </c>
      <c r="AB280" s="7">
        <f t="shared" si="3"/>
        <v>2.833333333</v>
      </c>
      <c r="AC280" s="7">
        <f t="shared" si="4"/>
        <v>0.3529411765</v>
      </c>
      <c r="AD280" s="7"/>
      <c r="AE280" s="7"/>
      <c r="AF280" s="24">
        <f t="shared" si="1"/>
        <v>91000</v>
      </c>
    </row>
    <row r="281">
      <c r="A281" s="7" t="s">
        <v>616</v>
      </c>
      <c r="B281" s="7" t="s">
        <v>25</v>
      </c>
      <c r="C281" s="7" t="s">
        <v>55</v>
      </c>
      <c r="D281" s="7" t="s">
        <v>62</v>
      </c>
      <c r="E281" s="7">
        <v>33.0</v>
      </c>
      <c r="F281" s="7">
        <v>1990.0</v>
      </c>
      <c r="G281" s="7">
        <v>33.0</v>
      </c>
      <c r="H281" s="7">
        <v>27.0</v>
      </c>
      <c r="I281" s="25">
        <v>2544.0</v>
      </c>
      <c r="J281" s="7">
        <v>28.3</v>
      </c>
      <c r="K281" s="7">
        <v>9.0</v>
      </c>
      <c r="L281" s="7">
        <v>3.0</v>
      </c>
      <c r="M281" s="7">
        <v>12.0</v>
      </c>
      <c r="N281" s="7">
        <v>9.0</v>
      </c>
      <c r="O281" s="7">
        <v>0.0</v>
      </c>
      <c r="P281" s="7">
        <v>0.0</v>
      </c>
      <c r="Q281" s="7">
        <v>9.0</v>
      </c>
      <c r="R281" s="7">
        <v>1.0</v>
      </c>
      <c r="S281" s="7">
        <v>0.32</v>
      </c>
      <c r="T281" s="7">
        <v>0.11</v>
      </c>
      <c r="U281" s="7">
        <v>0.42</v>
      </c>
      <c r="V281" s="7">
        <v>0.32</v>
      </c>
      <c r="W281" s="7">
        <v>0.42</v>
      </c>
      <c r="X281" s="1" t="s">
        <v>692</v>
      </c>
      <c r="Y281" s="7" t="s">
        <v>665</v>
      </c>
      <c r="Z281" s="7">
        <v>0.8055555555555556</v>
      </c>
      <c r="AA281" s="7" t="str">
        <f t="shared" si="2"/>
        <v>A</v>
      </c>
      <c r="AB281" s="7">
        <f t="shared" si="3"/>
        <v>3.222222222</v>
      </c>
      <c r="AC281" s="7">
        <f t="shared" si="4"/>
        <v>0.3103448276</v>
      </c>
      <c r="AD281" s="7"/>
      <c r="AE281" s="7"/>
      <c r="AF281" s="24">
        <f t="shared" si="1"/>
        <v>91000</v>
      </c>
    </row>
    <row r="282">
      <c r="A282" s="7" t="s">
        <v>618</v>
      </c>
      <c r="B282" s="7" t="s">
        <v>25</v>
      </c>
      <c r="C282" s="7" t="s">
        <v>55</v>
      </c>
      <c r="D282" s="7" t="s">
        <v>80</v>
      </c>
      <c r="E282" s="7">
        <v>14.0</v>
      </c>
      <c r="F282" s="7">
        <v>2009.0</v>
      </c>
      <c r="G282" s="7">
        <v>1.0</v>
      </c>
      <c r="H282" s="7">
        <v>0.0</v>
      </c>
      <c r="I282" s="7">
        <v>8.0</v>
      </c>
      <c r="J282" s="7">
        <v>0.1</v>
      </c>
      <c r="K282" s="7">
        <v>0.0</v>
      </c>
      <c r="L282" s="7">
        <v>0.0</v>
      </c>
      <c r="M282" s="7">
        <v>0.0</v>
      </c>
      <c r="N282" s="7">
        <v>0.0</v>
      </c>
      <c r="O282" s="7">
        <v>0.0</v>
      </c>
      <c r="P282" s="7">
        <v>0.0</v>
      </c>
      <c r="Q282" s="7">
        <v>0.0</v>
      </c>
      <c r="R282" s="7">
        <v>0.0</v>
      </c>
      <c r="S282" s="7">
        <v>0.0</v>
      </c>
      <c r="T282" s="7">
        <v>0.0</v>
      </c>
      <c r="U282" s="7">
        <v>0.0</v>
      </c>
      <c r="V282" s="7">
        <v>0.0</v>
      </c>
      <c r="W282" s="7">
        <v>0.0</v>
      </c>
      <c r="X282" s="7" t="s">
        <v>709</v>
      </c>
      <c r="Y282" s="7" t="s">
        <v>665</v>
      </c>
      <c r="Z282" s="7">
        <v>1.3888888888888888</v>
      </c>
      <c r="AA282" s="7" t="str">
        <f t="shared" si="2"/>
        <v>A</v>
      </c>
      <c r="AB282" s="7">
        <f t="shared" si="3"/>
        <v>5.555555556</v>
      </c>
      <c r="AC282" s="7">
        <f t="shared" si="4"/>
        <v>0.18</v>
      </c>
      <c r="AD282" s="7"/>
      <c r="AE282" s="7"/>
      <c r="AF282" s="24">
        <f t="shared" si="1"/>
        <v>91000</v>
      </c>
    </row>
    <row r="283">
      <c r="A283" s="7" t="s">
        <v>620</v>
      </c>
      <c r="B283" s="7" t="s">
        <v>34</v>
      </c>
      <c r="C283" s="7" t="s">
        <v>55</v>
      </c>
      <c r="D283" s="7" t="s">
        <v>62</v>
      </c>
      <c r="E283" s="7">
        <v>20.0</v>
      </c>
      <c r="F283" s="7">
        <v>2003.0</v>
      </c>
      <c r="G283" s="7">
        <v>3.0</v>
      </c>
      <c r="H283" s="7">
        <v>0.0</v>
      </c>
      <c r="I283" s="7">
        <v>29.0</v>
      </c>
      <c r="J283" s="7">
        <v>0.3</v>
      </c>
      <c r="K283" s="7">
        <v>0.0</v>
      </c>
      <c r="L283" s="7">
        <v>0.0</v>
      </c>
      <c r="M283" s="7">
        <v>0.0</v>
      </c>
      <c r="N283" s="7">
        <v>0.0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  <c r="V283" s="7">
        <v>0.0</v>
      </c>
      <c r="W283" s="7">
        <v>0.0</v>
      </c>
      <c r="X283" s="1" t="s">
        <v>692</v>
      </c>
      <c r="Y283" s="7" t="s">
        <v>665</v>
      </c>
      <c r="Z283" s="7">
        <v>0.8055555555555556</v>
      </c>
      <c r="AA283" s="7" t="str">
        <f t="shared" si="2"/>
        <v>A</v>
      </c>
      <c r="AB283" s="7">
        <f t="shared" si="3"/>
        <v>3.222222222</v>
      </c>
      <c r="AC283" s="7">
        <f t="shared" si="4"/>
        <v>0.3103448276</v>
      </c>
      <c r="AD283" s="7"/>
      <c r="AE283" s="7"/>
      <c r="AF283" s="24">
        <f t="shared" si="1"/>
        <v>91000</v>
      </c>
    </row>
    <row r="284">
      <c r="A284" s="7" t="s">
        <v>622</v>
      </c>
      <c r="B284" s="7" t="s">
        <v>34</v>
      </c>
      <c r="C284" s="7" t="s">
        <v>35</v>
      </c>
      <c r="D284" s="7" t="s">
        <v>27</v>
      </c>
      <c r="E284" s="7">
        <v>24.0</v>
      </c>
      <c r="F284" s="7">
        <v>1999.0</v>
      </c>
      <c r="G284" s="7">
        <v>14.0</v>
      </c>
      <c r="H284" s="7">
        <v>12.0</v>
      </c>
      <c r="I284" s="25">
        <v>1145.0</v>
      </c>
      <c r="J284" s="7">
        <v>12.7</v>
      </c>
      <c r="K284" s="7">
        <v>1.0</v>
      </c>
      <c r="L284" s="7">
        <v>1.0</v>
      </c>
      <c r="M284" s="7">
        <v>2.0</v>
      </c>
      <c r="N284" s="7">
        <v>1.0</v>
      </c>
      <c r="O284" s="7">
        <v>0.0</v>
      </c>
      <c r="P284" s="7">
        <v>0.0</v>
      </c>
      <c r="Q284" s="7">
        <v>5.0</v>
      </c>
      <c r="R284" s="7">
        <v>0.0</v>
      </c>
      <c r="S284" s="7">
        <v>0.08</v>
      </c>
      <c r="T284" s="7">
        <v>0.08</v>
      </c>
      <c r="U284" s="7">
        <v>0.16</v>
      </c>
      <c r="V284" s="7">
        <v>0.08</v>
      </c>
      <c r="W284" s="7">
        <v>0.16</v>
      </c>
      <c r="X284" s="7" t="s">
        <v>698</v>
      </c>
      <c r="Y284" s="7" t="s">
        <v>665</v>
      </c>
      <c r="Z284" s="7">
        <v>1.0277777777777777</v>
      </c>
      <c r="AA284" s="7" t="str">
        <f t="shared" si="2"/>
        <v>D</v>
      </c>
      <c r="AB284" s="7">
        <f t="shared" si="3"/>
        <v>1.027777778</v>
      </c>
      <c r="AC284" s="7">
        <f t="shared" si="4"/>
        <v>0.972972973</v>
      </c>
      <c r="AD284" s="7"/>
      <c r="AE284" s="7"/>
      <c r="AF284" s="24">
        <f t="shared" si="1"/>
        <v>91000</v>
      </c>
    </row>
    <row r="285">
      <c r="A285" s="7" t="s">
        <v>624</v>
      </c>
      <c r="B285" s="7" t="s">
        <v>25</v>
      </c>
      <c r="C285" s="7" t="s">
        <v>26</v>
      </c>
      <c r="D285" s="7" t="s">
        <v>31</v>
      </c>
      <c r="E285" s="7">
        <v>25.0</v>
      </c>
      <c r="F285" s="7">
        <v>1998.0</v>
      </c>
      <c r="G285" s="7">
        <v>21.0</v>
      </c>
      <c r="H285" s="7">
        <v>11.0</v>
      </c>
      <c r="I285" s="7">
        <v>917.0</v>
      </c>
      <c r="J285" s="7">
        <v>10.2</v>
      </c>
      <c r="K285" s="7">
        <v>0.0</v>
      </c>
      <c r="L285" s="7">
        <v>1.0</v>
      </c>
      <c r="M285" s="7">
        <v>1.0</v>
      </c>
      <c r="N285" s="7">
        <v>0.0</v>
      </c>
      <c r="O285" s="7">
        <v>0.0</v>
      </c>
      <c r="P285" s="7">
        <v>0.0</v>
      </c>
      <c r="Q285" s="7">
        <v>5.0</v>
      </c>
      <c r="R285" s="7">
        <v>0.0</v>
      </c>
      <c r="S285" s="7">
        <v>0.0</v>
      </c>
      <c r="T285" s="7">
        <v>0.1</v>
      </c>
      <c r="U285" s="7">
        <v>0.1</v>
      </c>
      <c r="V285" s="7">
        <v>0.0</v>
      </c>
      <c r="W285" s="7">
        <v>0.1</v>
      </c>
      <c r="X285" s="7" t="s">
        <v>719</v>
      </c>
      <c r="Y285" s="7" t="s">
        <v>665</v>
      </c>
      <c r="Z285" s="7">
        <v>0.9722222222222222</v>
      </c>
      <c r="AA285" s="7" t="str">
        <f t="shared" si="2"/>
        <v>M</v>
      </c>
      <c r="AB285" s="7">
        <f t="shared" si="3"/>
        <v>1.944444444</v>
      </c>
      <c r="AC285" s="7">
        <f t="shared" si="4"/>
        <v>0.5142857143</v>
      </c>
      <c r="AD285" s="7"/>
      <c r="AE285" s="7"/>
      <c r="AF285" s="24">
        <f t="shared" si="1"/>
        <v>91000</v>
      </c>
    </row>
    <row r="286">
      <c r="A286" s="7" t="s">
        <v>626</v>
      </c>
      <c r="B286" s="7" t="s">
        <v>25</v>
      </c>
      <c r="C286" s="7" t="s">
        <v>83</v>
      </c>
      <c r="D286" s="7" t="s">
        <v>58</v>
      </c>
      <c r="E286" s="7">
        <v>24.0</v>
      </c>
      <c r="F286" s="7">
        <v>1999.0</v>
      </c>
      <c r="G286" s="7">
        <v>34.0</v>
      </c>
      <c r="H286" s="7">
        <v>27.0</v>
      </c>
      <c r="I286" s="25">
        <v>2443.0</v>
      </c>
      <c r="J286" s="7">
        <v>27.1</v>
      </c>
      <c r="K286" s="7">
        <v>1.0</v>
      </c>
      <c r="L286" s="7">
        <v>3.0</v>
      </c>
      <c r="M286" s="7">
        <v>4.0</v>
      </c>
      <c r="N286" s="7">
        <v>1.0</v>
      </c>
      <c r="O286" s="7">
        <v>0.0</v>
      </c>
      <c r="P286" s="7">
        <v>1.0</v>
      </c>
      <c r="Q286" s="7">
        <v>6.0</v>
      </c>
      <c r="R286" s="7">
        <v>1.0</v>
      </c>
      <c r="S286" s="7">
        <v>0.04</v>
      </c>
      <c r="T286" s="7">
        <v>0.11</v>
      </c>
      <c r="U286" s="7">
        <v>0.15</v>
      </c>
      <c r="V286" s="7">
        <v>0.04</v>
      </c>
      <c r="W286" s="7">
        <v>0.15</v>
      </c>
      <c r="X286" s="7" t="s">
        <v>688</v>
      </c>
      <c r="Y286" s="7" t="s">
        <v>665</v>
      </c>
      <c r="Z286" s="7">
        <v>0.75</v>
      </c>
      <c r="AA286" s="7" t="str">
        <f t="shared" si="2"/>
        <v>D</v>
      </c>
      <c r="AB286" s="7">
        <f t="shared" si="3"/>
        <v>0.75</v>
      </c>
      <c r="AC286" s="7">
        <f t="shared" si="4"/>
        <v>1.333333333</v>
      </c>
      <c r="AD286" s="7"/>
      <c r="AE286" s="7"/>
      <c r="AF286" s="24">
        <f t="shared" si="1"/>
        <v>91000</v>
      </c>
    </row>
    <row r="287">
      <c r="A287" s="7" t="s">
        <v>628</v>
      </c>
      <c r="B287" s="7" t="s">
        <v>43</v>
      </c>
      <c r="C287" s="7" t="s">
        <v>26</v>
      </c>
      <c r="D287" s="7" t="s">
        <v>62</v>
      </c>
      <c r="E287" s="7">
        <v>24.0</v>
      </c>
      <c r="F287" s="7">
        <v>1999.0</v>
      </c>
      <c r="G287" s="7">
        <v>27.0</v>
      </c>
      <c r="H287" s="7">
        <v>23.0</v>
      </c>
      <c r="I287" s="25">
        <v>1862.0</v>
      </c>
      <c r="J287" s="7">
        <v>20.7</v>
      </c>
      <c r="K287" s="7">
        <v>1.0</v>
      </c>
      <c r="L287" s="7">
        <v>0.0</v>
      </c>
      <c r="M287" s="7">
        <v>1.0</v>
      </c>
      <c r="N287" s="7">
        <v>1.0</v>
      </c>
      <c r="O287" s="7">
        <v>0.0</v>
      </c>
      <c r="P287" s="7">
        <v>0.0</v>
      </c>
      <c r="Q287" s="7">
        <v>1.0</v>
      </c>
      <c r="R287" s="7">
        <v>0.0</v>
      </c>
      <c r="S287" s="7">
        <v>0.05</v>
      </c>
      <c r="T287" s="7">
        <v>0.0</v>
      </c>
      <c r="U287" s="7">
        <v>0.05</v>
      </c>
      <c r="V287" s="7">
        <v>0.05</v>
      </c>
      <c r="W287" s="7">
        <v>0.05</v>
      </c>
      <c r="X287" s="7" t="s">
        <v>685</v>
      </c>
      <c r="Y287" s="7" t="s">
        <v>665</v>
      </c>
      <c r="Z287" s="7">
        <v>0.8055555555555556</v>
      </c>
      <c r="AA287" s="7" t="str">
        <f t="shared" si="2"/>
        <v>M</v>
      </c>
      <c r="AB287" s="7">
        <f t="shared" si="3"/>
        <v>1.611111111</v>
      </c>
      <c r="AC287" s="7">
        <f t="shared" si="4"/>
        <v>0.6206896552</v>
      </c>
      <c r="AD287" s="7"/>
      <c r="AE287" s="7"/>
      <c r="AF287" s="24">
        <f t="shared" si="1"/>
        <v>91000</v>
      </c>
    </row>
    <row r="288">
      <c r="A288" s="7" t="s">
        <v>630</v>
      </c>
      <c r="B288" s="7" t="s">
        <v>25</v>
      </c>
      <c r="C288" s="7" t="s">
        <v>35</v>
      </c>
      <c r="D288" s="7" t="s">
        <v>80</v>
      </c>
      <c r="E288" s="7">
        <v>15.0</v>
      </c>
      <c r="F288" s="7">
        <v>2008.0</v>
      </c>
      <c r="G288" s="7">
        <v>1.0</v>
      </c>
      <c r="H288" s="7">
        <v>0.0</v>
      </c>
      <c r="I288" s="7">
        <v>8.0</v>
      </c>
      <c r="J288" s="7">
        <v>0.1</v>
      </c>
      <c r="K288" s="7">
        <v>0.0</v>
      </c>
      <c r="L288" s="7">
        <v>0.0</v>
      </c>
      <c r="M288" s="7">
        <v>0.0</v>
      </c>
      <c r="N288" s="7">
        <v>0.0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  <c r="V288" s="7">
        <v>0.0</v>
      </c>
      <c r="W288" s="7">
        <v>0.0</v>
      </c>
      <c r="X288" s="1" t="s">
        <v>692</v>
      </c>
      <c r="Y288" s="7" t="s">
        <v>665</v>
      </c>
      <c r="Z288" s="7">
        <v>1.3888888888888888</v>
      </c>
      <c r="AA288" s="7" t="str">
        <f t="shared" si="2"/>
        <v>D</v>
      </c>
      <c r="AB288" s="7">
        <f t="shared" si="3"/>
        <v>1.388888889</v>
      </c>
      <c r="AC288" s="7">
        <f t="shared" si="4"/>
        <v>0.72</v>
      </c>
      <c r="AD288" s="7"/>
      <c r="AE288" s="7"/>
      <c r="AF288" s="24">
        <f t="shared" si="1"/>
        <v>91000</v>
      </c>
    </row>
    <row r="289">
      <c r="A289" s="7" t="s">
        <v>632</v>
      </c>
      <c r="B289" s="7" t="s">
        <v>25</v>
      </c>
      <c r="C289" s="7" t="s">
        <v>26</v>
      </c>
      <c r="D289" s="7" t="s">
        <v>36</v>
      </c>
      <c r="E289" s="7">
        <v>18.0</v>
      </c>
      <c r="F289" s="7">
        <v>2005.0</v>
      </c>
      <c r="G289" s="7">
        <v>28.0</v>
      </c>
      <c r="H289" s="7">
        <v>15.0</v>
      </c>
      <c r="I289" s="25">
        <v>1431.0</v>
      </c>
      <c r="J289" s="7">
        <v>15.9</v>
      </c>
      <c r="K289" s="7">
        <v>1.0</v>
      </c>
      <c r="L289" s="7">
        <v>0.0</v>
      </c>
      <c r="M289" s="7">
        <v>1.0</v>
      </c>
      <c r="N289" s="7">
        <v>1.0</v>
      </c>
      <c r="O289" s="7">
        <v>0.0</v>
      </c>
      <c r="P289" s="7">
        <v>0.0</v>
      </c>
      <c r="Q289" s="7">
        <v>2.0</v>
      </c>
      <c r="R289" s="7">
        <v>0.0</v>
      </c>
      <c r="S289" s="7">
        <v>0.06</v>
      </c>
      <c r="T289" s="7">
        <v>0.0</v>
      </c>
      <c r="U289" s="7">
        <v>0.06</v>
      </c>
      <c r="V289" s="7">
        <v>0.06</v>
      </c>
      <c r="W289" s="7">
        <v>0.06</v>
      </c>
      <c r="X289" s="1" t="s">
        <v>692</v>
      </c>
      <c r="Y289" s="7" t="s">
        <v>665</v>
      </c>
      <c r="Z289" s="7">
        <v>1.6111111111111112</v>
      </c>
      <c r="AA289" s="7" t="str">
        <f t="shared" si="2"/>
        <v>M</v>
      </c>
      <c r="AB289" s="7">
        <f t="shared" si="3"/>
        <v>3.222222222</v>
      </c>
      <c r="AC289" s="7">
        <f t="shared" si="4"/>
        <v>0.3103448276</v>
      </c>
      <c r="AD289" s="7"/>
      <c r="AE289" s="7"/>
      <c r="AF289" s="24">
        <f t="shared" si="1"/>
        <v>91000</v>
      </c>
    </row>
    <row r="290">
      <c r="A290" s="7" t="s">
        <v>634</v>
      </c>
      <c r="B290" s="7" t="s">
        <v>635</v>
      </c>
      <c r="C290" s="7" t="s">
        <v>55</v>
      </c>
      <c r="D290" s="7" t="s">
        <v>62</v>
      </c>
      <c r="E290" s="7">
        <v>23.0</v>
      </c>
      <c r="F290" s="7">
        <v>2000.0</v>
      </c>
      <c r="G290" s="7">
        <v>9.0</v>
      </c>
      <c r="H290" s="7">
        <v>1.0</v>
      </c>
      <c r="I290" s="7">
        <v>147.0</v>
      </c>
      <c r="J290" s="7">
        <v>1.6</v>
      </c>
      <c r="K290" s="7">
        <v>0.0</v>
      </c>
      <c r="L290" s="7">
        <v>0.0</v>
      </c>
      <c r="M290" s="7">
        <v>0.0</v>
      </c>
      <c r="N290" s="7">
        <v>0.0</v>
      </c>
      <c r="O290" s="7">
        <v>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  <c r="V290" s="7">
        <v>0.0</v>
      </c>
      <c r="W290" s="7">
        <v>0.0</v>
      </c>
      <c r="X290" s="7" t="s">
        <v>698</v>
      </c>
      <c r="Y290" s="7" t="s">
        <v>665</v>
      </c>
      <c r="Z290" s="7">
        <v>0.8055555555555556</v>
      </c>
      <c r="AA290" s="7" t="str">
        <f t="shared" si="2"/>
        <v>A</v>
      </c>
      <c r="AB290" s="7">
        <f t="shared" si="3"/>
        <v>3.222222222</v>
      </c>
      <c r="AC290" s="7">
        <f t="shared" si="4"/>
        <v>0.3103448276</v>
      </c>
      <c r="AD290" s="7"/>
      <c r="AE290" s="7"/>
      <c r="AF290" s="24">
        <f t="shared" si="1"/>
        <v>91000</v>
      </c>
    </row>
    <row r="291">
      <c r="A291" s="7" t="s">
        <v>637</v>
      </c>
      <c r="B291" s="7" t="s">
        <v>34</v>
      </c>
      <c r="C291" s="7" t="s">
        <v>26</v>
      </c>
      <c r="D291" s="7" t="s">
        <v>52</v>
      </c>
      <c r="E291" s="7">
        <v>25.0</v>
      </c>
      <c r="F291" s="7">
        <v>1998.0</v>
      </c>
      <c r="G291" s="7">
        <v>33.0</v>
      </c>
      <c r="H291" s="7">
        <v>30.0</v>
      </c>
      <c r="I291" s="25">
        <v>2585.0</v>
      </c>
      <c r="J291" s="7">
        <v>28.7</v>
      </c>
      <c r="K291" s="7">
        <v>7.0</v>
      </c>
      <c r="L291" s="7">
        <v>4.0</v>
      </c>
      <c r="M291" s="7">
        <v>11.0</v>
      </c>
      <c r="N291" s="7">
        <v>3.0</v>
      </c>
      <c r="O291" s="7">
        <v>4.0</v>
      </c>
      <c r="P291" s="7">
        <v>4.0</v>
      </c>
      <c r="Q291" s="7">
        <v>5.0</v>
      </c>
      <c r="R291" s="7">
        <v>0.0</v>
      </c>
      <c r="S291" s="7">
        <v>0.24</v>
      </c>
      <c r="T291" s="7">
        <v>0.14</v>
      </c>
      <c r="U291" s="7">
        <v>0.38</v>
      </c>
      <c r="V291" s="7">
        <v>0.1</v>
      </c>
      <c r="W291" s="7">
        <v>0.24</v>
      </c>
      <c r="X291" s="7" t="s">
        <v>715</v>
      </c>
      <c r="Y291" s="7" t="s">
        <v>665</v>
      </c>
      <c r="Z291" s="7">
        <v>0.8611111111111112</v>
      </c>
      <c r="AA291" s="7" t="str">
        <f t="shared" si="2"/>
        <v>M</v>
      </c>
      <c r="AB291" s="7">
        <f t="shared" si="3"/>
        <v>1.722222222</v>
      </c>
      <c r="AC291" s="7">
        <f t="shared" si="4"/>
        <v>0.5806451613</v>
      </c>
      <c r="AD291" s="7"/>
      <c r="AE291" s="7"/>
      <c r="AF291" s="24">
        <f t="shared" si="1"/>
        <v>91000</v>
      </c>
    </row>
    <row r="292">
      <c r="A292" s="7" t="s">
        <v>639</v>
      </c>
      <c r="B292" s="7" t="s">
        <v>25</v>
      </c>
      <c r="C292" s="7" t="s">
        <v>26</v>
      </c>
      <c r="D292" s="7" t="s">
        <v>128</v>
      </c>
      <c r="E292" s="7">
        <v>24.0</v>
      </c>
      <c r="F292" s="7">
        <v>1999.0</v>
      </c>
      <c r="G292" s="7">
        <v>30.0</v>
      </c>
      <c r="H292" s="7">
        <v>21.0</v>
      </c>
      <c r="I292" s="25">
        <v>1983.0</v>
      </c>
      <c r="J292" s="7">
        <v>22.0</v>
      </c>
      <c r="K292" s="7">
        <v>2.0</v>
      </c>
      <c r="L292" s="7">
        <v>4.0</v>
      </c>
      <c r="M292" s="7">
        <v>6.0</v>
      </c>
      <c r="N292" s="7">
        <v>2.0</v>
      </c>
      <c r="O292" s="7">
        <v>0.0</v>
      </c>
      <c r="P292" s="7">
        <v>0.0</v>
      </c>
      <c r="Q292" s="7">
        <v>3.0</v>
      </c>
      <c r="R292" s="7">
        <v>0.0</v>
      </c>
      <c r="S292" s="7">
        <v>0.09</v>
      </c>
      <c r="T292" s="7">
        <v>0.18</v>
      </c>
      <c r="U292" s="7">
        <v>0.27</v>
      </c>
      <c r="V292" s="7">
        <v>0.09</v>
      </c>
      <c r="W292" s="7">
        <v>0.27</v>
      </c>
      <c r="X292" s="7" t="s">
        <v>698</v>
      </c>
      <c r="Y292" s="7" t="s">
        <v>665</v>
      </c>
      <c r="Z292" s="7">
        <v>1.4166666666666667</v>
      </c>
      <c r="AA292" s="7" t="str">
        <f t="shared" si="2"/>
        <v>M</v>
      </c>
      <c r="AB292" s="7">
        <f t="shared" si="3"/>
        <v>2.833333333</v>
      </c>
      <c r="AC292" s="7">
        <f t="shared" si="4"/>
        <v>0.3529411765</v>
      </c>
      <c r="AF292" s="24">
        <f t="shared" si="1"/>
        <v>91000</v>
      </c>
    </row>
    <row r="293">
      <c r="A293" s="7" t="s">
        <v>641</v>
      </c>
      <c r="B293" s="7" t="s">
        <v>34</v>
      </c>
      <c r="C293" s="7" t="s">
        <v>47</v>
      </c>
      <c r="D293" s="7" t="s">
        <v>58</v>
      </c>
      <c r="E293" s="7">
        <v>21.0</v>
      </c>
      <c r="F293" s="7">
        <v>2002.0</v>
      </c>
      <c r="G293" s="7">
        <v>25.0</v>
      </c>
      <c r="H293" s="7">
        <v>23.0</v>
      </c>
      <c r="I293" s="25">
        <v>1935.0</v>
      </c>
      <c r="J293" s="7">
        <v>21.5</v>
      </c>
      <c r="K293" s="7">
        <v>8.0</v>
      </c>
      <c r="L293" s="7">
        <v>4.0</v>
      </c>
      <c r="M293" s="7">
        <v>12.0</v>
      </c>
      <c r="N293" s="7">
        <v>4.0</v>
      </c>
      <c r="O293" s="7">
        <v>4.0</v>
      </c>
      <c r="P293" s="7">
        <v>4.0</v>
      </c>
      <c r="Q293" s="7">
        <v>0.0</v>
      </c>
      <c r="R293" s="7">
        <v>0.0</v>
      </c>
      <c r="S293" s="7">
        <v>0.37</v>
      </c>
      <c r="T293" s="7">
        <v>0.19</v>
      </c>
      <c r="U293" s="7">
        <v>0.56</v>
      </c>
      <c r="V293" s="7">
        <v>0.19</v>
      </c>
      <c r="W293" s="7">
        <v>0.37</v>
      </c>
      <c r="X293" s="7" t="s">
        <v>673</v>
      </c>
      <c r="Y293" s="7" t="s">
        <v>665</v>
      </c>
      <c r="Z293" s="7">
        <v>0.75</v>
      </c>
      <c r="AA293" s="7" t="str">
        <f t="shared" si="2"/>
        <v>M</v>
      </c>
      <c r="AB293" s="7">
        <f t="shared" si="3"/>
        <v>1.5</v>
      </c>
      <c r="AC293" s="7">
        <f t="shared" si="4"/>
        <v>0.6666666667</v>
      </c>
      <c r="AF293" s="24">
        <f t="shared" si="1"/>
        <v>91000</v>
      </c>
    </row>
    <row r="294">
      <c r="A294" s="7" t="s">
        <v>643</v>
      </c>
      <c r="B294" s="7" t="s">
        <v>25</v>
      </c>
      <c r="C294" s="7" t="s">
        <v>55</v>
      </c>
      <c r="D294" s="7" t="s">
        <v>128</v>
      </c>
      <c r="E294" s="7">
        <v>23.0</v>
      </c>
      <c r="F294" s="7">
        <v>2000.0</v>
      </c>
      <c r="G294" s="7">
        <v>28.0</v>
      </c>
      <c r="H294" s="7">
        <v>12.0</v>
      </c>
      <c r="I294" s="25">
        <v>1286.0</v>
      </c>
      <c r="J294" s="7">
        <v>14.3</v>
      </c>
      <c r="K294" s="7">
        <v>7.0</v>
      </c>
      <c r="L294" s="7">
        <v>1.0</v>
      </c>
      <c r="M294" s="7">
        <v>8.0</v>
      </c>
      <c r="N294" s="7">
        <v>7.0</v>
      </c>
      <c r="O294" s="7">
        <v>0.0</v>
      </c>
      <c r="P294" s="7">
        <v>0.0</v>
      </c>
      <c r="Q294" s="7">
        <v>1.0</v>
      </c>
      <c r="R294" s="7">
        <v>0.0</v>
      </c>
      <c r="S294" s="7">
        <v>0.49</v>
      </c>
      <c r="T294" s="7">
        <v>0.07</v>
      </c>
      <c r="U294" s="7">
        <v>0.56</v>
      </c>
      <c r="V294" s="7">
        <v>0.49</v>
      </c>
      <c r="W294" s="7">
        <v>0.56</v>
      </c>
      <c r="X294" s="7" t="s">
        <v>688</v>
      </c>
      <c r="Y294" s="7" t="s">
        <v>665</v>
      </c>
      <c r="Z294" s="7">
        <v>1.4166666666666667</v>
      </c>
      <c r="AA294" s="7" t="str">
        <f t="shared" si="2"/>
        <v>A</v>
      </c>
      <c r="AB294" s="7">
        <f t="shared" si="3"/>
        <v>5.666666667</v>
      </c>
      <c r="AC294" s="7">
        <f t="shared" si="4"/>
        <v>0.1764705882</v>
      </c>
      <c r="AF294" s="24">
        <f t="shared" si="1"/>
        <v>91000</v>
      </c>
    </row>
    <row r="295">
      <c r="A295" s="7" t="s">
        <v>645</v>
      </c>
      <c r="B295" s="7" t="s">
        <v>34</v>
      </c>
      <c r="C295" s="7" t="s">
        <v>35</v>
      </c>
      <c r="D295" s="7" t="s">
        <v>80</v>
      </c>
      <c r="E295" s="7">
        <v>19.0</v>
      </c>
      <c r="F295" s="7">
        <v>2004.0</v>
      </c>
      <c r="G295" s="7">
        <v>18.0</v>
      </c>
      <c r="H295" s="7">
        <v>17.0</v>
      </c>
      <c r="I295" s="25">
        <v>1518.0</v>
      </c>
      <c r="J295" s="7">
        <v>16.9</v>
      </c>
      <c r="K295" s="7">
        <v>0.0</v>
      </c>
      <c r="L295" s="7">
        <v>0.0</v>
      </c>
      <c r="M295" s="7">
        <v>0.0</v>
      </c>
      <c r="N295" s="7">
        <v>0.0</v>
      </c>
      <c r="O295" s="7">
        <v>0.0</v>
      </c>
      <c r="P295" s="7">
        <v>0.0</v>
      </c>
      <c r="Q295" s="7">
        <v>3.0</v>
      </c>
      <c r="R295" s="7">
        <v>0.0</v>
      </c>
      <c r="S295" s="7">
        <v>0.0</v>
      </c>
      <c r="T295" s="7">
        <v>0.0</v>
      </c>
      <c r="U295" s="7">
        <v>0.0</v>
      </c>
      <c r="V295" s="7">
        <v>0.0</v>
      </c>
      <c r="W295" s="7">
        <v>0.0</v>
      </c>
      <c r="X295" s="7" t="s">
        <v>688</v>
      </c>
      <c r="Y295" s="7" t="s">
        <v>665</v>
      </c>
      <c r="Z295" s="7">
        <v>1.3888888888888888</v>
      </c>
      <c r="AA295" s="7" t="str">
        <f t="shared" si="2"/>
        <v>D</v>
      </c>
      <c r="AB295" s="7">
        <f t="shared" si="3"/>
        <v>1.388888889</v>
      </c>
      <c r="AC295" s="7">
        <f t="shared" si="4"/>
        <v>0.72</v>
      </c>
      <c r="AF295" s="24">
        <f t="shared" si="1"/>
        <v>91000</v>
      </c>
    </row>
    <row r="296">
      <c r="A296" s="7" t="s">
        <v>647</v>
      </c>
      <c r="B296" s="7" t="s">
        <v>25</v>
      </c>
      <c r="C296" s="7" t="s">
        <v>55</v>
      </c>
      <c r="D296" s="7" t="s">
        <v>27</v>
      </c>
      <c r="E296" s="7">
        <v>25.0</v>
      </c>
      <c r="F296" s="7">
        <v>1998.0</v>
      </c>
      <c r="G296" s="7">
        <v>11.0</v>
      </c>
      <c r="H296" s="7">
        <v>8.0</v>
      </c>
      <c r="I296" s="7">
        <v>659.0</v>
      </c>
      <c r="J296" s="7">
        <v>7.3</v>
      </c>
      <c r="K296" s="7">
        <v>1.0</v>
      </c>
      <c r="L296" s="7">
        <v>5.0</v>
      </c>
      <c r="M296" s="7">
        <v>6.0</v>
      </c>
      <c r="N296" s="7">
        <v>1.0</v>
      </c>
      <c r="O296" s="7">
        <v>0.0</v>
      </c>
      <c r="P296" s="7">
        <v>0.0</v>
      </c>
      <c r="Q296" s="7">
        <v>0.0</v>
      </c>
      <c r="R296" s="7">
        <v>0.0</v>
      </c>
      <c r="S296" s="7">
        <v>0.14</v>
      </c>
      <c r="T296" s="7">
        <v>0.68</v>
      </c>
      <c r="U296" s="7">
        <v>0.82</v>
      </c>
      <c r="V296" s="7">
        <v>0.14</v>
      </c>
      <c r="W296" s="7">
        <v>0.82</v>
      </c>
      <c r="X296" s="7" t="s">
        <v>688</v>
      </c>
      <c r="Y296" s="7" t="s">
        <v>665</v>
      </c>
      <c r="Z296" s="7">
        <v>1.0277777777777777</v>
      </c>
      <c r="AA296" s="7" t="str">
        <f t="shared" si="2"/>
        <v>A</v>
      </c>
      <c r="AB296" s="7">
        <f t="shared" si="3"/>
        <v>4.111111111</v>
      </c>
      <c r="AC296" s="7">
        <f t="shared" si="4"/>
        <v>0.2432432432</v>
      </c>
      <c r="AF296" s="24">
        <f t="shared" si="1"/>
        <v>91000</v>
      </c>
    </row>
    <row r="297">
      <c r="A297" s="7" t="s">
        <v>649</v>
      </c>
      <c r="B297" s="7" t="s">
        <v>34</v>
      </c>
      <c r="C297" s="7" t="s">
        <v>83</v>
      </c>
      <c r="D297" s="7" t="s">
        <v>80</v>
      </c>
      <c r="E297" s="7">
        <v>20.0</v>
      </c>
      <c r="F297" s="7">
        <v>2003.0</v>
      </c>
      <c r="G297" s="7">
        <v>18.0</v>
      </c>
      <c r="H297" s="7">
        <v>17.0</v>
      </c>
      <c r="I297" s="25">
        <v>1388.0</v>
      </c>
      <c r="J297" s="7">
        <v>15.4</v>
      </c>
      <c r="K297" s="7">
        <v>0.0</v>
      </c>
      <c r="L297" s="7">
        <v>0.0</v>
      </c>
      <c r="M297" s="7">
        <v>0.0</v>
      </c>
      <c r="N297" s="7">
        <v>0.0</v>
      </c>
      <c r="O297" s="7">
        <v>0.0</v>
      </c>
      <c r="P297" s="7">
        <v>0.0</v>
      </c>
      <c r="Q297" s="7">
        <v>5.0</v>
      </c>
      <c r="R297" s="7">
        <v>0.0</v>
      </c>
      <c r="S297" s="7">
        <v>0.0</v>
      </c>
      <c r="T297" s="7">
        <v>0.0</v>
      </c>
      <c r="U297" s="7">
        <v>0.0</v>
      </c>
      <c r="V297" s="7">
        <v>0.0</v>
      </c>
      <c r="W297" s="7">
        <v>0.0</v>
      </c>
      <c r="X297" s="7" t="s">
        <v>734</v>
      </c>
      <c r="Y297" s="7" t="s">
        <v>665</v>
      </c>
      <c r="Z297" s="7">
        <v>1.3888888888888888</v>
      </c>
      <c r="AA297" s="7" t="str">
        <f t="shared" si="2"/>
        <v>D</v>
      </c>
      <c r="AB297" s="7">
        <f t="shared" si="3"/>
        <v>1.388888889</v>
      </c>
      <c r="AC297" s="7">
        <f t="shared" si="4"/>
        <v>0.72</v>
      </c>
      <c r="AF297" s="24">
        <f t="shared" si="1"/>
        <v>91000</v>
      </c>
    </row>
    <row r="298">
      <c r="A298" s="7" t="s">
        <v>651</v>
      </c>
      <c r="B298" s="7" t="s">
        <v>43</v>
      </c>
      <c r="C298" s="7" t="s">
        <v>30</v>
      </c>
      <c r="D298" s="7" t="s">
        <v>36</v>
      </c>
      <c r="E298" s="7">
        <v>21.0</v>
      </c>
      <c r="F298" s="7">
        <v>2002.0</v>
      </c>
      <c r="G298" s="7">
        <v>17.0</v>
      </c>
      <c r="H298" s="7">
        <v>13.0</v>
      </c>
      <c r="I298" s="25">
        <v>1137.0</v>
      </c>
      <c r="J298" s="7">
        <v>12.6</v>
      </c>
      <c r="K298" s="7">
        <v>3.0</v>
      </c>
      <c r="L298" s="7">
        <v>0.0</v>
      </c>
      <c r="M298" s="7">
        <v>3.0</v>
      </c>
      <c r="N298" s="7">
        <v>3.0</v>
      </c>
      <c r="O298" s="7">
        <v>0.0</v>
      </c>
      <c r="P298" s="7">
        <v>0.0</v>
      </c>
      <c r="Q298" s="7">
        <v>1.0</v>
      </c>
      <c r="R298" s="7">
        <v>0.0</v>
      </c>
      <c r="S298" s="7">
        <v>0.24</v>
      </c>
      <c r="T298" s="7">
        <v>0.0</v>
      </c>
      <c r="U298" s="7">
        <v>0.24</v>
      </c>
      <c r="V298" s="7">
        <v>0.24</v>
      </c>
      <c r="W298" s="7">
        <v>0.24</v>
      </c>
      <c r="X298" s="7" t="s">
        <v>715</v>
      </c>
      <c r="Y298" s="7" t="s">
        <v>665</v>
      </c>
      <c r="Z298" s="7">
        <v>1.6111111111111112</v>
      </c>
      <c r="AA298" s="7" t="str">
        <f t="shared" si="2"/>
        <v>M</v>
      </c>
      <c r="AB298" s="7">
        <f t="shared" si="3"/>
        <v>3.222222222</v>
      </c>
      <c r="AC298" s="7">
        <f t="shared" si="4"/>
        <v>0.3103448276</v>
      </c>
      <c r="AF298" s="24">
        <f t="shared" si="1"/>
        <v>91000</v>
      </c>
    </row>
    <row r="299">
      <c r="AB299" s="7"/>
      <c r="AC299" s="7"/>
    </row>
    <row r="300">
      <c r="Z300" s="7" t="s">
        <v>736</v>
      </c>
      <c r="AB300" s="7"/>
      <c r="AC300" s="7"/>
      <c r="AF300" s="24">
        <f>AVERAGE(AF3:AF298)</f>
        <v>107077.7027</v>
      </c>
    </row>
    <row r="301">
      <c r="Z301" s="7" t="s">
        <v>736</v>
      </c>
      <c r="AB301" s="7"/>
      <c r="AC301" s="7"/>
    </row>
    <row r="302">
      <c r="AB302" s="7"/>
      <c r="AC302" s="7"/>
    </row>
  </sheetData>
  <autoFilter ref="$AA$1:$AA$98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4.13"/>
  </cols>
  <sheetData>
    <row r="1">
      <c r="A1" s="26" t="s">
        <v>737</v>
      </c>
      <c r="B1" s="26" t="s">
        <v>738</v>
      </c>
    </row>
    <row r="2">
      <c r="A2" s="1" t="s">
        <v>739</v>
      </c>
      <c r="B2" s="1">
        <v>27.0</v>
      </c>
    </row>
    <row r="3">
      <c r="A3" s="1" t="s">
        <v>31</v>
      </c>
      <c r="B3" s="1">
        <v>35.0</v>
      </c>
    </row>
    <row r="4">
      <c r="A4" s="1" t="s">
        <v>27</v>
      </c>
      <c r="B4" s="1">
        <v>37.0</v>
      </c>
    </row>
    <row r="5">
      <c r="A5" s="1" t="s">
        <v>52</v>
      </c>
      <c r="B5" s="1">
        <v>31.0</v>
      </c>
    </row>
    <row r="6">
      <c r="A6" s="1" t="s">
        <v>62</v>
      </c>
      <c r="B6" s="1">
        <v>29.0</v>
      </c>
    </row>
    <row r="7">
      <c r="A7" s="1" t="s">
        <v>128</v>
      </c>
      <c r="B7" s="1">
        <v>51.0</v>
      </c>
    </row>
    <row r="8">
      <c r="A8" s="1" t="s">
        <v>740</v>
      </c>
      <c r="B8" s="1">
        <v>47.0</v>
      </c>
    </row>
    <row r="9">
      <c r="A9" s="1" t="s">
        <v>741</v>
      </c>
      <c r="B9" s="1">
        <v>43.0</v>
      </c>
    </row>
    <row r="10">
      <c r="A10" s="1" t="s">
        <v>36</v>
      </c>
      <c r="B10" s="1">
        <v>58.0</v>
      </c>
    </row>
    <row r="11">
      <c r="A11" s="1" t="s">
        <v>80</v>
      </c>
      <c r="B11" s="1">
        <v>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73.88"/>
    <col customWidth="1" min="11" max="11" width="18.75"/>
    <col customWidth="1" min="15" max="15" width="50.63"/>
    <col customWidth="1" min="19" max="19" width="14.25"/>
    <col customWidth="1" min="26" max="26" width="14.5"/>
  </cols>
  <sheetData>
    <row r="1">
      <c r="A1" s="27"/>
      <c r="B1" s="28"/>
      <c r="C1" s="28"/>
      <c r="D1" s="28"/>
      <c r="E1" s="29" t="s">
        <v>653</v>
      </c>
      <c r="F1" s="28"/>
      <c r="G1" s="28"/>
      <c r="H1" s="28"/>
      <c r="I1" s="29" t="s">
        <v>654</v>
      </c>
      <c r="J1" s="28"/>
      <c r="K1" s="28"/>
      <c r="L1" s="28"/>
      <c r="M1" s="28"/>
      <c r="N1" s="28"/>
      <c r="O1" s="28"/>
      <c r="P1" s="28"/>
      <c r="Q1" s="29" t="s">
        <v>655</v>
      </c>
      <c r="R1" s="28"/>
      <c r="S1" s="28"/>
      <c r="T1" s="28"/>
      <c r="U1" s="28"/>
      <c r="V1" s="29" t="s">
        <v>742</v>
      </c>
      <c r="W1" s="28"/>
      <c r="X1" s="28"/>
      <c r="Y1" s="28"/>
      <c r="Z1" s="7"/>
      <c r="AA1" s="7"/>
      <c r="AB1" s="7"/>
      <c r="AC1" s="7"/>
    </row>
    <row r="2">
      <c r="A2" s="30" t="s">
        <v>3</v>
      </c>
      <c r="B2" s="31" t="s">
        <v>743</v>
      </c>
      <c r="C2" s="31" t="s">
        <v>4</v>
      </c>
      <c r="D2" s="31" t="s">
        <v>744</v>
      </c>
      <c r="E2" s="32" t="s">
        <v>6</v>
      </c>
      <c r="F2" s="31" t="s">
        <v>7</v>
      </c>
      <c r="G2" s="31" t="s">
        <v>8</v>
      </c>
      <c r="H2" s="31" t="s">
        <v>9</v>
      </c>
      <c r="I2" s="32" t="s">
        <v>10</v>
      </c>
      <c r="J2" s="31" t="s">
        <v>11</v>
      </c>
      <c r="K2" s="31" t="s">
        <v>659</v>
      </c>
      <c r="L2" s="31" t="s">
        <v>13</v>
      </c>
      <c r="M2" s="31" t="s">
        <v>14</v>
      </c>
      <c r="N2" s="31" t="s">
        <v>15</v>
      </c>
      <c r="O2" s="31" t="s">
        <v>16</v>
      </c>
      <c r="P2" s="31" t="s">
        <v>17</v>
      </c>
      <c r="Q2" s="32" t="s">
        <v>10</v>
      </c>
      <c r="R2" s="31" t="s">
        <v>11</v>
      </c>
      <c r="S2" s="31" t="s">
        <v>659</v>
      </c>
      <c r="T2" s="31" t="s">
        <v>13</v>
      </c>
      <c r="U2" s="31" t="s">
        <v>661</v>
      </c>
      <c r="V2" s="33" t="s">
        <v>745</v>
      </c>
      <c r="W2" s="34" t="s">
        <v>746</v>
      </c>
      <c r="X2" s="34" t="s">
        <v>747</v>
      </c>
      <c r="Y2" s="34" t="s">
        <v>748</v>
      </c>
      <c r="Z2" s="35" t="s">
        <v>749</v>
      </c>
      <c r="AA2" s="36"/>
      <c r="AB2" s="37"/>
      <c r="AC2" s="37"/>
    </row>
    <row r="3">
      <c r="A3" s="38" t="s">
        <v>750</v>
      </c>
      <c r="B3" s="11">
        <v>33.0</v>
      </c>
      <c r="C3" s="9">
        <v>24.9</v>
      </c>
      <c r="D3" s="9">
        <v>52.2</v>
      </c>
      <c r="E3" s="10">
        <v>36.0</v>
      </c>
      <c r="F3" s="11">
        <v>396.0</v>
      </c>
      <c r="G3" s="15">
        <v>3240.0</v>
      </c>
      <c r="H3" s="11">
        <v>36.0</v>
      </c>
      <c r="I3" s="10">
        <v>37.0</v>
      </c>
      <c r="J3" s="11">
        <v>26.0</v>
      </c>
      <c r="K3" s="11">
        <v>63.0</v>
      </c>
      <c r="L3" s="11">
        <v>33.0</v>
      </c>
      <c r="M3" s="11">
        <v>4.0</v>
      </c>
      <c r="N3" s="11">
        <v>8.0</v>
      </c>
      <c r="O3" s="11">
        <v>106.0</v>
      </c>
      <c r="P3" s="11">
        <v>2.0</v>
      </c>
      <c r="Q3" s="10">
        <v>1.03</v>
      </c>
      <c r="R3" s="11">
        <v>0.72</v>
      </c>
      <c r="S3" s="39">
        <v>1.75</v>
      </c>
      <c r="T3" s="11">
        <v>0.92</v>
      </c>
      <c r="U3" s="11">
        <v>1.64</v>
      </c>
      <c r="V3" s="40">
        <v>55.0</v>
      </c>
      <c r="W3" s="4">
        <v>21.5</v>
      </c>
      <c r="X3" s="4">
        <v>18.0</v>
      </c>
      <c r="Y3" s="4" t="s">
        <v>702</v>
      </c>
      <c r="Z3" s="41" t="s">
        <v>751</v>
      </c>
      <c r="AA3" s="42"/>
      <c r="AB3" s="43"/>
      <c r="AC3" s="43"/>
    </row>
    <row r="4">
      <c r="A4" s="38" t="s">
        <v>752</v>
      </c>
      <c r="B4" s="11">
        <v>27.0</v>
      </c>
      <c r="C4" s="9">
        <v>27.3</v>
      </c>
      <c r="D4" s="9">
        <v>56.0</v>
      </c>
      <c r="E4" s="10">
        <v>36.0</v>
      </c>
      <c r="F4" s="11">
        <v>396.0</v>
      </c>
      <c r="G4" s="15">
        <v>3240.0</v>
      </c>
      <c r="H4" s="11">
        <v>36.0</v>
      </c>
      <c r="I4" s="10">
        <v>46.0</v>
      </c>
      <c r="J4" s="11">
        <v>31.0</v>
      </c>
      <c r="K4" s="11">
        <v>77.0</v>
      </c>
      <c r="L4" s="11">
        <v>39.0</v>
      </c>
      <c r="M4" s="11">
        <v>7.0</v>
      </c>
      <c r="N4" s="11">
        <v>7.0</v>
      </c>
      <c r="O4" s="11">
        <v>74.0</v>
      </c>
      <c r="P4" s="11">
        <v>1.0</v>
      </c>
      <c r="Q4" s="10">
        <v>1.28</v>
      </c>
      <c r="R4" s="11">
        <v>0.86</v>
      </c>
      <c r="S4" s="39">
        <v>2.14</v>
      </c>
      <c r="T4" s="11">
        <v>1.08</v>
      </c>
      <c r="U4" s="11">
        <v>1.94</v>
      </c>
      <c r="V4" s="40">
        <v>39.0</v>
      </c>
      <c r="W4" s="4">
        <v>23.4</v>
      </c>
      <c r="X4" s="4">
        <v>19.0</v>
      </c>
      <c r="Y4" s="4" t="s">
        <v>702</v>
      </c>
      <c r="Z4" s="41" t="s">
        <v>753</v>
      </c>
      <c r="AA4" s="42"/>
      <c r="AB4" s="43"/>
      <c r="AC4" s="43"/>
    </row>
    <row r="5">
      <c r="A5" s="38" t="s">
        <v>754</v>
      </c>
      <c r="B5" s="11">
        <v>30.0</v>
      </c>
      <c r="C5" s="9">
        <v>25.1</v>
      </c>
      <c r="D5" s="9">
        <v>38.9</v>
      </c>
      <c r="E5" s="10">
        <v>36.0</v>
      </c>
      <c r="F5" s="11">
        <v>396.0</v>
      </c>
      <c r="G5" s="15">
        <v>3240.0</v>
      </c>
      <c r="H5" s="11">
        <v>36.0</v>
      </c>
      <c r="I5" s="10">
        <v>39.0</v>
      </c>
      <c r="J5" s="11">
        <v>21.0</v>
      </c>
      <c r="K5" s="11">
        <v>60.0</v>
      </c>
      <c r="L5" s="11">
        <v>35.0</v>
      </c>
      <c r="M5" s="11">
        <v>4.0</v>
      </c>
      <c r="N5" s="11">
        <v>5.0</v>
      </c>
      <c r="O5" s="11">
        <v>92.0</v>
      </c>
      <c r="P5" s="11">
        <v>5.0</v>
      </c>
      <c r="Q5" s="10">
        <v>1.08</v>
      </c>
      <c r="R5" s="11">
        <v>0.58</v>
      </c>
      <c r="S5" s="39">
        <v>1.67</v>
      </c>
      <c r="T5" s="11">
        <v>0.97</v>
      </c>
      <c r="U5" s="11">
        <v>1.56</v>
      </c>
      <c r="V5" s="40">
        <v>43.0</v>
      </c>
      <c r="W5" s="4">
        <v>21.3</v>
      </c>
      <c r="X5" s="4">
        <v>10.0</v>
      </c>
      <c r="Y5" s="4" t="s">
        <v>677</v>
      </c>
      <c r="Z5" s="41" t="s">
        <v>755</v>
      </c>
      <c r="AA5" s="42"/>
      <c r="AB5" s="43"/>
      <c r="AC5" s="43"/>
    </row>
    <row r="6">
      <c r="A6" s="38" t="s">
        <v>756</v>
      </c>
      <c r="B6" s="11">
        <v>38.0</v>
      </c>
      <c r="C6" s="9">
        <v>24.8</v>
      </c>
      <c r="D6" s="9">
        <v>48.0</v>
      </c>
      <c r="E6" s="10">
        <v>36.0</v>
      </c>
      <c r="F6" s="11">
        <v>396.0</v>
      </c>
      <c r="G6" s="15">
        <v>3240.0</v>
      </c>
      <c r="H6" s="11">
        <v>36.0</v>
      </c>
      <c r="I6" s="10">
        <v>23.0</v>
      </c>
      <c r="J6" s="11">
        <v>16.0</v>
      </c>
      <c r="K6" s="11">
        <v>39.0</v>
      </c>
      <c r="L6" s="11">
        <v>21.0</v>
      </c>
      <c r="M6" s="11">
        <v>2.0</v>
      </c>
      <c r="N6" s="11">
        <v>2.0</v>
      </c>
      <c r="O6" s="11">
        <v>91.0</v>
      </c>
      <c r="P6" s="11">
        <v>3.0</v>
      </c>
      <c r="Q6" s="10">
        <v>0.64</v>
      </c>
      <c r="R6" s="11">
        <v>0.44</v>
      </c>
      <c r="S6" s="39">
        <v>1.08</v>
      </c>
      <c r="T6" s="11">
        <v>0.58</v>
      </c>
      <c r="U6" s="11">
        <v>1.03</v>
      </c>
      <c r="V6" s="40">
        <v>70.0</v>
      </c>
      <c r="W6" s="4">
        <v>21.5</v>
      </c>
      <c r="X6" s="4">
        <v>29.0</v>
      </c>
      <c r="Y6" s="4" t="s">
        <v>697</v>
      </c>
      <c r="Z6" s="41" t="s">
        <v>757</v>
      </c>
      <c r="AA6" s="42"/>
      <c r="AB6" s="43"/>
      <c r="AC6" s="43"/>
    </row>
    <row r="7">
      <c r="A7" s="38" t="s">
        <v>758</v>
      </c>
      <c r="B7" s="11">
        <v>28.0</v>
      </c>
      <c r="C7" s="9">
        <v>28.3</v>
      </c>
      <c r="D7" s="9">
        <v>39.3</v>
      </c>
      <c r="E7" s="10">
        <v>36.0</v>
      </c>
      <c r="F7" s="11">
        <v>396.0</v>
      </c>
      <c r="G7" s="15">
        <v>3240.0</v>
      </c>
      <c r="H7" s="11">
        <v>36.0</v>
      </c>
      <c r="I7" s="10">
        <v>32.0</v>
      </c>
      <c r="J7" s="11">
        <v>21.0</v>
      </c>
      <c r="K7" s="11">
        <v>53.0</v>
      </c>
      <c r="L7" s="11">
        <v>31.0</v>
      </c>
      <c r="M7" s="11">
        <v>1.0</v>
      </c>
      <c r="N7" s="11">
        <v>2.0</v>
      </c>
      <c r="O7" s="11">
        <v>76.0</v>
      </c>
      <c r="P7" s="11">
        <v>3.0</v>
      </c>
      <c r="Q7" s="10">
        <v>0.89</v>
      </c>
      <c r="R7" s="11">
        <v>0.58</v>
      </c>
      <c r="S7" s="39">
        <v>1.47</v>
      </c>
      <c r="T7" s="11">
        <v>0.86</v>
      </c>
      <c r="U7" s="11">
        <v>1.44</v>
      </c>
      <c r="V7" s="40">
        <v>35.0</v>
      </c>
      <c r="W7" s="4">
        <v>24.4</v>
      </c>
      <c r="X7" s="4">
        <v>10.0</v>
      </c>
      <c r="Y7" s="4" t="s">
        <v>703</v>
      </c>
      <c r="Z7" s="41" t="s">
        <v>759</v>
      </c>
      <c r="AA7" s="42"/>
      <c r="AB7" s="43"/>
      <c r="AC7" s="43"/>
    </row>
    <row r="8">
      <c r="A8" s="38" t="s">
        <v>760</v>
      </c>
      <c r="B8" s="11">
        <v>31.0</v>
      </c>
      <c r="C8" s="9">
        <v>27.0</v>
      </c>
      <c r="D8" s="9">
        <v>62.4</v>
      </c>
      <c r="E8" s="10">
        <v>36.0</v>
      </c>
      <c r="F8" s="11">
        <v>396.0</v>
      </c>
      <c r="G8" s="15">
        <v>3240.0</v>
      </c>
      <c r="H8" s="11">
        <v>36.0</v>
      </c>
      <c r="I8" s="10">
        <v>49.0</v>
      </c>
      <c r="J8" s="11">
        <v>39.0</v>
      </c>
      <c r="K8" s="11">
        <v>88.0</v>
      </c>
      <c r="L8" s="11">
        <v>49.0</v>
      </c>
      <c r="M8" s="11">
        <v>0.0</v>
      </c>
      <c r="N8" s="11">
        <v>2.0</v>
      </c>
      <c r="O8" s="11">
        <v>99.0</v>
      </c>
      <c r="P8" s="11">
        <v>2.0</v>
      </c>
      <c r="Q8" s="10">
        <v>1.36</v>
      </c>
      <c r="R8" s="11">
        <v>1.08</v>
      </c>
      <c r="S8" s="39">
        <v>2.44</v>
      </c>
      <c r="T8" s="11">
        <v>1.36</v>
      </c>
      <c r="U8" s="11">
        <v>2.44</v>
      </c>
      <c r="V8" s="40">
        <v>61.0</v>
      </c>
      <c r="W8" s="4">
        <v>22.3</v>
      </c>
      <c r="X8" s="4">
        <v>8.0</v>
      </c>
      <c r="Y8" s="4" t="s">
        <v>701</v>
      </c>
      <c r="Z8" s="41" t="s">
        <v>761</v>
      </c>
      <c r="AA8" s="42"/>
      <c r="AB8" s="43"/>
      <c r="AC8" s="43"/>
    </row>
    <row r="9">
      <c r="A9" s="38" t="s">
        <v>762</v>
      </c>
      <c r="B9" s="11">
        <v>28.0</v>
      </c>
      <c r="C9" s="9">
        <v>25.9</v>
      </c>
      <c r="D9" s="9">
        <v>53.9</v>
      </c>
      <c r="E9" s="10">
        <v>36.0</v>
      </c>
      <c r="F9" s="11">
        <v>396.0</v>
      </c>
      <c r="G9" s="15">
        <v>3240.0</v>
      </c>
      <c r="H9" s="11">
        <v>36.0</v>
      </c>
      <c r="I9" s="10">
        <v>39.0</v>
      </c>
      <c r="J9" s="11">
        <v>26.0</v>
      </c>
      <c r="K9" s="11">
        <v>65.0</v>
      </c>
      <c r="L9" s="11">
        <v>34.0</v>
      </c>
      <c r="M9" s="11">
        <v>5.0</v>
      </c>
      <c r="N9" s="11">
        <v>6.0</v>
      </c>
      <c r="O9" s="11">
        <v>112.0</v>
      </c>
      <c r="P9" s="11">
        <v>5.0</v>
      </c>
      <c r="Q9" s="10">
        <v>1.08</v>
      </c>
      <c r="R9" s="11">
        <v>0.72</v>
      </c>
      <c r="S9" s="39">
        <v>1.81</v>
      </c>
      <c r="T9" s="11">
        <v>0.94</v>
      </c>
      <c r="U9" s="11">
        <v>1.67</v>
      </c>
      <c r="V9" s="40">
        <v>52.0</v>
      </c>
      <c r="W9" s="4">
        <v>21.2</v>
      </c>
      <c r="X9" s="4">
        <v>7.0</v>
      </c>
      <c r="Y9" s="4" t="s">
        <v>708</v>
      </c>
      <c r="Z9" s="41" t="s">
        <v>763</v>
      </c>
      <c r="AA9" s="42"/>
      <c r="AB9" s="43"/>
      <c r="AC9" s="43"/>
    </row>
    <row r="10">
      <c r="A10" s="38" t="s">
        <v>764</v>
      </c>
      <c r="B10" s="11">
        <v>28.0</v>
      </c>
      <c r="C10" s="9">
        <v>23.3</v>
      </c>
      <c r="D10" s="9">
        <v>47.7</v>
      </c>
      <c r="E10" s="10">
        <v>36.0</v>
      </c>
      <c r="F10" s="11">
        <v>396.0</v>
      </c>
      <c r="G10" s="15">
        <v>3240.0</v>
      </c>
      <c r="H10" s="11">
        <v>36.0</v>
      </c>
      <c r="I10" s="10">
        <v>40.0</v>
      </c>
      <c r="J10" s="11">
        <v>28.0</v>
      </c>
      <c r="K10" s="11">
        <v>68.0</v>
      </c>
      <c r="L10" s="11">
        <v>38.0</v>
      </c>
      <c r="M10" s="11">
        <v>2.0</v>
      </c>
      <c r="N10" s="11">
        <v>2.0</v>
      </c>
      <c r="O10" s="11">
        <v>97.0</v>
      </c>
      <c r="P10" s="11">
        <v>5.0</v>
      </c>
      <c r="Q10" s="10">
        <v>1.11</v>
      </c>
      <c r="R10" s="11">
        <v>0.78</v>
      </c>
      <c r="S10" s="39">
        <v>1.89</v>
      </c>
      <c r="T10" s="11">
        <v>1.06</v>
      </c>
      <c r="U10" s="11">
        <v>1.83</v>
      </c>
      <c r="V10" s="40">
        <v>36.0</v>
      </c>
      <c r="W10" s="4">
        <v>20.7</v>
      </c>
      <c r="X10" s="4">
        <v>12.0</v>
      </c>
      <c r="Y10" s="4" t="s">
        <v>706</v>
      </c>
      <c r="Z10" s="41" t="s">
        <v>765</v>
      </c>
      <c r="AA10" s="42"/>
      <c r="AB10" s="43"/>
      <c r="AC10" s="43"/>
    </row>
    <row r="11">
      <c r="A11" s="38" t="s">
        <v>766</v>
      </c>
      <c r="B11" s="11">
        <v>27.0</v>
      </c>
      <c r="C11" s="9">
        <v>25.2</v>
      </c>
      <c r="D11" s="9">
        <v>52.8</v>
      </c>
      <c r="E11" s="10">
        <v>36.0</v>
      </c>
      <c r="F11" s="11">
        <v>396.0</v>
      </c>
      <c r="G11" s="15">
        <v>3240.0</v>
      </c>
      <c r="H11" s="11">
        <v>36.0</v>
      </c>
      <c r="I11" s="10">
        <v>51.0</v>
      </c>
      <c r="J11" s="11">
        <v>35.0</v>
      </c>
      <c r="K11" s="11">
        <v>86.0</v>
      </c>
      <c r="L11" s="11">
        <v>46.0</v>
      </c>
      <c r="M11" s="11">
        <v>5.0</v>
      </c>
      <c r="N11" s="11">
        <v>5.0</v>
      </c>
      <c r="O11" s="11">
        <v>79.0</v>
      </c>
      <c r="P11" s="11">
        <v>0.0</v>
      </c>
      <c r="Q11" s="10">
        <v>1.42</v>
      </c>
      <c r="R11" s="11">
        <v>0.97</v>
      </c>
      <c r="S11" s="39">
        <v>2.39</v>
      </c>
      <c r="T11" s="11">
        <v>1.28</v>
      </c>
      <c r="U11" s="11">
        <v>2.25</v>
      </c>
      <c r="V11" s="40">
        <v>64.0</v>
      </c>
      <c r="W11" s="4">
        <v>21.2</v>
      </c>
      <c r="X11" s="4">
        <v>17.0</v>
      </c>
      <c r="Y11" s="4" t="s">
        <v>691</v>
      </c>
      <c r="Z11" s="41" t="s">
        <v>767</v>
      </c>
      <c r="AA11" s="42"/>
      <c r="AB11" s="43"/>
      <c r="AC11" s="43"/>
    </row>
    <row r="12">
      <c r="A12" s="44" t="s">
        <v>768</v>
      </c>
      <c r="B12" s="19">
        <v>26.0</v>
      </c>
      <c r="C12" s="17">
        <v>24.5</v>
      </c>
      <c r="D12" s="17">
        <v>49.5</v>
      </c>
      <c r="E12" s="18">
        <v>36.0</v>
      </c>
      <c r="F12" s="19">
        <v>396.0</v>
      </c>
      <c r="G12" s="20">
        <v>3240.0</v>
      </c>
      <c r="H12" s="19">
        <v>36.0</v>
      </c>
      <c r="I12" s="18">
        <v>42.0</v>
      </c>
      <c r="J12" s="19">
        <v>25.0</v>
      </c>
      <c r="K12" s="19">
        <v>67.0</v>
      </c>
      <c r="L12" s="19">
        <v>40.0</v>
      </c>
      <c r="M12" s="19">
        <v>2.0</v>
      </c>
      <c r="N12" s="19">
        <v>3.0</v>
      </c>
      <c r="O12" s="19">
        <v>87.0</v>
      </c>
      <c r="P12" s="19">
        <v>2.0</v>
      </c>
      <c r="Q12" s="18">
        <v>1.17</v>
      </c>
      <c r="R12" s="19">
        <v>0.69</v>
      </c>
      <c r="S12" s="45">
        <v>1.86</v>
      </c>
      <c r="T12" s="19">
        <v>1.11</v>
      </c>
      <c r="U12" s="19">
        <v>1.81</v>
      </c>
      <c r="V12" s="46">
        <v>47.0</v>
      </c>
      <c r="W12" s="47">
        <v>20.6</v>
      </c>
      <c r="X12" s="47">
        <v>17.0</v>
      </c>
      <c r="Y12" s="47" t="s">
        <v>700</v>
      </c>
      <c r="Z12" s="48" t="s">
        <v>769</v>
      </c>
      <c r="AA12" s="42"/>
      <c r="AB12" s="43"/>
      <c r="AC12" s="43"/>
    </row>
    <row r="13">
      <c r="A13" s="49"/>
      <c r="S13" s="50"/>
      <c r="V13" s="50"/>
      <c r="W13" s="50"/>
      <c r="AA13" s="50"/>
      <c r="AB13" s="50"/>
      <c r="AC13" s="50"/>
    </row>
    <row r="14">
      <c r="J14" s="51" t="s">
        <v>770</v>
      </c>
      <c r="K14" s="1">
        <v>11.0</v>
      </c>
      <c r="O14" s="51" t="s">
        <v>771</v>
      </c>
      <c r="Q14" s="52" t="s">
        <v>772</v>
      </c>
      <c r="R14" s="7" t="s">
        <v>773</v>
      </c>
      <c r="S14" s="7"/>
      <c r="T14" s="53"/>
      <c r="U14" s="54" t="s">
        <v>774</v>
      </c>
      <c r="V14" s="54" t="s">
        <v>775</v>
      </c>
      <c r="W14" s="54" t="s">
        <v>776</v>
      </c>
      <c r="X14" s="54" t="s">
        <v>777</v>
      </c>
      <c r="Y14" s="54" t="s">
        <v>778</v>
      </c>
      <c r="Z14" s="55" t="s">
        <v>779</v>
      </c>
      <c r="AA14" s="1" t="s">
        <v>780</v>
      </c>
    </row>
    <row r="15">
      <c r="J15" s="1" t="s">
        <v>781</v>
      </c>
      <c r="O15" s="1" t="s">
        <v>782</v>
      </c>
      <c r="Q15" s="56">
        <v>1.0</v>
      </c>
      <c r="R15" s="57"/>
      <c r="S15" s="7" t="s">
        <v>739</v>
      </c>
      <c r="T15" s="58">
        <v>36.0</v>
      </c>
      <c r="U15" s="58">
        <v>17.0</v>
      </c>
      <c r="V15" s="58">
        <v>12.0</v>
      </c>
      <c r="W15" s="58">
        <v>7.0</v>
      </c>
      <c r="X15" s="59">
        <v>1.6854166666666666</v>
      </c>
      <c r="Y15" s="58">
        <v>13.0</v>
      </c>
      <c r="Z15" s="60">
        <v>63.0</v>
      </c>
      <c r="AA15" s="1">
        <v>27.0</v>
      </c>
    </row>
    <row r="16">
      <c r="J16" s="1" t="s">
        <v>783</v>
      </c>
      <c r="Q16" s="61">
        <v>2.0</v>
      </c>
      <c r="R16" s="57"/>
      <c r="S16" s="7" t="s">
        <v>31</v>
      </c>
      <c r="T16" s="58">
        <v>36.0</v>
      </c>
      <c r="U16" s="58">
        <v>17.0</v>
      </c>
      <c r="V16" s="58">
        <v>10.0</v>
      </c>
      <c r="W16" s="58">
        <v>9.0</v>
      </c>
      <c r="X16" s="59">
        <v>2.107638888888889</v>
      </c>
      <c r="Y16" s="58">
        <v>15.0</v>
      </c>
      <c r="Z16" s="60">
        <v>61.0</v>
      </c>
      <c r="AA16" s="1">
        <v>35.0</v>
      </c>
    </row>
    <row r="17">
      <c r="Q17" s="61">
        <v>3.0</v>
      </c>
      <c r="R17" s="57"/>
      <c r="S17" s="7" t="s">
        <v>784</v>
      </c>
      <c r="T17" s="58">
        <v>36.0</v>
      </c>
      <c r="U17" s="58">
        <v>17.0</v>
      </c>
      <c r="V17" s="58">
        <v>8.0</v>
      </c>
      <c r="W17" s="58">
        <v>11.0</v>
      </c>
      <c r="X17" s="59">
        <v>2.1506944444444445</v>
      </c>
      <c r="Y17" s="58">
        <v>14.0</v>
      </c>
      <c r="Z17" s="60">
        <v>59.0</v>
      </c>
      <c r="AA17" s="1">
        <v>37.0</v>
      </c>
    </row>
    <row r="18">
      <c r="J18" s="51" t="s">
        <v>785</v>
      </c>
      <c r="O18" s="51" t="s">
        <v>786</v>
      </c>
      <c r="Q18" s="62">
        <v>4.0</v>
      </c>
      <c r="R18" s="57"/>
      <c r="S18" s="7" t="s">
        <v>52</v>
      </c>
      <c r="T18" s="58">
        <v>36.0</v>
      </c>
      <c r="U18" s="58">
        <v>14.0</v>
      </c>
      <c r="V18" s="58">
        <v>13.0</v>
      </c>
      <c r="W18" s="58">
        <v>9.0</v>
      </c>
      <c r="X18" s="59">
        <v>2.0215277777777776</v>
      </c>
      <c r="Y18" s="58">
        <v>17.0</v>
      </c>
      <c r="Z18" s="60">
        <v>55.0</v>
      </c>
      <c r="AA18" s="1">
        <v>31.0</v>
      </c>
    </row>
    <row r="19">
      <c r="J19" s="1" t="s">
        <v>787</v>
      </c>
      <c r="O19" s="1" t="s">
        <v>788</v>
      </c>
      <c r="Q19" s="62">
        <v>5.0</v>
      </c>
      <c r="R19" s="57"/>
      <c r="S19" s="7" t="s">
        <v>62</v>
      </c>
      <c r="T19" s="58">
        <v>36.0</v>
      </c>
      <c r="U19" s="58">
        <v>13.0</v>
      </c>
      <c r="V19" s="58">
        <v>13.0</v>
      </c>
      <c r="W19" s="58">
        <v>10.0</v>
      </c>
      <c r="X19" s="59">
        <v>1.395138888888889</v>
      </c>
      <c r="Y19" s="58">
        <v>4.0</v>
      </c>
      <c r="Z19" s="60">
        <v>52.0</v>
      </c>
      <c r="AA19" s="1">
        <v>29.0</v>
      </c>
    </row>
    <row r="20">
      <c r="J20" s="1" t="s">
        <v>783</v>
      </c>
      <c r="Q20" s="62">
        <v>6.0</v>
      </c>
      <c r="R20" s="57"/>
      <c r="S20" s="7" t="s">
        <v>128</v>
      </c>
      <c r="T20" s="58">
        <v>36.0</v>
      </c>
      <c r="U20" s="58">
        <v>13.0</v>
      </c>
      <c r="V20" s="58">
        <v>10.0</v>
      </c>
      <c r="W20" s="58">
        <v>13.0</v>
      </c>
      <c r="X20" s="59">
        <v>1.7020833333333334</v>
      </c>
      <c r="Y20" s="58">
        <v>-11.0</v>
      </c>
      <c r="Z20" s="60">
        <v>49.0</v>
      </c>
      <c r="AA20" s="1">
        <v>51.0</v>
      </c>
    </row>
    <row r="21">
      <c r="Q21" s="62">
        <v>7.0</v>
      </c>
      <c r="R21" s="57"/>
      <c r="S21" s="7" t="s">
        <v>740</v>
      </c>
      <c r="T21" s="58">
        <v>36.0</v>
      </c>
      <c r="U21" s="58">
        <v>13.0</v>
      </c>
      <c r="V21" s="58">
        <v>6.0</v>
      </c>
      <c r="W21" s="58">
        <v>17.0</v>
      </c>
      <c r="X21" s="59">
        <v>1.8243055555555556</v>
      </c>
      <c r="Y21" s="58">
        <v>-4.0</v>
      </c>
      <c r="Z21" s="60">
        <v>45.0</v>
      </c>
      <c r="AA21" s="1">
        <v>47.0</v>
      </c>
    </row>
    <row r="22">
      <c r="J22" s="63" t="s">
        <v>789</v>
      </c>
      <c r="O22" s="63" t="s">
        <v>790</v>
      </c>
      <c r="Q22" s="62">
        <v>8.0</v>
      </c>
      <c r="R22" s="57"/>
      <c r="S22" s="7" t="s">
        <v>741</v>
      </c>
      <c r="T22" s="58">
        <v>36.0</v>
      </c>
      <c r="U22" s="58">
        <v>10.0</v>
      </c>
      <c r="V22" s="58">
        <v>12.0</v>
      </c>
      <c r="W22" s="58">
        <v>14.0</v>
      </c>
      <c r="X22" s="59">
        <v>1.6548611111111111</v>
      </c>
      <c r="Y22" s="58">
        <v>-4.0</v>
      </c>
      <c r="Z22" s="60">
        <v>42.0</v>
      </c>
      <c r="AA22" s="1">
        <v>43.0</v>
      </c>
    </row>
    <row r="23">
      <c r="J23" s="1" t="s">
        <v>791</v>
      </c>
      <c r="O23" s="1" t="s">
        <v>792</v>
      </c>
      <c r="Q23" s="64">
        <v>9.0</v>
      </c>
      <c r="R23" s="57"/>
      <c r="S23" s="7" t="s">
        <v>36</v>
      </c>
      <c r="T23" s="58">
        <v>36.0</v>
      </c>
      <c r="U23" s="58">
        <v>7.0</v>
      </c>
      <c r="V23" s="58">
        <v>13.0</v>
      </c>
      <c r="W23" s="58">
        <v>16.0</v>
      </c>
      <c r="X23" s="59">
        <v>1.7486111111111111</v>
      </c>
      <c r="Y23" s="58">
        <v>-17.0</v>
      </c>
      <c r="Z23" s="60">
        <v>34.0</v>
      </c>
      <c r="AA23" s="1">
        <v>58.0</v>
      </c>
    </row>
    <row r="24">
      <c r="J24" s="1" t="s">
        <v>793</v>
      </c>
      <c r="Q24" s="65">
        <v>10.0</v>
      </c>
      <c r="R24" s="57"/>
      <c r="S24" s="7" t="s">
        <v>80</v>
      </c>
      <c r="T24" s="58">
        <v>36.0</v>
      </c>
      <c r="U24" s="58">
        <v>5.0</v>
      </c>
      <c r="V24" s="58">
        <v>11.0</v>
      </c>
      <c r="W24" s="58">
        <v>20.0</v>
      </c>
      <c r="X24" s="66">
        <v>0.9930555555555556</v>
      </c>
      <c r="Y24" s="58">
        <v>-27.0</v>
      </c>
      <c r="Z24" s="60">
        <v>26.0</v>
      </c>
      <c r="AA24" s="1">
        <v>50.0</v>
      </c>
    </row>
    <row r="25">
      <c r="S25" s="50"/>
      <c r="V25" s="50"/>
      <c r="W25" s="50"/>
      <c r="AA25" s="50"/>
      <c r="AB25" s="50"/>
      <c r="AC25" s="50"/>
    </row>
    <row r="26">
      <c r="J26" s="63" t="s">
        <v>794</v>
      </c>
      <c r="O26" s="63" t="s">
        <v>795</v>
      </c>
      <c r="S26" s="50"/>
      <c r="V26" s="50"/>
      <c r="W26" s="50"/>
      <c r="AA26" s="50"/>
      <c r="AB26" s="50"/>
      <c r="AC26" s="50"/>
    </row>
    <row r="27">
      <c r="J27" s="1" t="s">
        <v>796</v>
      </c>
      <c r="O27" s="1" t="s">
        <v>797</v>
      </c>
      <c r="S27" s="50"/>
      <c r="V27" s="50"/>
      <c r="W27" s="50"/>
      <c r="AA27" s="50"/>
      <c r="AB27" s="50"/>
      <c r="AC27" s="50"/>
    </row>
    <row r="28">
      <c r="J28" s="1" t="s">
        <v>793</v>
      </c>
      <c r="S28" s="50"/>
      <c r="V28" s="50"/>
      <c r="W28" s="50"/>
      <c r="AA28" s="50"/>
      <c r="AB28" s="50"/>
      <c r="AC28" s="50"/>
    </row>
    <row r="29">
      <c r="S29" s="50"/>
      <c r="V29" s="50"/>
      <c r="W29" s="50"/>
      <c r="AA29" s="50"/>
      <c r="AB29" s="50"/>
      <c r="AC29" s="50"/>
    </row>
    <row r="30">
      <c r="S30" s="50"/>
      <c r="V30" s="50"/>
      <c r="W30" s="50"/>
      <c r="AA30" s="50"/>
      <c r="AB30" s="50"/>
      <c r="AC30" s="50"/>
    </row>
    <row r="31">
      <c r="J31" s="51" t="s">
        <v>798</v>
      </c>
      <c r="S31" s="50"/>
      <c r="V31" s="50"/>
      <c r="W31" s="50"/>
      <c r="AA31" s="50"/>
      <c r="AB31" s="50"/>
      <c r="AC31" s="50"/>
    </row>
    <row r="32">
      <c r="J32" s="1" t="s">
        <v>799</v>
      </c>
      <c r="S32" s="50"/>
      <c r="V32" s="50"/>
      <c r="W32" s="50"/>
      <c r="AA32" s="50"/>
      <c r="AB32" s="50"/>
      <c r="AC32" s="50"/>
    </row>
    <row r="33">
      <c r="S33" s="50"/>
      <c r="V33" s="50"/>
      <c r="W33" s="50"/>
      <c r="AA33" s="50"/>
      <c r="AB33" s="50"/>
      <c r="AC33" s="50"/>
    </row>
    <row r="34">
      <c r="S34" s="50"/>
      <c r="V34" s="50"/>
      <c r="W34" s="50"/>
      <c r="AA34" s="50"/>
      <c r="AB34" s="50"/>
      <c r="AC34" s="50"/>
    </row>
    <row r="35">
      <c r="J35" s="51" t="s">
        <v>800</v>
      </c>
      <c r="S35" s="50"/>
      <c r="V35" s="50"/>
      <c r="W35" s="50"/>
      <c r="AA35" s="50"/>
      <c r="AB35" s="50"/>
      <c r="AC35" s="50"/>
    </row>
    <row r="36">
      <c r="J36" s="1" t="s">
        <v>801</v>
      </c>
      <c r="S36" s="50"/>
      <c r="V36" s="50"/>
      <c r="W36" s="50"/>
      <c r="AA36" s="50"/>
      <c r="AB36" s="50"/>
      <c r="AC36" s="50"/>
    </row>
    <row r="37">
      <c r="S37" s="50"/>
      <c r="V37" s="50"/>
      <c r="W37" s="50"/>
      <c r="AA37" s="50"/>
      <c r="AB37" s="50"/>
      <c r="AC37" s="50"/>
    </row>
    <row r="38">
      <c r="S38" s="50"/>
      <c r="V38" s="50"/>
      <c r="W38" s="50"/>
      <c r="AA38" s="50"/>
      <c r="AB38" s="50"/>
      <c r="AC38" s="50"/>
    </row>
    <row r="39">
      <c r="J39" s="63" t="s">
        <v>802</v>
      </c>
      <c r="S39" s="50"/>
      <c r="V39" s="50"/>
      <c r="W39" s="50"/>
      <c r="AA39" s="50"/>
      <c r="AB39" s="50"/>
      <c r="AC39" s="50"/>
    </row>
    <row r="40">
      <c r="J40" s="1" t="s">
        <v>803</v>
      </c>
      <c r="S40" s="50"/>
      <c r="V40" s="50"/>
      <c r="W40" s="50"/>
      <c r="AA40" s="50"/>
      <c r="AB40" s="50"/>
      <c r="AC40" s="50"/>
    </row>
    <row r="41">
      <c r="S41" s="50"/>
      <c r="V41" s="50"/>
      <c r="W41" s="50"/>
      <c r="AA41" s="50"/>
      <c r="AB41" s="50"/>
      <c r="AC41" s="50"/>
    </row>
    <row r="42">
      <c r="S42" s="50"/>
      <c r="V42" s="50"/>
      <c r="W42" s="50"/>
      <c r="AA42" s="50"/>
      <c r="AB42" s="50"/>
      <c r="AC42" s="50"/>
    </row>
    <row r="43">
      <c r="J43" s="63" t="s">
        <v>804</v>
      </c>
      <c r="S43" s="50"/>
      <c r="V43" s="50"/>
      <c r="W43" s="50"/>
      <c r="AA43" s="50"/>
      <c r="AB43" s="50"/>
      <c r="AC43" s="50"/>
    </row>
    <row r="44">
      <c r="J44" s="1" t="s">
        <v>805</v>
      </c>
      <c r="S44" s="50"/>
      <c r="V44" s="50"/>
      <c r="W44" s="50"/>
      <c r="AA44" s="50"/>
      <c r="AB44" s="50"/>
      <c r="AC44" s="50"/>
    </row>
    <row r="45">
      <c r="S45" s="50"/>
      <c r="V45" s="50"/>
      <c r="W45" s="50"/>
      <c r="AA45" s="50"/>
      <c r="AB45" s="50"/>
      <c r="AC45" s="50"/>
    </row>
    <row r="46">
      <c r="S46" s="50"/>
      <c r="V46" s="50"/>
      <c r="W46" s="50"/>
      <c r="AA46" s="50"/>
      <c r="AB46" s="50"/>
      <c r="AC46" s="50"/>
    </row>
    <row r="47">
      <c r="S47" s="50"/>
      <c r="V47" s="50"/>
      <c r="W47" s="50"/>
      <c r="AA47" s="50"/>
      <c r="AB47" s="50"/>
      <c r="AC47" s="50"/>
    </row>
    <row r="48">
      <c r="S48" s="50"/>
      <c r="V48" s="50"/>
      <c r="W48" s="50"/>
      <c r="AA48" s="50"/>
      <c r="AB48" s="50"/>
      <c r="AC48" s="50"/>
    </row>
    <row r="49">
      <c r="S49" s="50"/>
      <c r="V49" s="50"/>
      <c r="W49" s="50"/>
      <c r="AA49" s="50"/>
      <c r="AB49" s="50"/>
      <c r="AC49" s="50"/>
    </row>
    <row r="50">
      <c r="S50" s="50"/>
      <c r="V50" s="50"/>
      <c r="W50" s="50"/>
      <c r="AA50" s="50"/>
      <c r="AB50" s="50"/>
      <c r="AC50" s="50"/>
    </row>
    <row r="51">
      <c r="S51" s="50"/>
      <c r="V51" s="50"/>
      <c r="W51" s="50"/>
      <c r="AA51" s="50"/>
      <c r="AB51" s="50"/>
      <c r="AC51" s="50"/>
    </row>
    <row r="52">
      <c r="S52" s="50"/>
      <c r="V52" s="50"/>
      <c r="W52" s="50"/>
      <c r="AA52" s="50"/>
      <c r="AB52" s="50"/>
      <c r="AC52" s="50"/>
    </row>
    <row r="53">
      <c r="S53" s="50"/>
      <c r="V53" s="50"/>
      <c r="W53" s="50"/>
      <c r="AA53" s="50"/>
      <c r="AB53" s="50"/>
      <c r="AC53" s="50"/>
    </row>
    <row r="54">
      <c r="S54" s="50"/>
      <c r="V54" s="50"/>
      <c r="W54" s="50"/>
      <c r="AA54" s="50"/>
      <c r="AB54" s="50"/>
      <c r="AC54" s="50"/>
    </row>
    <row r="55">
      <c r="S55" s="50"/>
      <c r="V55" s="50"/>
      <c r="W55" s="50"/>
      <c r="AA55" s="50"/>
      <c r="AB55" s="50"/>
      <c r="AC55" s="50"/>
    </row>
    <row r="56">
      <c r="S56" s="50"/>
      <c r="V56" s="50"/>
      <c r="W56" s="50"/>
      <c r="AA56" s="50"/>
      <c r="AB56" s="50"/>
      <c r="AC56" s="50"/>
    </row>
    <row r="57">
      <c r="S57" s="50"/>
      <c r="V57" s="50"/>
      <c r="W57" s="50"/>
      <c r="AA57" s="50"/>
      <c r="AB57" s="50"/>
      <c r="AC57" s="50"/>
    </row>
    <row r="58">
      <c r="S58" s="50"/>
      <c r="V58" s="50"/>
      <c r="W58" s="50"/>
      <c r="AA58" s="50"/>
      <c r="AB58" s="50"/>
      <c r="AC58" s="50"/>
    </row>
    <row r="59">
      <c r="S59" s="50"/>
      <c r="V59" s="50"/>
      <c r="W59" s="50"/>
      <c r="AA59" s="50"/>
      <c r="AB59" s="50"/>
      <c r="AC59" s="50"/>
    </row>
    <row r="60">
      <c r="S60" s="50"/>
      <c r="V60" s="50"/>
      <c r="W60" s="50"/>
      <c r="AA60" s="50"/>
      <c r="AB60" s="50"/>
      <c r="AC60" s="50"/>
    </row>
    <row r="61">
      <c r="B61" s="7" t="s">
        <v>3</v>
      </c>
      <c r="C61" s="7" t="s">
        <v>746</v>
      </c>
      <c r="D61" s="7" t="s">
        <v>747</v>
      </c>
      <c r="E61" s="7" t="s">
        <v>748</v>
      </c>
      <c r="F61" s="7" t="s">
        <v>749</v>
      </c>
      <c r="S61" s="50"/>
      <c r="V61" s="50"/>
      <c r="W61" s="50"/>
      <c r="AA61" s="50"/>
      <c r="AB61" s="50"/>
      <c r="AC61" s="50"/>
    </row>
    <row r="62">
      <c r="A62" s="7" t="s">
        <v>806</v>
      </c>
      <c r="B62" s="7">
        <v>55.0</v>
      </c>
      <c r="C62" s="7">
        <v>21.5</v>
      </c>
      <c r="D62" s="7">
        <v>18.0</v>
      </c>
      <c r="E62" s="7" t="s">
        <v>702</v>
      </c>
      <c r="F62" s="7" t="s">
        <v>751</v>
      </c>
      <c r="S62" s="50"/>
      <c r="V62" s="50"/>
      <c r="W62" s="50"/>
      <c r="AA62" s="50"/>
      <c r="AB62" s="50"/>
      <c r="AC62" s="50"/>
    </row>
    <row r="63">
      <c r="A63" s="7" t="s">
        <v>52</v>
      </c>
      <c r="B63" s="7">
        <v>39.0</v>
      </c>
      <c r="C63" s="7">
        <v>23.4</v>
      </c>
      <c r="D63" s="7">
        <v>19.0</v>
      </c>
      <c r="E63" s="7" t="s">
        <v>702</v>
      </c>
      <c r="F63" s="7" t="s">
        <v>753</v>
      </c>
      <c r="S63" s="50"/>
      <c r="V63" s="50"/>
      <c r="W63" s="50"/>
      <c r="AA63" s="50"/>
      <c r="AB63" s="50"/>
      <c r="AC63" s="50"/>
    </row>
    <row r="64">
      <c r="A64" s="7" t="s">
        <v>807</v>
      </c>
      <c r="B64" s="7">
        <v>43.0</v>
      </c>
      <c r="C64" s="7">
        <v>21.3</v>
      </c>
      <c r="D64" s="7">
        <v>10.0</v>
      </c>
      <c r="E64" s="7" t="s">
        <v>677</v>
      </c>
      <c r="F64" s="7" t="s">
        <v>755</v>
      </c>
      <c r="S64" s="50"/>
      <c r="V64" s="50"/>
      <c r="W64" s="50"/>
      <c r="AA64" s="50"/>
      <c r="AB64" s="50"/>
      <c r="AC64" s="50"/>
    </row>
    <row r="65">
      <c r="A65" s="7" t="s">
        <v>80</v>
      </c>
      <c r="B65" s="7">
        <v>70.0</v>
      </c>
      <c r="C65" s="7">
        <v>21.5</v>
      </c>
      <c r="D65" s="7">
        <v>29.0</v>
      </c>
      <c r="E65" s="7" t="s">
        <v>697</v>
      </c>
      <c r="F65" s="7" t="s">
        <v>757</v>
      </c>
      <c r="S65" s="50"/>
      <c r="V65" s="50"/>
      <c r="W65" s="50"/>
      <c r="AA65" s="50"/>
      <c r="AB65" s="50"/>
      <c r="AC65" s="50"/>
    </row>
    <row r="66">
      <c r="A66" s="7" t="s">
        <v>808</v>
      </c>
      <c r="B66" s="7">
        <v>35.0</v>
      </c>
      <c r="C66" s="7">
        <v>24.4</v>
      </c>
      <c r="D66" s="7">
        <v>10.0</v>
      </c>
      <c r="E66" s="7" t="s">
        <v>703</v>
      </c>
      <c r="F66" s="7" t="s">
        <v>759</v>
      </c>
      <c r="S66" s="50"/>
      <c r="V66" s="50"/>
      <c r="W66" s="50"/>
      <c r="AA66" s="50"/>
      <c r="AB66" s="50"/>
      <c r="AC66" s="50"/>
    </row>
    <row r="67">
      <c r="A67" s="7" t="s">
        <v>31</v>
      </c>
      <c r="B67" s="7">
        <v>61.0</v>
      </c>
      <c r="C67" s="7">
        <v>22.3</v>
      </c>
      <c r="D67" s="7">
        <v>8.0</v>
      </c>
      <c r="E67" s="7" t="s">
        <v>701</v>
      </c>
      <c r="F67" s="7" t="s">
        <v>761</v>
      </c>
      <c r="S67" s="50"/>
      <c r="V67" s="50"/>
      <c r="W67" s="50"/>
      <c r="AA67" s="50"/>
      <c r="AB67" s="50"/>
      <c r="AC67" s="50"/>
    </row>
    <row r="68">
      <c r="A68" s="7" t="s">
        <v>58</v>
      </c>
      <c r="B68" s="7">
        <v>52.0</v>
      </c>
      <c r="C68" s="7">
        <v>21.2</v>
      </c>
      <c r="D68" s="7">
        <v>7.0</v>
      </c>
      <c r="E68" s="7" t="s">
        <v>708</v>
      </c>
      <c r="F68" s="7" t="s">
        <v>763</v>
      </c>
      <c r="S68" s="50"/>
      <c r="V68" s="50"/>
      <c r="W68" s="50"/>
      <c r="AA68" s="50"/>
      <c r="AB68" s="50"/>
      <c r="AC68" s="50"/>
    </row>
    <row r="69">
      <c r="A69" s="7" t="s">
        <v>128</v>
      </c>
      <c r="B69" s="7">
        <v>36.0</v>
      </c>
      <c r="C69" s="7">
        <v>20.7</v>
      </c>
      <c r="D69" s="7">
        <v>12.0</v>
      </c>
      <c r="E69" s="7" t="s">
        <v>706</v>
      </c>
      <c r="F69" s="7" t="s">
        <v>765</v>
      </c>
      <c r="S69" s="50"/>
      <c r="V69" s="50"/>
      <c r="W69" s="50"/>
      <c r="AA69" s="50"/>
      <c r="AB69" s="50"/>
      <c r="AC69" s="50"/>
    </row>
    <row r="70">
      <c r="A70" s="7" t="s">
        <v>809</v>
      </c>
      <c r="B70" s="7">
        <v>64.0</v>
      </c>
      <c r="C70" s="7">
        <v>21.2</v>
      </c>
      <c r="D70" s="7">
        <v>17.0</v>
      </c>
      <c r="E70" s="7" t="s">
        <v>691</v>
      </c>
      <c r="F70" s="7" t="s">
        <v>767</v>
      </c>
      <c r="S70" s="50"/>
      <c r="V70" s="50"/>
      <c r="W70" s="50"/>
      <c r="AA70" s="50"/>
      <c r="AB70" s="50"/>
      <c r="AC70" s="50"/>
    </row>
    <row r="71">
      <c r="A71" s="7" t="s">
        <v>740</v>
      </c>
      <c r="B71" s="7">
        <v>47.0</v>
      </c>
      <c r="C71" s="7">
        <v>20.6</v>
      </c>
      <c r="D71" s="7">
        <v>17.0</v>
      </c>
      <c r="E71" s="7" t="s">
        <v>700</v>
      </c>
      <c r="F71" s="7" t="s">
        <v>769</v>
      </c>
      <c r="S71" s="50"/>
      <c r="V71" s="50"/>
      <c r="W71" s="50"/>
      <c r="AA71" s="50"/>
      <c r="AB71" s="50"/>
      <c r="AC71" s="50"/>
    </row>
    <row r="72">
      <c r="S72" s="50"/>
      <c r="V72" s="50"/>
      <c r="W72" s="50"/>
      <c r="AA72" s="50"/>
      <c r="AB72" s="50"/>
      <c r="AC72" s="50"/>
    </row>
    <row r="73">
      <c r="G73" s="7" t="s">
        <v>653</v>
      </c>
      <c r="H73" s="7"/>
      <c r="I73" s="7"/>
      <c r="J73" s="7"/>
      <c r="K73" s="7" t="s">
        <v>654</v>
      </c>
      <c r="L73" s="7"/>
      <c r="M73" s="7"/>
      <c r="N73" s="7"/>
      <c r="O73" s="7"/>
      <c r="P73" s="7"/>
      <c r="Q73" s="7"/>
      <c r="R73" s="7"/>
      <c r="S73" s="8" t="s">
        <v>655</v>
      </c>
      <c r="T73" s="7"/>
      <c r="U73" s="7"/>
      <c r="V73" s="7"/>
      <c r="W73" s="7"/>
      <c r="X73" s="1" t="s">
        <v>656</v>
      </c>
      <c r="Y73" s="1" t="s">
        <v>657</v>
      </c>
      <c r="AA73" s="50"/>
      <c r="AB73" s="50"/>
      <c r="AC73" s="50"/>
    </row>
    <row r="74">
      <c r="A74" s="7" t="s">
        <v>0</v>
      </c>
      <c r="B74" s="7" t="s">
        <v>1</v>
      </c>
      <c r="C74" s="7" t="s">
        <v>2</v>
      </c>
      <c r="D74" s="7" t="s">
        <v>3</v>
      </c>
      <c r="E74" s="7" t="s">
        <v>4</v>
      </c>
      <c r="F74" s="7" t="s">
        <v>5</v>
      </c>
      <c r="G74" s="7" t="s">
        <v>6</v>
      </c>
      <c r="H74" s="7" t="s">
        <v>7</v>
      </c>
      <c r="I74" s="7" t="s">
        <v>8</v>
      </c>
      <c r="J74" s="7" t="s">
        <v>9</v>
      </c>
      <c r="K74" s="7" t="s">
        <v>10</v>
      </c>
      <c r="L74" s="7" t="s">
        <v>11</v>
      </c>
      <c r="M74" s="7" t="s">
        <v>659</v>
      </c>
      <c r="N74" s="7" t="s">
        <v>13</v>
      </c>
      <c r="O74" s="7" t="s">
        <v>14</v>
      </c>
      <c r="P74" s="7" t="s">
        <v>15</v>
      </c>
      <c r="Q74" s="7" t="s">
        <v>16</v>
      </c>
      <c r="R74" s="7" t="s">
        <v>17</v>
      </c>
      <c r="S74" s="8" t="s">
        <v>10</v>
      </c>
      <c r="T74" s="7" t="s">
        <v>11</v>
      </c>
      <c r="U74" s="7" t="s">
        <v>659</v>
      </c>
      <c r="V74" s="7" t="s">
        <v>13</v>
      </c>
      <c r="W74" s="7" t="s">
        <v>661</v>
      </c>
      <c r="X74" s="7"/>
      <c r="Y74" s="7"/>
      <c r="AA74" s="50"/>
      <c r="AB74" s="50"/>
      <c r="AC74" s="50"/>
    </row>
    <row r="75">
      <c r="A75" s="7" t="s">
        <v>24</v>
      </c>
      <c r="B75" s="7" t="s">
        <v>25</v>
      </c>
      <c r="C75" s="7" t="s">
        <v>26</v>
      </c>
      <c r="D75" s="7" t="s">
        <v>27</v>
      </c>
      <c r="E75" s="7">
        <v>23.0</v>
      </c>
      <c r="F75" s="7">
        <v>2000.0</v>
      </c>
      <c r="G75" s="7">
        <v>17.0</v>
      </c>
      <c r="H75" s="7">
        <v>10.0</v>
      </c>
      <c r="I75" s="7">
        <v>960.0</v>
      </c>
      <c r="J75" s="7">
        <v>10.7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3.0</v>
      </c>
      <c r="R75" s="7">
        <v>0.0</v>
      </c>
      <c r="S75" s="8">
        <v>0.0</v>
      </c>
      <c r="T75" s="7">
        <v>0.0</v>
      </c>
      <c r="U75" s="7">
        <v>0.0</v>
      </c>
      <c r="V75" s="7">
        <v>0.0</v>
      </c>
      <c r="W75" s="7">
        <v>0.0</v>
      </c>
      <c r="X75" s="7" t="s">
        <v>810</v>
      </c>
      <c r="Y75" s="7" t="s">
        <v>665</v>
      </c>
      <c r="AA75" s="50"/>
      <c r="AB75" s="50"/>
      <c r="AC75" s="50"/>
    </row>
    <row r="76">
      <c r="A76" s="7" t="s">
        <v>29</v>
      </c>
      <c r="B76" s="7" t="s">
        <v>25</v>
      </c>
      <c r="C76" s="7" t="s">
        <v>30</v>
      </c>
      <c r="D76" s="7" t="s">
        <v>31</v>
      </c>
      <c r="E76" s="7">
        <v>34.0</v>
      </c>
      <c r="F76" s="7">
        <v>1990.0</v>
      </c>
      <c r="G76" s="7">
        <v>30.0</v>
      </c>
      <c r="H76" s="7">
        <v>16.0</v>
      </c>
      <c r="I76" s="25">
        <v>1687.0</v>
      </c>
      <c r="J76" s="7">
        <v>18.7</v>
      </c>
      <c r="K76" s="7">
        <v>8.0</v>
      </c>
      <c r="L76" s="7">
        <v>2.0</v>
      </c>
      <c r="M76" s="7">
        <v>10.0</v>
      </c>
      <c r="N76" s="7">
        <v>8.0</v>
      </c>
      <c r="O76" s="7">
        <v>0.0</v>
      </c>
      <c r="P76" s="7">
        <v>0.0</v>
      </c>
      <c r="Q76" s="7">
        <v>2.0</v>
      </c>
      <c r="R76" s="7">
        <v>0.0</v>
      </c>
      <c r="S76" s="8">
        <v>0.43</v>
      </c>
      <c r="T76" s="7">
        <v>0.11</v>
      </c>
      <c r="U76" s="7">
        <v>0.53</v>
      </c>
      <c r="V76" s="7">
        <v>0.43</v>
      </c>
      <c r="W76" s="7">
        <v>0.53</v>
      </c>
      <c r="X76" s="7" t="s">
        <v>667</v>
      </c>
      <c r="Y76" s="7" t="s">
        <v>668</v>
      </c>
      <c r="AA76" s="50"/>
      <c r="AB76" s="50"/>
      <c r="AC76" s="50"/>
    </row>
    <row r="77">
      <c r="A77" s="7" t="s">
        <v>33</v>
      </c>
      <c r="B77" s="7" t="s">
        <v>34</v>
      </c>
      <c r="C77" s="7" t="s">
        <v>35</v>
      </c>
      <c r="D77" s="7" t="s">
        <v>36</v>
      </c>
      <c r="E77" s="7">
        <v>22.0</v>
      </c>
      <c r="F77" s="7">
        <v>2001.0</v>
      </c>
      <c r="G77" s="7">
        <v>3.0</v>
      </c>
      <c r="H77" s="7">
        <v>1.0</v>
      </c>
      <c r="I77" s="7">
        <v>153.0</v>
      </c>
      <c r="J77" s="7">
        <v>1.7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Q77" s="7">
        <v>0.0</v>
      </c>
      <c r="R77" s="7">
        <v>0.0</v>
      </c>
      <c r="S77" s="8">
        <v>0.0</v>
      </c>
      <c r="T77" s="7">
        <v>0.0</v>
      </c>
      <c r="U77" s="7">
        <v>0.0</v>
      </c>
      <c r="V77" s="7">
        <v>0.0</v>
      </c>
      <c r="W77" s="7">
        <v>0.0</v>
      </c>
      <c r="X77" s="7" t="s">
        <v>670</v>
      </c>
      <c r="Y77" s="7" t="s">
        <v>671</v>
      </c>
      <c r="AA77" s="50"/>
      <c r="AB77" s="50"/>
      <c r="AC77" s="50"/>
    </row>
    <row r="78">
      <c r="A78" s="7" t="s">
        <v>38</v>
      </c>
      <c r="B78" s="7" t="s">
        <v>25</v>
      </c>
      <c r="C78" s="7" t="s">
        <v>26</v>
      </c>
      <c r="D78" s="7" t="s">
        <v>31</v>
      </c>
      <c r="E78" s="7">
        <v>28.0</v>
      </c>
      <c r="F78" s="7">
        <v>1995.0</v>
      </c>
      <c r="G78" s="7">
        <v>12.0</v>
      </c>
      <c r="H78" s="7">
        <v>2.0</v>
      </c>
      <c r="I78" s="7">
        <v>403.0</v>
      </c>
      <c r="J78" s="7">
        <v>4.5</v>
      </c>
      <c r="K78" s="7">
        <v>0.0</v>
      </c>
      <c r="L78" s="7">
        <v>0.0</v>
      </c>
      <c r="M78" s="7">
        <v>0.0</v>
      </c>
      <c r="N78" s="7">
        <v>0.0</v>
      </c>
      <c r="O78" s="7">
        <v>0.0</v>
      </c>
      <c r="P78" s="7">
        <v>0.0</v>
      </c>
      <c r="Q78" s="7">
        <v>1.0</v>
      </c>
      <c r="R78" s="7">
        <v>0.0</v>
      </c>
      <c r="S78" s="8">
        <v>0.0</v>
      </c>
      <c r="T78" s="7">
        <v>0.0</v>
      </c>
      <c r="U78" s="7">
        <v>0.0</v>
      </c>
      <c r="V78" s="7">
        <v>0.0</v>
      </c>
      <c r="W78" s="7">
        <v>0.0</v>
      </c>
      <c r="X78" s="7" t="s">
        <v>673</v>
      </c>
      <c r="Y78" s="7" t="s">
        <v>674</v>
      </c>
      <c r="AA78" s="50"/>
      <c r="AB78" s="50"/>
      <c r="AC78" s="50"/>
    </row>
    <row r="79">
      <c r="A79" s="7" t="s">
        <v>40</v>
      </c>
      <c r="B79" s="7" t="s">
        <v>25</v>
      </c>
      <c r="C79" s="7" t="s">
        <v>26</v>
      </c>
      <c r="D79" s="7" t="s">
        <v>36</v>
      </c>
      <c r="E79" s="7">
        <v>23.0</v>
      </c>
      <c r="F79" s="7">
        <v>2000.0</v>
      </c>
      <c r="G79" s="7">
        <v>12.0</v>
      </c>
      <c r="H79" s="7">
        <v>4.0</v>
      </c>
      <c r="I79" s="7">
        <v>486.0</v>
      </c>
      <c r="J79" s="7">
        <v>5.4</v>
      </c>
      <c r="K79" s="7">
        <v>1.0</v>
      </c>
      <c r="L79" s="7">
        <v>0.0</v>
      </c>
      <c r="M79" s="7">
        <v>1.0</v>
      </c>
      <c r="N79" s="7">
        <v>1.0</v>
      </c>
      <c r="O79" s="7">
        <v>0.0</v>
      </c>
      <c r="P79" s="7">
        <v>0.0</v>
      </c>
      <c r="Q79" s="7">
        <v>1.0</v>
      </c>
      <c r="R79" s="7">
        <v>0.0</v>
      </c>
      <c r="S79" s="8">
        <v>0.19</v>
      </c>
      <c r="T79" s="7">
        <v>0.0</v>
      </c>
      <c r="U79" s="7">
        <v>0.19</v>
      </c>
      <c r="V79" s="7">
        <v>0.19</v>
      </c>
      <c r="W79" s="7">
        <v>0.19</v>
      </c>
      <c r="X79" s="7" t="s">
        <v>676</v>
      </c>
      <c r="Y79" s="24" t="s">
        <v>677</v>
      </c>
      <c r="AA79" s="50"/>
      <c r="AB79" s="50"/>
      <c r="AC79" s="50"/>
    </row>
    <row r="80">
      <c r="A80" s="7" t="s">
        <v>42</v>
      </c>
      <c r="B80" s="7" t="s">
        <v>43</v>
      </c>
      <c r="C80" s="7" t="s">
        <v>35</v>
      </c>
      <c r="D80" s="7" t="s">
        <v>44</v>
      </c>
      <c r="E80" s="7">
        <v>23.0</v>
      </c>
      <c r="F80" s="7">
        <v>2000.0</v>
      </c>
      <c r="G80" s="7">
        <v>16.0</v>
      </c>
      <c r="H80" s="7">
        <v>12.0</v>
      </c>
      <c r="I80" s="25">
        <v>1121.0</v>
      </c>
      <c r="J80" s="7">
        <v>12.5</v>
      </c>
      <c r="K80" s="7">
        <v>1.0</v>
      </c>
      <c r="L80" s="7">
        <v>0.0</v>
      </c>
      <c r="M80" s="7">
        <v>1.0</v>
      </c>
      <c r="N80" s="7">
        <v>1.0</v>
      </c>
      <c r="O80" s="7">
        <v>0.0</v>
      </c>
      <c r="P80" s="7">
        <v>0.0</v>
      </c>
      <c r="Q80" s="7">
        <v>4.0</v>
      </c>
      <c r="R80" s="7">
        <v>0.0</v>
      </c>
      <c r="S80" s="8">
        <v>0.08</v>
      </c>
      <c r="T80" s="7">
        <v>0.0</v>
      </c>
      <c r="U80" s="7">
        <v>0.08</v>
      </c>
      <c r="V80" s="7">
        <v>0.08</v>
      </c>
      <c r="W80" s="7">
        <v>0.08</v>
      </c>
      <c r="X80" s="7" t="s">
        <v>678</v>
      </c>
      <c r="Y80" s="7" t="s">
        <v>679</v>
      </c>
      <c r="AA80" s="50"/>
      <c r="AB80" s="50"/>
      <c r="AC80" s="50"/>
    </row>
    <row r="81">
      <c r="A81" s="7" t="s">
        <v>46</v>
      </c>
      <c r="B81" s="7" t="s">
        <v>25</v>
      </c>
      <c r="C81" s="7" t="s">
        <v>47</v>
      </c>
      <c r="D81" s="7" t="s">
        <v>36</v>
      </c>
      <c r="E81" s="7">
        <v>34.0</v>
      </c>
      <c r="F81" s="7">
        <v>1989.0</v>
      </c>
      <c r="G81" s="7">
        <v>33.0</v>
      </c>
      <c r="H81" s="7">
        <v>20.0</v>
      </c>
      <c r="I81" s="25">
        <v>1770.0</v>
      </c>
      <c r="J81" s="7">
        <v>19.7</v>
      </c>
      <c r="K81" s="7">
        <v>4.0</v>
      </c>
      <c r="L81" s="7">
        <v>3.0</v>
      </c>
      <c r="M81" s="7">
        <v>7.0</v>
      </c>
      <c r="N81" s="7">
        <v>4.0</v>
      </c>
      <c r="O81" s="7">
        <v>0.0</v>
      </c>
      <c r="P81" s="7">
        <v>0.0</v>
      </c>
      <c r="Q81" s="7">
        <v>6.0</v>
      </c>
      <c r="R81" s="7">
        <v>0.0</v>
      </c>
      <c r="S81" s="8">
        <v>0.2</v>
      </c>
      <c r="T81" s="7">
        <v>0.15</v>
      </c>
      <c r="U81" s="7">
        <v>0.36</v>
      </c>
      <c r="V81" s="7">
        <v>0.2</v>
      </c>
      <c r="W81" s="7">
        <v>0.36</v>
      </c>
      <c r="X81" s="7" t="s">
        <v>678</v>
      </c>
      <c r="Y81" s="7" t="s">
        <v>671</v>
      </c>
      <c r="AA81" s="50"/>
      <c r="AB81" s="50"/>
      <c r="AC81" s="50"/>
    </row>
    <row r="82">
      <c r="A82" s="7" t="s">
        <v>49</v>
      </c>
      <c r="B82" s="7" t="s">
        <v>25</v>
      </c>
      <c r="C82" s="7" t="s">
        <v>26</v>
      </c>
      <c r="D82" s="7" t="s">
        <v>44</v>
      </c>
      <c r="E82" s="7">
        <v>26.0</v>
      </c>
      <c r="F82" s="7">
        <v>1997.0</v>
      </c>
      <c r="G82" s="7">
        <v>35.0</v>
      </c>
      <c r="H82" s="7">
        <v>33.0</v>
      </c>
      <c r="I82" s="25">
        <v>2655.0</v>
      </c>
      <c r="J82" s="7">
        <v>29.5</v>
      </c>
      <c r="K82" s="7">
        <v>0.0</v>
      </c>
      <c r="L82" s="7">
        <v>2.0</v>
      </c>
      <c r="M82" s="7">
        <v>2.0</v>
      </c>
      <c r="N82" s="7">
        <v>0.0</v>
      </c>
      <c r="O82" s="7">
        <v>0.0</v>
      </c>
      <c r="P82" s="7">
        <v>0.0</v>
      </c>
      <c r="Q82" s="7">
        <v>8.0</v>
      </c>
      <c r="R82" s="7">
        <v>0.0</v>
      </c>
      <c r="S82" s="8">
        <v>0.0</v>
      </c>
      <c r="T82" s="7">
        <v>0.07</v>
      </c>
      <c r="U82" s="7">
        <v>0.07</v>
      </c>
      <c r="V82" s="7">
        <v>0.0</v>
      </c>
      <c r="W82" s="7">
        <v>0.07</v>
      </c>
      <c r="X82" s="7" t="s">
        <v>682</v>
      </c>
      <c r="Y82" s="7" t="s">
        <v>668</v>
      </c>
      <c r="AA82" s="50"/>
      <c r="AB82" s="50"/>
      <c r="AC82" s="50"/>
    </row>
    <row r="83">
      <c r="A83" s="7" t="s">
        <v>51</v>
      </c>
      <c r="B83" s="7" t="s">
        <v>25</v>
      </c>
      <c r="C83" s="7" t="s">
        <v>26</v>
      </c>
      <c r="D83" s="7" t="s">
        <v>52</v>
      </c>
      <c r="E83" s="7">
        <v>22.0</v>
      </c>
      <c r="F83" s="7">
        <v>2001.0</v>
      </c>
      <c r="G83" s="7">
        <v>35.0</v>
      </c>
      <c r="H83" s="7">
        <v>32.0</v>
      </c>
      <c r="I83" s="25">
        <v>2842.0</v>
      </c>
      <c r="J83" s="7">
        <v>31.6</v>
      </c>
      <c r="K83" s="7">
        <v>1.0</v>
      </c>
      <c r="L83" s="7">
        <v>0.0</v>
      </c>
      <c r="M83" s="7">
        <v>1.0</v>
      </c>
      <c r="N83" s="7">
        <v>1.0</v>
      </c>
      <c r="O83" s="7">
        <v>0.0</v>
      </c>
      <c r="P83" s="7">
        <v>0.0</v>
      </c>
      <c r="Q83" s="7">
        <v>9.0</v>
      </c>
      <c r="R83" s="7">
        <v>0.0</v>
      </c>
      <c r="S83" s="8">
        <v>0.03</v>
      </c>
      <c r="T83" s="7">
        <v>0.0</v>
      </c>
      <c r="U83" s="7">
        <v>0.03</v>
      </c>
      <c r="V83" s="7">
        <v>0.03</v>
      </c>
      <c r="W83" s="7">
        <v>0.03</v>
      </c>
      <c r="X83" s="7" t="s">
        <v>683</v>
      </c>
      <c r="Y83" s="7" t="s">
        <v>674</v>
      </c>
      <c r="AA83" s="50"/>
      <c r="AB83" s="50"/>
      <c r="AC83" s="50"/>
    </row>
    <row r="84">
      <c r="A84" s="7" t="s">
        <v>54</v>
      </c>
      <c r="B84" s="7" t="s">
        <v>25</v>
      </c>
      <c r="C84" s="7" t="s">
        <v>55</v>
      </c>
      <c r="D84" s="7" t="s">
        <v>27</v>
      </c>
      <c r="E84" s="7">
        <v>24.0</v>
      </c>
      <c r="F84" s="7">
        <v>1999.0</v>
      </c>
      <c r="G84" s="7">
        <v>11.0</v>
      </c>
      <c r="H84" s="7">
        <v>9.0</v>
      </c>
      <c r="I84" s="7">
        <v>702.0</v>
      </c>
      <c r="J84" s="7">
        <v>7.8</v>
      </c>
      <c r="K84" s="7">
        <v>5.0</v>
      </c>
      <c r="L84" s="7">
        <v>0.0</v>
      </c>
      <c r="M84" s="7">
        <v>5.0</v>
      </c>
      <c r="N84" s="7">
        <v>4.0</v>
      </c>
      <c r="O84" s="7">
        <v>1.0</v>
      </c>
      <c r="P84" s="7">
        <v>1.0</v>
      </c>
      <c r="Q84" s="7">
        <v>0.0</v>
      </c>
      <c r="R84" s="7">
        <v>0.0</v>
      </c>
      <c r="S84" s="8">
        <v>0.64</v>
      </c>
      <c r="T84" s="7">
        <v>0.0</v>
      </c>
      <c r="U84" s="7">
        <v>0.64</v>
      </c>
      <c r="V84" s="7">
        <v>0.51</v>
      </c>
      <c r="W84" s="7">
        <v>0.51</v>
      </c>
      <c r="X84" s="7" t="s">
        <v>670</v>
      </c>
      <c r="Y84" s="7" t="s">
        <v>684</v>
      </c>
      <c r="AA84" s="50"/>
      <c r="AB84" s="50"/>
      <c r="AC84" s="50"/>
    </row>
    <row r="85">
      <c r="A85" s="7" t="s">
        <v>57</v>
      </c>
      <c r="B85" s="7" t="s">
        <v>25</v>
      </c>
      <c r="C85" s="7" t="s">
        <v>55</v>
      </c>
      <c r="D85" s="7" t="s">
        <v>58</v>
      </c>
      <c r="E85" s="7">
        <v>30.0</v>
      </c>
      <c r="F85" s="7">
        <v>1993.0</v>
      </c>
      <c r="G85" s="7">
        <v>8.0</v>
      </c>
      <c r="H85" s="7">
        <v>5.0</v>
      </c>
      <c r="I85" s="7">
        <v>459.0</v>
      </c>
      <c r="J85" s="7">
        <v>5.1</v>
      </c>
      <c r="K85" s="7">
        <v>1.0</v>
      </c>
      <c r="L85" s="7">
        <v>0.0</v>
      </c>
      <c r="M85" s="7">
        <v>1.0</v>
      </c>
      <c r="N85" s="7">
        <v>1.0</v>
      </c>
      <c r="O85" s="7">
        <v>0.0</v>
      </c>
      <c r="P85" s="7">
        <v>0.0</v>
      </c>
      <c r="Q85" s="7">
        <v>0.0</v>
      </c>
      <c r="R85" s="7">
        <v>0.0</v>
      </c>
      <c r="S85" s="8">
        <v>0.2</v>
      </c>
      <c r="T85" s="7">
        <v>0.0</v>
      </c>
      <c r="U85" s="7">
        <v>0.2</v>
      </c>
      <c r="V85" s="7">
        <v>0.2</v>
      </c>
      <c r="W85" s="7">
        <v>0.2</v>
      </c>
      <c r="X85" s="7" t="s">
        <v>685</v>
      </c>
      <c r="Y85" s="7" t="s">
        <v>686</v>
      </c>
      <c r="AA85" s="50"/>
      <c r="AB85" s="50"/>
      <c r="AC85" s="50"/>
    </row>
    <row r="86">
      <c r="A86" s="7" t="s">
        <v>60</v>
      </c>
      <c r="B86" s="7" t="s">
        <v>34</v>
      </c>
      <c r="C86" s="7" t="s">
        <v>35</v>
      </c>
      <c r="D86" s="7" t="s">
        <v>27</v>
      </c>
      <c r="E86" s="7">
        <v>21.0</v>
      </c>
      <c r="F86" s="7">
        <v>2002.0</v>
      </c>
      <c r="G86" s="7">
        <v>8.0</v>
      </c>
      <c r="H86" s="7">
        <v>2.0</v>
      </c>
      <c r="I86" s="7">
        <v>210.0</v>
      </c>
      <c r="J86" s="7">
        <v>2.3</v>
      </c>
      <c r="K86" s="7">
        <v>1.0</v>
      </c>
      <c r="L86" s="7">
        <v>0.0</v>
      </c>
      <c r="M86" s="7">
        <v>1.0</v>
      </c>
      <c r="N86" s="7">
        <v>1.0</v>
      </c>
      <c r="O86" s="7">
        <v>0.0</v>
      </c>
      <c r="P86" s="7">
        <v>0.0</v>
      </c>
      <c r="Q86" s="7">
        <v>1.0</v>
      </c>
      <c r="R86" s="7">
        <v>0.0</v>
      </c>
      <c r="S86" s="8">
        <v>0.43</v>
      </c>
      <c r="T86" s="7">
        <v>0.0</v>
      </c>
      <c r="U86" s="7">
        <v>0.43</v>
      </c>
      <c r="V86" s="7">
        <v>0.43</v>
      </c>
      <c r="W86" s="7">
        <v>0.43</v>
      </c>
      <c r="X86" s="7" t="s">
        <v>678</v>
      </c>
      <c r="Y86" s="7" t="s">
        <v>687</v>
      </c>
      <c r="AA86" s="50"/>
      <c r="AB86" s="50"/>
      <c r="AC86" s="50"/>
    </row>
    <row r="87">
      <c r="A87" s="7" t="s">
        <v>60</v>
      </c>
      <c r="B87" s="7" t="s">
        <v>34</v>
      </c>
      <c r="C87" s="7" t="s">
        <v>35</v>
      </c>
      <c r="D87" s="7" t="s">
        <v>62</v>
      </c>
      <c r="E87" s="7">
        <v>21.0</v>
      </c>
      <c r="F87" s="7">
        <v>2002.0</v>
      </c>
      <c r="G87" s="7">
        <v>20.0</v>
      </c>
      <c r="H87" s="7">
        <v>14.0</v>
      </c>
      <c r="I87" s="25">
        <v>1360.0</v>
      </c>
      <c r="J87" s="7">
        <v>15.1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4.0</v>
      </c>
      <c r="R87" s="7">
        <v>0.0</v>
      </c>
      <c r="S87" s="8">
        <v>0.0</v>
      </c>
      <c r="T87" s="7">
        <v>0.0</v>
      </c>
      <c r="U87" s="7">
        <v>0.0</v>
      </c>
      <c r="V87" s="7">
        <v>0.0</v>
      </c>
      <c r="W87" s="7">
        <v>0.0</v>
      </c>
      <c r="X87" s="7" t="s">
        <v>688</v>
      </c>
      <c r="Y87" s="7" t="s">
        <v>689</v>
      </c>
      <c r="AA87" s="50"/>
      <c r="AB87" s="50"/>
      <c r="AC87" s="50"/>
    </row>
    <row r="88">
      <c r="A88" s="7" t="s">
        <v>64</v>
      </c>
      <c r="B88" s="7" t="s">
        <v>65</v>
      </c>
      <c r="C88" s="7" t="s">
        <v>55</v>
      </c>
      <c r="D88" s="7" t="s">
        <v>44</v>
      </c>
      <c r="E88" s="7">
        <v>24.0</v>
      </c>
      <c r="F88" s="7">
        <v>1999.0</v>
      </c>
      <c r="G88" s="7">
        <v>11.0</v>
      </c>
      <c r="H88" s="7">
        <v>3.0</v>
      </c>
      <c r="I88" s="7">
        <v>309.0</v>
      </c>
      <c r="J88" s="7">
        <v>3.4</v>
      </c>
      <c r="K88" s="7">
        <v>0.0</v>
      </c>
      <c r="L88" s="7">
        <v>0.0</v>
      </c>
      <c r="M88" s="7">
        <v>0.0</v>
      </c>
      <c r="N88" s="7">
        <v>0.0</v>
      </c>
      <c r="O88" s="7">
        <v>0.0</v>
      </c>
      <c r="P88" s="7">
        <v>0.0</v>
      </c>
      <c r="Q88" s="7">
        <v>0.0</v>
      </c>
      <c r="R88" s="7">
        <v>0.0</v>
      </c>
      <c r="S88" s="8">
        <v>0.0</v>
      </c>
      <c r="T88" s="7">
        <v>0.0</v>
      </c>
      <c r="U88" s="7">
        <v>0.0</v>
      </c>
      <c r="V88" s="7">
        <v>0.0</v>
      </c>
      <c r="W88" s="7">
        <v>0.0</v>
      </c>
      <c r="X88" s="7" t="s">
        <v>690</v>
      </c>
      <c r="Y88" s="24" t="s">
        <v>691</v>
      </c>
      <c r="AA88" s="50"/>
      <c r="AB88" s="50"/>
      <c r="AC88" s="50"/>
    </row>
    <row r="89">
      <c r="A89" s="7" t="s">
        <v>67</v>
      </c>
      <c r="B89" s="7" t="s">
        <v>25</v>
      </c>
      <c r="C89" s="7" t="s">
        <v>26</v>
      </c>
      <c r="D89" s="7" t="s">
        <v>27</v>
      </c>
      <c r="E89" s="7">
        <v>20.0</v>
      </c>
      <c r="F89" s="7">
        <v>2003.0</v>
      </c>
      <c r="G89" s="7">
        <v>22.0</v>
      </c>
      <c r="H89" s="7">
        <v>7.0</v>
      </c>
      <c r="I89" s="7">
        <v>725.0</v>
      </c>
      <c r="J89" s="7">
        <v>8.1</v>
      </c>
      <c r="K89" s="7">
        <v>2.0</v>
      </c>
      <c r="L89" s="7">
        <v>0.0</v>
      </c>
      <c r="M89" s="7">
        <v>2.0</v>
      </c>
      <c r="N89" s="7">
        <v>2.0</v>
      </c>
      <c r="O89" s="7">
        <v>0.0</v>
      </c>
      <c r="P89" s="7">
        <v>0.0</v>
      </c>
      <c r="Q89" s="7">
        <v>3.0</v>
      </c>
      <c r="R89" s="7">
        <v>0.0</v>
      </c>
      <c r="S89" s="8">
        <v>0.25</v>
      </c>
      <c r="T89" s="7">
        <v>0.0</v>
      </c>
      <c r="U89" s="7">
        <v>0.25</v>
      </c>
      <c r="V89" s="7">
        <v>0.25</v>
      </c>
      <c r="W89" s="7">
        <v>0.25</v>
      </c>
      <c r="X89" s="7" t="s">
        <v>810</v>
      </c>
      <c r="Y89" s="24" t="s">
        <v>677</v>
      </c>
      <c r="AA89" s="50"/>
      <c r="AB89" s="50"/>
      <c r="AC89" s="50"/>
    </row>
    <row r="90">
      <c r="A90" s="7" t="s">
        <v>69</v>
      </c>
      <c r="B90" s="7" t="s">
        <v>70</v>
      </c>
      <c r="C90" s="7" t="s">
        <v>47</v>
      </c>
      <c r="D90" s="7" t="s">
        <v>58</v>
      </c>
      <c r="E90" s="7">
        <v>25.0</v>
      </c>
      <c r="F90" s="7">
        <v>1998.0</v>
      </c>
      <c r="G90" s="7">
        <v>13.0</v>
      </c>
      <c r="H90" s="7">
        <v>8.0</v>
      </c>
      <c r="I90" s="7">
        <v>669.0</v>
      </c>
      <c r="J90" s="7">
        <v>7.4</v>
      </c>
      <c r="K90" s="7">
        <v>1.0</v>
      </c>
      <c r="L90" s="7">
        <v>0.0</v>
      </c>
      <c r="M90" s="7">
        <v>1.0</v>
      </c>
      <c r="N90" s="7">
        <v>1.0</v>
      </c>
      <c r="O90" s="7">
        <v>0.0</v>
      </c>
      <c r="P90" s="7">
        <v>0.0</v>
      </c>
      <c r="Q90" s="7">
        <v>3.0</v>
      </c>
      <c r="R90" s="7">
        <v>0.0</v>
      </c>
      <c r="S90" s="8">
        <v>0.13</v>
      </c>
      <c r="T90" s="7">
        <v>0.0</v>
      </c>
      <c r="U90" s="7">
        <v>0.13</v>
      </c>
      <c r="V90" s="7">
        <v>0.13</v>
      </c>
      <c r="W90" s="7">
        <v>0.13</v>
      </c>
      <c r="X90" s="7" t="s">
        <v>693</v>
      </c>
      <c r="Y90" s="7" t="s">
        <v>694</v>
      </c>
      <c r="AA90" s="50"/>
      <c r="AB90" s="50"/>
      <c r="AC90" s="50"/>
    </row>
    <row r="91">
      <c r="A91" s="7" t="s">
        <v>72</v>
      </c>
      <c r="B91" s="7" t="s">
        <v>34</v>
      </c>
      <c r="C91" s="7" t="s">
        <v>35</v>
      </c>
      <c r="D91" s="7" t="s">
        <v>52</v>
      </c>
      <c r="E91" s="7">
        <v>30.0</v>
      </c>
      <c r="F91" s="7">
        <v>1993.0</v>
      </c>
      <c r="G91" s="7">
        <v>9.0</v>
      </c>
      <c r="H91" s="7">
        <v>9.0</v>
      </c>
      <c r="I91" s="25">
        <v>750.0</v>
      </c>
      <c r="J91" s="7">
        <v>8.3</v>
      </c>
      <c r="K91" s="7">
        <v>0.0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Q91" s="7">
        <v>1.0</v>
      </c>
      <c r="R91" s="7">
        <v>0.0</v>
      </c>
      <c r="S91" s="8">
        <v>0.0</v>
      </c>
      <c r="T91" s="7">
        <v>0.0</v>
      </c>
      <c r="U91" s="7">
        <v>0.0</v>
      </c>
      <c r="V91" s="7">
        <v>0.0</v>
      </c>
      <c r="W91" s="7">
        <v>0.0</v>
      </c>
      <c r="X91" s="7" t="s">
        <v>678</v>
      </c>
      <c r="Y91" s="7" t="s">
        <v>695</v>
      </c>
      <c r="AA91" s="50"/>
      <c r="AB91" s="50"/>
      <c r="AC91" s="50"/>
    </row>
    <row r="92">
      <c r="A92" s="7" t="s">
        <v>74</v>
      </c>
      <c r="B92" s="7" t="s">
        <v>25</v>
      </c>
      <c r="C92" s="7" t="s">
        <v>35</v>
      </c>
      <c r="D92" s="7" t="s">
        <v>36</v>
      </c>
      <c r="E92" s="7">
        <v>22.0</v>
      </c>
      <c r="F92" s="7">
        <v>2002.0</v>
      </c>
      <c r="G92" s="7">
        <v>27.0</v>
      </c>
      <c r="H92" s="7">
        <v>25.0</v>
      </c>
      <c r="I92" s="25">
        <v>2097.0</v>
      </c>
      <c r="J92" s="7">
        <v>23.3</v>
      </c>
      <c r="K92" s="7">
        <v>2.0</v>
      </c>
      <c r="L92" s="7">
        <v>1.0</v>
      </c>
      <c r="M92" s="7">
        <v>3.0</v>
      </c>
      <c r="N92" s="7">
        <v>2.0</v>
      </c>
      <c r="O92" s="7">
        <v>0.0</v>
      </c>
      <c r="P92" s="7">
        <v>0.0</v>
      </c>
      <c r="Q92" s="7">
        <v>2.0</v>
      </c>
      <c r="R92" s="7">
        <v>0.0</v>
      </c>
      <c r="S92" s="8">
        <v>0.09</v>
      </c>
      <c r="T92" s="7">
        <v>0.04</v>
      </c>
      <c r="U92" s="7">
        <v>0.13</v>
      </c>
      <c r="V92" s="7">
        <v>0.09</v>
      </c>
      <c r="W92" s="7">
        <v>0.13</v>
      </c>
      <c r="X92" s="7" t="s">
        <v>696</v>
      </c>
      <c r="Y92" s="24" t="s">
        <v>677</v>
      </c>
      <c r="AA92" s="50"/>
      <c r="AB92" s="50"/>
      <c r="AC92" s="50"/>
    </row>
    <row r="93">
      <c r="A93" s="7" t="s">
        <v>76</v>
      </c>
      <c r="B93" s="7" t="s">
        <v>25</v>
      </c>
      <c r="C93" s="7" t="s">
        <v>77</v>
      </c>
      <c r="D93" s="7" t="s">
        <v>36</v>
      </c>
      <c r="E93" s="7">
        <v>18.0</v>
      </c>
      <c r="F93" s="7">
        <v>2005.0</v>
      </c>
      <c r="G93" s="7">
        <v>19.0</v>
      </c>
      <c r="H93" s="7">
        <v>17.0</v>
      </c>
      <c r="I93" s="25">
        <v>1590.0</v>
      </c>
      <c r="J93" s="7">
        <v>17.7</v>
      </c>
      <c r="K93" s="7">
        <v>0.0</v>
      </c>
      <c r="L93" s="7">
        <v>1.0</v>
      </c>
      <c r="M93" s="7">
        <v>1.0</v>
      </c>
      <c r="N93" s="7">
        <v>0.0</v>
      </c>
      <c r="O93" s="7">
        <v>0.0</v>
      </c>
      <c r="P93" s="7">
        <v>0.0</v>
      </c>
      <c r="Q93" s="7">
        <v>1.0</v>
      </c>
      <c r="R93" s="7">
        <v>0.0</v>
      </c>
      <c r="S93" s="8">
        <v>0.0</v>
      </c>
      <c r="T93" s="7">
        <v>0.06</v>
      </c>
      <c r="U93" s="7">
        <v>0.06</v>
      </c>
      <c r="V93" s="7">
        <v>0.0</v>
      </c>
      <c r="W93" s="7">
        <v>0.06</v>
      </c>
      <c r="X93" s="7" t="s">
        <v>676</v>
      </c>
      <c r="Y93" s="24" t="s">
        <v>677</v>
      </c>
      <c r="AA93" s="50"/>
      <c r="AB93" s="50"/>
      <c r="AC93" s="50"/>
    </row>
    <row r="94">
      <c r="A94" s="7" t="s">
        <v>79</v>
      </c>
      <c r="B94" s="7" t="s">
        <v>25</v>
      </c>
      <c r="C94" s="7" t="s">
        <v>35</v>
      </c>
      <c r="D94" s="7" t="s">
        <v>80</v>
      </c>
      <c r="E94" s="7">
        <v>32.0</v>
      </c>
      <c r="F94" s="7">
        <v>1991.0</v>
      </c>
      <c r="G94" s="7">
        <v>26.0</v>
      </c>
      <c r="H94" s="7">
        <v>26.0</v>
      </c>
      <c r="I94" s="25">
        <v>2340.0</v>
      </c>
      <c r="J94" s="7">
        <v>26.0</v>
      </c>
      <c r="K94" s="7">
        <v>0.0</v>
      </c>
      <c r="L94" s="7">
        <v>0.0</v>
      </c>
      <c r="M94" s="7">
        <v>0.0</v>
      </c>
      <c r="N94" s="7">
        <v>0.0</v>
      </c>
      <c r="O94" s="7">
        <v>0.0</v>
      </c>
      <c r="P94" s="7">
        <v>0.0</v>
      </c>
      <c r="Q94" s="7">
        <v>3.0</v>
      </c>
      <c r="R94" s="7">
        <v>0.0</v>
      </c>
      <c r="S94" s="8">
        <v>0.0</v>
      </c>
      <c r="T94" s="7">
        <v>0.0</v>
      </c>
      <c r="U94" s="7">
        <v>0.0</v>
      </c>
      <c r="V94" s="7">
        <v>0.0</v>
      </c>
      <c r="W94" s="7">
        <v>0.0</v>
      </c>
      <c r="X94" s="7" t="s">
        <v>676</v>
      </c>
      <c r="Y94" s="24" t="s">
        <v>697</v>
      </c>
      <c r="AA94" s="50"/>
      <c r="AB94" s="50"/>
      <c r="AC94" s="50"/>
    </row>
    <row r="95">
      <c r="A95" s="7" t="s">
        <v>82</v>
      </c>
      <c r="B95" s="7" t="s">
        <v>25</v>
      </c>
      <c r="C95" s="7" t="s">
        <v>83</v>
      </c>
      <c r="D95" s="7" t="s">
        <v>27</v>
      </c>
      <c r="E95" s="7">
        <v>26.0</v>
      </c>
      <c r="F95" s="7">
        <v>1997.0</v>
      </c>
      <c r="G95" s="7">
        <v>30.0</v>
      </c>
      <c r="H95" s="7">
        <v>29.0</v>
      </c>
      <c r="I95" s="25">
        <v>2552.0</v>
      </c>
      <c r="J95" s="7">
        <v>28.4</v>
      </c>
      <c r="K95" s="7">
        <v>1.0</v>
      </c>
      <c r="L95" s="7">
        <v>1.0</v>
      </c>
      <c r="M95" s="7">
        <v>2.0</v>
      </c>
      <c r="N95" s="7">
        <v>1.0</v>
      </c>
      <c r="O95" s="7">
        <v>0.0</v>
      </c>
      <c r="P95" s="7">
        <v>0.0</v>
      </c>
      <c r="Q95" s="7">
        <v>5.0</v>
      </c>
      <c r="R95" s="7">
        <v>0.0</v>
      </c>
      <c r="S95" s="8">
        <v>0.04</v>
      </c>
      <c r="T95" s="7">
        <v>0.04</v>
      </c>
      <c r="U95" s="7">
        <v>0.07</v>
      </c>
      <c r="V95" s="7">
        <v>0.04</v>
      </c>
      <c r="W95" s="7">
        <v>0.07</v>
      </c>
      <c r="X95" s="7" t="s">
        <v>676</v>
      </c>
      <c r="Y95" s="7" t="s">
        <v>668</v>
      </c>
      <c r="AA95" s="50"/>
      <c r="AB95" s="50"/>
      <c r="AC95" s="50"/>
    </row>
    <row r="96">
      <c r="A96" s="7" t="s">
        <v>85</v>
      </c>
      <c r="B96" s="7" t="s">
        <v>25</v>
      </c>
      <c r="C96" s="7" t="s">
        <v>26</v>
      </c>
      <c r="D96" s="7" t="s">
        <v>62</v>
      </c>
      <c r="E96" s="7">
        <v>24.0</v>
      </c>
      <c r="F96" s="7">
        <v>1999.0</v>
      </c>
      <c r="G96" s="7">
        <v>16.0</v>
      </c>
      <c r="H96" s="7">
        <v>10.0</v>
      </c>
      <c r="I96" s="7">
        <v>796.0</v>
      </c>
      <c r="J96" s="7">
        <v>8.8</v>
      </c>
      <c r="K96" s="7">
        <v>1.0</v>
      </c>
      <c r="L96" s="7">
        <v>2.0</v>
      </c>
      <c r="M96" s="7">
        <v>3.0</v>
      </c>
      <c r="N96" s="7">
        <v>1.0</v>
      </c>
      <c r="O96" s="7">
        <v>0.0</v>
      </c>
      <c r="P96" s="7">
        <v>0.0</v>
      </c>
      <c r="Q96" s="7">
        <v>4.0</v>
      </c>
      <c r="R96" s="7">
        <v>1.0</v>
      </c>
      <c r="S96" s="8">
        <v>0.11</v>
      </c>
      <c r="T96" s="7">
        <v>0.23</v>
      </c>
      <c r="U96" s="7">
        <v>0.34</v>
      </c>
      <c r="V96" s="7">
        <v>0.11</v>
      </c>
      <c r="W96" s="7">
        <v>0.34</v>
      </c>
      <c r="X96" s="7" t="s">
        <v>667</v>
      </c>
      <c r="Y96" s="7" t="s">
        <v>695</v>
      </c>
      <c r="AA96" s="50"/>
      <c r="AB96" s="50"/>
      <c r="AC96" s="50"/>
    </row>
    <row r="97">
      <c r="A97" s="7" t="s">
        <v>85</v>
      </c>
      <c r="B97" s="7" t="s">
        <v>25</v>
      </c>
      <c r="C97" s="7" t="s">
        <v>87</v>
      </c>
      <c r="D97" s="7" t="s">
        <v>80</v>
      </c>
      <c r="E97" s="7">
        <v>24.0</v>
      </c>
      <c r="F97" s="7">
        <v>1999.0</v>
      </c>
      <c r="G97" s="7">
        <v>12.0</v>
      </c>
      <c r="H97" s="7">
        <v>12.0</v>
      </c>
      <c r="I97" s="25">
        <v>1025.0</v>
      </c>
      <c r="J97" s="7">
        <v>11.4</v>
      </c>
      <c r="K97" s="7">
        <v>0.0</v>
      </c>
      <c r="L97" s="7">
        <v>0.0</v>
      </c>
      <c r="M97" s="7">
        <v>0.0</v>
      </c>
      <c r="N97" s="7">
        <v>0.0</v>
      </c>
      <c r="O97" s="7">
        <v>0.0</v>
      </c>
      <c r="P97" s="7">
        <v>0.0</v>
      </c>
      <c r="Q97" s="7">
        <v>5.0</v>
      </c>
      <c r="R97" s="7">
        <v>0.0</v>
      </c>
      <c r="S97" s="8">
        <v>0.0</v>
      </c>
      <c r="T97" s="7">
        <v>0.0</v>
      </c>
      <c r="U97" s="7">
        <v>0.0</v>
      </c>
      <c r="V97" s="7">
        <v>0.0</v>
      </c>
      <c r="W97" s="7">
        <v>0.0</v>
      </c>
      <c r="X97" s="7" t="s">
        <v>698</v>
      </c>
      <c r="Y97" s="24" t="s">
        <v>697</v>
      </c>
      <c r="AA97" s="50"/>
      <c r="AB97" s="50"/>
      <c r="AC97" s="50"/>
    </row>
    <row r="98">
      <c r="A98" s="7" t="s">
        <v>89</v>
      </c>
      <c r="B98" s="7" t="s">
        <v>34</v>
      </c>
      <c r="C98" s="7" t="s">
        <v>35</v>
      </c>
      <c r="D98" s="7" t="s">
        <v>80</v>
      </c>
      <c r="E98" s="7">
        <v>25.0</v>
      </c>
      <c r="F98" s="7">
        <v>1998.0</v>
      </c>
      <c r="G98" s="7">
        <v>22.0</v>
      </c>
      <c r="H98" s="7">
        <v>22.0</v>
      </c>
      <c r="I98" s="25">
        <v>1979.0</v>
      </c>
      <c r="J98" s="7">
        <v>22.0</v>
      </c>
      <c r="K98" s="7">
        <v>0.0</v>
      </c>
      <c r="L98" s="7">
        <v>1.0</v>
      </c>
      <c r="M98" s="7">
        <v>1.0</v>
      </c>
      <c r="N98" s="7">
        <v>0.0</v>
      </c>
      <c r="O98" s="7">
        <v>0.0</v>
      </c>
      <c r="P98" s="7">
        <v>0.0</v>
      </c>
      <c r="Q98" s="7">
        <v>5.0</v>
      </c>
      <c r="R98" s="7">
        <v>1.0</v>
      </c>
      <c r="S98" s="8">
        <v>0.0</v>
      </c>
      <c r="T98" s="7">
        <v>0.05</v>
      </c>
      <c r="U98" s="7">
        <v>0.05</v>
      </c>
      <c r="V98" s="7">
        <v>0.0</v>
      </c>
      <c r="W98" s="7">
        <v>0.05</v>
      </c>
      <c r="X98" s="7" t="s">
        <v>699</v>
      </c>
      <c r="Y98" s="24" t="s">
        <v>700</v>
      </c>
      <c r="AA98" s="50"/>
      <c r="AB98" s="50"/>
      <c r="AC98" s="50"/>
    </row>
    <row r="99">
      <c r="A99" s="7" t="s">
        <v>91</v>
      </c>
      <c r="B99" s="7" t="s">
        <v>70</v>
      </c>
      <c r="C99" s="7" t="s">
        <v>47</v>
      </c>
      <c r="D99" s="7" t="s">
        <v>44</v>
      </c>
      <c r="E99" s="7">
        <v>21.0</v>
      </c>
      <c r="F99" s="7">
        <v>2002.0</v>
      </c>
      <c r="G99" s="7">
        <v>11.0</v>
      </c>
      <c r="H99" s="7">
        <v>7.0</v>
      </c>
      <c r="I99" s="7">
        <v>589.0</v>
      </c>
      <c r="J99" s="7">
        <v>6.5</v>
      </c>
      <c r="K99" s="7">
        <v>2.0</v>
      </c>
      <c r="L99" s="7">
        <v>0.0</v>
      </c>
      <c r="M99" s="7">
        <v>2.0</v>
      </c>
      <c r="N99" s="7">
        <v>2.0</v>
      </c>
      <c r="O99" s="7">
        <v>0.0</v>
      </c>
      <c r="P99" s="7">
        <v>0.0</v>
      </c>
      <c r="Q99" s="7">
        <v>1.0</v>
      </c>
      <c r="R99" s="7">
        <v>0.0</v>
      </c>
      <c r="S99" s="8">
        <v>0.31</v>
      </c>
      <c r="T99" s="7">
        <v>0.0</v>
      </c>
      <c r="U99" s="7">
        <v>0.31</v>
      </c>
      <c r="V99" s="7">
        <v>0.31</v>
      </c>
      <c r="W99" s="7">
        <v>0.31</v>
      </c>
      <c r="X99" s="7" t="s">
        <v>810</v>
      </c>
      <c r="Y99" s="24" t="s">
        <v>701</v>
      </c>
      <c r="AA99" s="50"/>
      <c r="AB99" s="50"/>
      <c r="AC99" s="50"/>
    </row>
    <row r="100">
      <c r="A100" s="7" t="s">
        <v>93</v>
      </c>
      <c r="B100" s="7" t="s">
        <v>94</v>
      </c>
      <c r="C100" s="7" t="s">
        <v>83</v>
      </c>
      <c r="D100" s="7" t="s">
        <v>27</v>
      </c>
      <c r="E100" s="7">
        <v>23.0</v>
      </c>
      <c r="F100" s="7">
        <v>2000.0</v>
      </c>
      <c r="G100" s="7">
        <v>18.0</v>
      </c>
      <c r="H100" s="7">
        <v>13.0</v>
      </c>
      <c r="I100" s="25">
        <v>1176.0</v>
      </c>
      <c r="J100" s="7">
        <v>13.1</v>
      </c>
      <c r="K100" s="7">
        <v>0.0</v>
      </c>
      <c r="L100" s="7">
        <v>1.0</v>
      </c>
      <c r="M100" s="7">
        <v>1.0</v>
      </c>
      <c r="N100" s="7">
        <v>0.0</v>
      </c>
      <c r="O100" s="7">
        <v>0.0</v>
      </c>
      <c r="P100" s="7">
        <v>0.0</v>
      </c>
      <c r="Q100" s="7">
        <v>2.0</v>
      </c>
      <c r="R100" s="7">
        <v>0.0</v>
      </c>
      <c r="S100" s="8">
        <v>0.0</v>
      </c>
      <c r="T100" s="7">
        <v>0.08</v>
      </c>
      <c r="U100" s="7">
        <v>0.08</v>
      </c>
      <c r="V100" s="7">
        <v>0.0</v>
      </c>
      <c r="W100" s="7">
        <v>0.08</v>
      </c>
      <c r="X100" s="7" t="s">
        <v>810</v>
      </c>
      <c r="Y100" s="24" t="s">
        <v>691</v>
      </c>
      <c r="AA100" s="50"/>
      <c r="AB100" s="50"/>
      <c r="AC100" s="50"/>
    </row>
    <row r="101">
      <c r="A101" s="7" t="s">
        <v>96</v>
      </c>
      <c r="B101" s="7" t="s">
        <v>97</v>
      </c>
      <c r="C101" s="7" t="s">
        <v>26</v>
      </c>
      <c r="D101" s="7" t="s">
        <v>98</v>
      </c>
      <c r="E101" s="7">
        <v>22.0</v>
      </c>
      <c r="F101" s="7">
        <v>2002.0</v>
      </c>
      <c r="G101" s="7">
        <v>18.0</v>
      </c>
      <c r="H101" s="7">
        <v>16.0</v>
      </c>
      <c r="I101" s="25">
        <v>1446.0</v>
      </c>
      <c r="J101" s="7">
        <v>16.1</v>
      </c>
      <c r="K101" s="7">
        <v>0.0</v>
      </c>
      <c r="L101" s="7">
        <v>3.0</v>
      </c>
      <c r="M101" s="7">
        <v>3.0</v>
      </c>
      <c r="N101" s="7">
        <v>0.0</v>
      </c>
      <c r="O101" s="7">
        <v>0.0</v>
      </c>
      <c r="P101" s="7">
        <v>0.0</v>
      </c>
      <c r="Q101" s="7">
        <v>0.0</v>
      </c>
      <c r="R101" s="7">
        <v>0.0</v>
      </c>
      <c r="S101" s="8">
        <v>0.0</v>
      </c>
      <c r="T101" s="7">
        <v>0.19</v>
      </c>
      <c r="U101" s="7">
        <v>0.19</v>
      </c>
      <c r="V101" s="7">
        <v>0.0</v>
      </c>
      <c r="W101" s="7">
        <v>0.19</v>
      </c>
      <c r="X101" s="7" t="s">
        <v>676</v>
      </c>
      <c r="Y101" s="24" t="s">
        <v>702</v>
      </c>
      <c r="AA101" s="50"/>
      <c r="AB101" s="50"/>
      <c r="AC101" s="50"/>
    </row>
    <row r="102">
      <c r="A102" s="7" t="s">
        <v>100</v>
      </c>
      <c r="B102" s="7" t="s">
        <v>101</v>
      </c>
      <c r="C102" s="7" t="s">
        <v>35</v>
      </c>
      <c r="D102" s="7" t="s">
        <v>44</v>
      </c>
      <c r="E102" s="7">
        <v>23.0</v>
      </c>
      <c r="F102" s="7">
        <v>2000.0</v>
      </c>
      <c r="G102" s="7">
        <v>2.0</v>
      </c>
      <c r="H102" s="7">
        <v>1.0</v>
      </c>
      <c r="I102" s="7">
        <v>60.0</v>
      </c>
      <c r="J102" s="7">
        <v>0.7</v>
      </c>
      <c r="K102" s="7">
        <v>0.0</v>
      </c>
      <c r="L102" s="7">
        <v>0.0</v>
      </c>
      <c r="M102" s="7">
        <v>0.0</v>
      </c>
      <c r="N102" s="7">
        <v>0.0</v>
      </c>
      <c r="O102" s="7">
        <v>0.0</v>
      </c>
      <c r="P102" s="7">
        <v>0.0</v>
      </c>
      <c r="Q102" s="7">
        <v>0.0</v>
      </c>
      <c r="R102" s="7">
        <v>0.0</v>
      </c>
      <c r="S102" s="8">
        <v>0.0</v>
      </c>
      <c r="T102" s="7">
        <v>0.0</v>
      </c>
      <c r="U102" s="7">
        <v>0.0</v>
      </c>
      <c r="V102" s="7">
        <v>0.0</v>
      </c>
      <c r="W102" s="7">
        <v>0.0</v>
      </c>
      <c r="X102" s="7" t="s">
        <v>810</v>
      </c>
      <c r="Y102" s="24" t="s">
        <v>691</v>
      </c>
      <c r="AA102" s="50"/>
      <c r="AB102" s="50"/>
      <c r="AC102" s="50"/>
    </row>
    <row r="103">
      <c r="A103" s="7" t="s">
        <v>103</v>
      </c>
      <c r="B103" s="7" t="s">
        <v>97</v>
      </c>
      <c r="C103" s="7" t="s">
        <v>83</v>
      </c>
      <c r="D103" s="7" t="s">
        <v>52</v>
      </c>
      <c r="E103" s="7">
        <v>26.0</v>
      </c>
      <c r="F103" s="7">
        <v>1997.0</v>
      </c>
      <c r="G103" s="7">
        <v>26.0</v>
      </c>
      <c r="H103" s="7">
        <v>20.0</v>
      </c>
      <c r="I103" s="25">
        <v>1662.0</v>
      </c>
      <c r="J103" s="7">
        <v>18.5</v>
      </c>
      <c r="K103" s="7">
        <v>1.0</v>
      </c>
      <c r="L103" s="7">
        <v>2.0</v>
      </c>
      <c r="M103" s="7">
        <v>3.0</v>
      </c>
      <c r="N103" s="7">
        <v>1.0</v>
      </c>
      <c r="O103" s="7">
        <v>0.0</v>
      </c>
      <c r="P103" s="7">
        <v>0.0</v>
      </c>
      <c r="Q103" s="7">
        <v>2.0</v>
      </c>
      <c r="R103" s="7">
        <v>0.0</v>
      </c>
      <c r="S103" s="8">
        <v>0.05</v>
      </c>
      <c r="T103" s="7">
        <v>0.11</v>
      </c>
      <c r="U103" s="7">
        <v>0.16</v>
      </c>
      <c r="V103" s="7">
        <v>0.05</v>
      </c>
      <c r="W103" s="7">
        <v>0.16</v>
      </c>
      <c r="X103" s="7" t="s">
        <v>810</v>
      </c>
      <c r="Y103" s="24" t="s">
        <v>703</v>
      </c>
      <c r="AA103" s="50"/>
      <c r="AB103" s="50"/>
      <c r="AC103" s="50"/>
    </row>
    <row r="104">
      <c r="A104" s="7" t="s">
        <v>105</v>
      </c>
      <c r="B104" s="7" t="s">
        <v>25</v>
      </c>
      <c r="C104" s="7" t="s">
        <v>26</v>
      </c>
      <c r="D104" s="7" t="s">
        <v>98</v>
      </c>
      <c r="E104" s="7">
        <v>20.0</v>
      </c>
      <c r="F104" s="7">
        <v>2003.0</v>
      </c>
      <c r="G104" s="7">
        <v>29.0</v>
      </c>
      <c r="H104" s="7">
        <v>19.0</v>
      </c>
      <c r="I104" s="25">
        <v>1698.0</v>
      </c>
      <c r="J104" s="7">
        <v>18.9</v>
      </c>
      <c r="K104" s="7">
        <v>2.0</v>
      </c>
      <c r="L104" s="7">
        <v>3.0</v>
      </c>
      <c r="M104" s="7">
        <v>5.0</v>
      </c>
      <c r="N104" s="7">
        <v>2.0</v>
      </c>
      <c r="O104" s="7">
        <v>0.0</v>
      </c>
      <c r="P104" s="7">
        <v>0.0</v>
      </c>
      <c r="Q104" s="7">
        <v>6.0</v>
      </c>
      <c r="R104" s="7">
        <v>0.0</v>
      </c>
      <c r="S104" s="8">
        <v>0.11</v>
      </c>
      <c r="T104" s="7">
        <v>0.16</v>
      </c>
      <c r="U104" s="7">
        <v>0.27</v>
      </c>
      <c r="V104" s="7">
        <v>0.11</v>
      </c>
      <c r="W104" s="7">
        <v>0.27</v>
      </c>
      <c r="X104" s="7" t="s">
        <v>810</v>
      </c>
      <c r="Y104" s="24" t="s">
        <v>697</v>
      </c>
      <c r="AA104" s="50"/>
      <c r="AB104" s="50"/>
      <c r="AC104" s="50"/>
    </row>
    <row r="105">
      <c r="A105" s="7" t="s">
        <v>107</v>
      </c>
      <c r="B105" s="7" t="s">
        <v>97</v>
      </c>
      <c r="C105" s="7" t="s">
        <v>35</v>
      </c>
      <c r="D105" s="7" t="s">
        <v>62</v>
      </c>
      <c r="E105" s="7">
        <v>24.0</v>
      </c>
      <c r="F105" s="7">
        <v>1999.0</v>
      </c>
      <c r="G105" s="7">
        <v>11.0</v>
      </c>
      <c r="H105" s="7">
        <v>4.0</v>
      </c>
      <c r="I105" s="7">
        <v>385.0</v>
      </c>
      <c r="J105" s="7">
        <v>4.3</v>
      </c>
      <c r="K105" s="7">
        <v>0.0</v>
      </c>
      <c r="L105" s="7">
        <v>0.0</v>
      </c>
      <c r="M105" s="7">
        <v>0.0</v>
      </c>
      <c r="N105" s="7">
        <v>0.0</v>
      </c>
      <c r="O105" s="7">
        <v>0.0</v>
      </c>
      <c r="P105" s="7">
        <v>0.0</v>
      </c>
      <c r="Q105" s="7">
        <v>2.0</v>
      </c>
      <c r="R105" s="7">
        <v>0.0</v>
      </c>
      <c r="S105" s="8">
        <v>0.0</v>
      </c>
      <c r="T105" s="7">
        <v>0.0</v>
      </c>
      <c r="U105" s="7">
        <v>0.0</v>
      </c>
      <c r="V105" s="7">
        <v>0.0</v>
      </c>
      <c r="W105" s="7">
        <v>0.0</v>
      </c>
      <c r="X105" s="7" t="s">
        <v>704</v>
      </c>
      <c r="Y105" s="7" t="s">
        <v>668</v>
      </c>
      <c r="AA105" s="50"/>
      <c r="AB105" s="50"/>
      <c r="AC105" s="50"/>
    </row>
    <row r="106">
      <c r="A106" s="7" t="s">
        <v>109</v>
      </c>
      <c r="B106" s="7" t="s">
        <v>34</v>
      </c>
      <c r="C106" s="7" t="s">
        <v>35</v>
      </c>
      <c r="D106" s="7" t="s">
        <v>80</v>
      </c>
      <c r="E106" s="7">
        <v>19.0</v>
      </c>
      <c r="F106" s="7">
        <v>2004.0</v>
      </c>
      <c r="G106" s="7">
        <v>4.0</v>
      </c>
      <c r="H106" s="7">
        <v>3.0</v>
      </c>
      <c r="I106" s="7">
        <v>284.0</v>
      </c>
      <c r="J106" s="7">
        <v>3.2</v>
      </c>
      <c r="K106" s="7">
        <v>0.0</v>
      </c>
      <c r="L106" s="7">
        <v>0.0</v>
      </c>
      <c r="M106" s="7">
        <v>0.0</v>
      </c>
      <c r="N106" s="7">
        <v>0.0</v>
      </c>
      <c r="O106" s="7">
        <v>0.0</v>
      </c>
      <c r="P106" s="7">
        <v>0.0</v>
      </c>
      <c r="Q106" s="7">
        <v>1.0</v>
      </c>
      <c r="R106" s="7">
        <v>0.0</v>
      </c>
      <c r="S106" s="8">
        <v>0.0</v>
      </c>
      <c r="T106" s="7">
        <v>0.0</v>
      </c>
      <c r="U106" s="7">
        <v>0.0</v>
      </c>
      <c r="V106" s="7">
        <v>0.0</v>
      </c>
      <c r="W106" s="7">
        <v>0.0</v>
      </c>
      <c r="X106" s="7" t="s">
        <v>704</v>
      </c>
      <c r="Y106" s="7" t="s">
        <v>668</v>
      </c>
      <c r="AA106" s="50"/>
      <c r="AB106" s="50"/>
      <c r="AC106" s="50"/>
    </row>
    <row r="107">
      <c r="A107" s="7" t="s">
        <v>111</v>
      </c>
      <c r="B107" s="7" t="s">
        <v>25</v>
      </c>
      <c r="C107" s="7" t="s">
        <v>47</v>
      </c>
      <c r="D107" s="7" t="s">
        <v>27</v>
      </c>
      <c r="E107" s="7">
        <v>23.0</v>
      </c>
      <c r="F107" s="7">
        <v>2000.0</v>
      </c>
      <c r="G107" s="7">
        <v>34.0</v>
      </c>
      <c r="H107" s="7">
        <v>27.0</v>
      </c>
      <c r="I107" s="25">
        <v>2279.0</v>
      </c>
      <c r="J107" s="7">
        <v>25.3</v>
      </c>
      <c r="K107" s="7">
        <v>6.0</v>
      </c>
      <c r="L107" s="7">
        <v>13.0</v>
      </c>
      <c r="M107" s="7">
        <v>19.0</v>
      </c>
      <c r="N107" s="7">
        <v>5.0</v>
      </c>
      <c r="O107" s="7">
        <v>1.0</v>
      </c>
      <c r="P107" s="7">
        <v>1.0</v>
      </c>
      <c r="Q107" s="7">
        <v>2.0</v>
      </c>
      <c r="R107" s="7">
        <v>0.0</v>
      </c>
      <c r="S107" s="8">
        <v>0.24</v>
      </c>
      <c r="T107" s="7">
        <v>0.51</v>
      </c>
      <c r="U107" s="7">
        <v>0.75</v>
      </c>
      <c r="V107" s="7">
        <v>0.2</v>
      </c>
      <c r="W107" s="7">
        <v>0.71</v>
      </c>
      <c r="X107" s="7" t="s">
        <v>705</v>
      </c>
      <c r="Y107" s="24" t="s">
        <v>702</v>
      </c>
      <c r="AA107" s="50"/>
      <c r="AB107" s="50"/>
      <c r="AC107" s="50"/>
    </row>
    <row r="108">
      <c r="A108" s="7" t="s">
        <v>113</v>
      </c>
      <c r="B108" s="7" t="s">
        <v>25</v>
      </c>
      <c r="C108" s="7" t="s">
        <v>77</v>
      </c>
      <c r="D108" s="7" t="s">
        <v>62</v>
      </c>
      <c r="E108" s="7">
        <v>38.0</v>
      </c>
      <c r="F108" s="7">
        <v>1985.0</v>
      </c>
      <c r="G108" s="7">
        <v>36.0</v>
      </c>
      <c r="H108" s="7">
        <v>36.0</v>
      </c>
      <c r="I108" s="25">
        <v>3240.0</v>
      </c>
      <c r="J108" s="7">
        <v>36.0</v>
      </c>
      <c r="K108" s="7">
        <v>0.0</v>
      </c>
      <c r="L108" s="7">
        <v>0.0</v>
      </c>
      <c r="M108" s="7">
        <v>0.0</v>
      </c>
      <c r="N108" s="7">
        <v>0.0</v>
      </c>
      <c r="O108" s="7">
        <v>0.0</v>
      </c>
      <c r="P108" s="7">
        <v>0.0</v>
      </c>
      <c r="Q108" s="7">
        <v>2.0</v>
      </c>
      <c r="R108" s="7">
        <v>0.0</v>
      </c>
      <c r="S108" s="8">
        <v>0.0</v>
      </c>
      <c r="T108" s="7">
        <v>0.0</v>
      </c>
      <c r="U108" s="7">
        <v>0.0</v>
      </c>
      <c r="V108" s="7">
        <v>0.0</v>
      </c>
      <c r="W108" s="7">
        <v>0.0</v>
      </c>
      <c r="X108" s="7" t="s">
        <v>810</v>
      </c>
      <c r="Y108" s="24" t="s">
        <v>677</v>
      </c>
      <c r="AA108" s="50"/>
      <c r="AB108" s="50"/>
      <c r="AC108" s="50"/>
    </row>
    <row r="109">
      <c r="A109" s="7" t="s">
        <v>115</v>
      </c>
      <c r="B109" s="7" t="s">
        <v>25</v>
      </c>
      <c r="C109" s="7" t="s">
        <v>77</v>
      </c>
      <c r="D109" s="7" t="s">
        <v>52</v>
      </c>
      <c r="E109" s="7">
        <v>23.0</v>
      </c>
      <c r="F109" s="7">
        <v>2000.0</v>
      </c>
      <c r="G109" s="7">
        <v>36.0</v>
      </c>
      <c r="H109" s="7">
        <v>36.0</v>
      </c>
      <c r="I109" s="25">
        <v>3240.0</v>
      </c>
      <c r="J109" s="7">
        <v>36.0</v>
      </c>
      <c r="K109" s="7">
        <v>0.0</v>
      </c>
      <c r="L109" s="7">
        <v>0.0</v>
      </c>
      <c r="M109" s="7">
        <v>0.0</v>
      </c>
      <c r="N109" s="7">
        <v>0.0</v>
      </c>
      <c r="O109" s="7">
        <v>0.0</v>
      </c>
      <c r="P109" s="7">
        <v>0.0</v>
      </c>
      <c r="Q109" s="7">
        <v>3.0</v>
      </c>
      <c r="R109" s="7">
        <v>0.0</v>
      </c>
      <c r="S109" s="8">
        <v>0.0</v>
      </c>
      <c r="T109" s="7">
        <v>0.0</v>
      </c>
      <c r="U109" s="7">
        <v>0.0</v>
      </c>
      <c r="V109" s="7">
        <v>0.0</v>
      </c>
      <c r="W109" s="7">
        <v>0.0</v>
      </c>
      <c r="X109" s="7" t="s">
        <v>810</v>
      </c>
      <c r="Y109" s="24" t="s">
        <v>700</v>
      </c>
      <c r="AA109" s="50"/>
      <c r="AB109" s="50"/>
      <c r="AC109" s="50"/>
    </row>
    <row r="110">
      <c r="A110" s="7" t="s">
        <v>117</v>
      </c>
      <c r="B110" s="7" t="s">
        <v>25</v>
      </c>
      <c r="C110" s="7" t="s">
        <v>26</v>
      </c>
      <c r="D110" s="7" t="s">
        <v>44</v>
      </c>
      <c r="E110" s="7">
        <v>22.0</v>
      </c>
      <c r="F110" s="7">
        <v>2001.0</v>
      </c>
      <c r="G110" s="7">
        <v>16.0</v>
      </c>
      <c r="H110" s="7">
        <v>4.0</v>
      </c>
      <c r="I110" s="7">
        <v>415.0</v>
      </c>
      <c r="J110" s="7">
        <v>4.6</v>
      </c>
      <c r="K110" s="7">
        <v>0.0</v>
      </c>
      <c r="L110" s="7">
        <v>0.0</v>
      </c>
      <c r="M110" s="7">
        <v>0.0</v>
      </c>
      <c r="N110" s="7">
        <v>0.0</v>
      </c>
      <c r="O110" s="7">
        <v>0.0</v>
      </c>
      <c r="P110" s="7">
        <v>0.0</v>
      </c>
      <c r="Q110" s="7">
        <v>2.0</v>
      </c>
      <c r="R110" s="7">
        <v>0.0</v>
      </c>
      <c r="S110" s="8">
        <v>0.0</v>
      </c>
      <c r="T110" s="7">
        <v>0.0</v>
      </c>
      <c r="U110" s="7">
        <v>0.0</v>
      </c>
      <c r="V110" s="7">
        <v>0.0</v>
      </c>
      <c r="W110" s="7">
        <v>0.0</v>
      </c>
      <c r="X110" s="7" t="s">
        <v>810</v>
      </c>
      <c r="Y110" s="24" t="s">
        <v>677</v>
      </c>
      <c r="AA110" s="50"/>
      <c r="AB110" s="50"/>
      <c r="AC110" s="50"/>
    </row>
    <row r="111">
      <c r="A111" s="7" t="s">
        <v>119</v>
      </c>
      <c r="B111" s="7" t="s">
        <v>25</v>
      </c>
      <c r="C111" s="7" t="s">
        <v>55</v>
      </c>
      <c r="D111" s="7" t="s">
        <v>36</v>
      </c>
      <c r="E111" s="7">
        <v>20.0</v>
      </c>
      <c r="F111" s="7">
        <v>2003.0</v>
      </c>
      <c r="G111" s="7">
        <v>1.0</v>
      </c>
      <c r="H111" s="7">
        <v>0.0</v>
      </c>
      <c r="I111" s="7">
        <v>34.0</v>
      </c>
      <c r="J111" s="7">
        <v>0.4</v>
      </c>
      <c r="K111" s="7">
        <v>1.0</v>
      </c>
      <c r="L111" s="7">
        <v>0.0</v>
      </c>
      <c r="M111" s="7">
        <v>1.0</v>
      </c>
      <c r="N111" s="7">
        <v>1.0</v>
      </c>
      <c r="O111" s="7">
        <v>0.0</v>
      </c>
      <c r="P111" s="7">
        <v>0.0</v>
      </c>
      <c r="Q111" s="7">
        <v>0.0</v>
      </c>
      <c r="R111" s="7">
        <v>0.0</v>
      </c>
      <c r="S111" s="8">
        <v>2.65</v>
      </c>
      <c r="T111" s="7">
        <v>0.0</v>
      </c>
      <c r="U111" s="7">
        <v>2.65</v>
      </c>
      <c r="V111" s="7">
        <v>2.65</v>
      </c>
      <c r="W111" s="7">
        <v>2.65</v>
      </c>
      <c r="X111" s="7" t="s">
        <v>810</v>
      </c>
      <c r="Y111" s="24" t="s">
        <v>706</v>
      </c>
      <c r="AA111" s="50"/>
      <c r="AB111" s="50"/>
      <c r="AC111" s="50"/>
    </row>
    <row r="112">
      <c r="A112" s="7" t="s">
        <v>121</v>
      </c>
      <c r="B112" s="7" t="s">
        <v>97</v>
      </c>
      <c r="C112" s="7" t="s">
        <v>83</v>
      </c>
      <c r="D112" s="7" t="s">
        <v>52</v>
      </c>
      <c r="E112" s="7">
        <v>27.0</v>
      </c>
      <c r="F112" s="7">
        <v>1996.0</v>
      </c>
      <c r="G112" s="7">
        <v>15.0</v>
      </c>
      <c r="H112" s="7">
        <v>12.0</v>
      </c>
      <c r="I112" s="25">
        <v>1039.0</v>
      </c>
      <c r="J112" s="7">
        <v>11.5</v>
      </c>
      <c r="K112" s="7">
        <v>1.0</v>
      </c>
      <c r="L112" s="7">
        <v>0.0</v>
      </c>
      <c r="M112" s="7">
        <v>1.0</v>
      </c>
      <c r="N112" s="7">
        <v>1.0</v>
      </c>
      <c r="O112" s="7">
        <v>0.0</v>
      </c>
      <c r="P112" s="7">
        <v>0.0</v>
      </c>
      <c r="Q112" s="7">
        <v>0.0</v>
      </c>
      <c r="R112" s="7">
        <v>0.0</v>
      </c>
      <c r="S112" s="8">
        <v>0.09</v>
      </c>
      <c r="T112" s="7">
        <v>0.0</v>
      </c>
      <c r="U112" s="7">
        <v>0.09</v>
      </c>
      <c r="V112" s="7">
        <v>0.09</v>
      </c>
      <c r="W112" s="7">
        <v>0.09</v>
      </c>
      <c r="X112" s="7" t="s">
        <v>685</v>
      </c>
      <c r="Y112" s="7" t="s">
        <v>707</v>
      </c>
      <c r="AA112" s="50"/>
      <c r="AB112" s="50"/>
      <c r="AC112" s="50"/>
    </row>
    <row r="113">
      <c r="A113" s="7" t="s">
        <v>123</v>
      </c>
      <c r="B113" s="7" t="s">
        <v>70</v>
      </c>
      <c r="C113" s="7" t="s">
        <v>30</v>
      </c>
      <c r="D113" s="7" t="s">
        <v>80</v>
      </c>
      <c r="E113" s="7">
        <v>24.0</v>
      </c>
      <c r="F113" s="7">
        <v>1999.0</v>
      </c>
      <c r="G113" s="7">
        <v>17.0</v>
      </c>
      <c r="H113" s="7">
        <v>7.0</v>
      </c>
      <c r="I113" s="7">
        <v>801.0</v>
      </c>
      <c r="J113" s="7">
        <v>8.9</v>
      </c>
      <c r="K113" s="7">
        <v>0.0</v>
      </c>
      <c r="L113" s="7">
        <v>0.0</v>
      </c>
      <c r="M113" s="7">
        <v>0.0</v>
      </c>
      <c r="N113" s="7">
        <v>0.0</v>
      </c>
      <c r="O113" s="7">
        <v>0.0</v>
      </c>
      <c r="P113" s="7">
        <v>0.0</v>
      </c>
      <c r="Q113" s="7">
        <v>5.0</v>
      </c>
      <c r="R113" s="7">
        <v>0.0</v>
      </c>
      <c r="S113" s="8">
        <v>0.0</v>
      </c>
      <c r="T113" s="7">
        <v>0.0</v>
      </c>
      <c r="U113" s="7">
        <v>0.0</v>
      </c>
      <c r="V113" s="7">
        <v>0.0</v>
      </c>
      <c r="W113" s="7">
        <v>0.0</v>
      </c>
      <c r="X113" s="7" t="s">
        <v>810</v>
      </c>
      <c r="Y113" s="24" t="s">
        <v>702</v>
      </c>
      <c r="AA113" s="50"/>
      <c r="AB113" s="50"/>
      <c r="AC113" s="50"/>
    </row>
    <row r="114">
      <c r="A114" s="7" t="s">
        <v>125</v>
      </c>
      <c r="B114" s="7" t="s">
        <v>34</v>
      </c>
      <c r="C114" s="7" t="s">
        <v>83</v>
      </c>
      <c r="D114" s="7" t="s">
        <v>52</v>
      </c>
      <c r="E114" s="7">
        <v>25.0</v>
      </c>
      <c r="F114" s="7">
        <v>1998.0</v>
      </c>
      <c r="G114" s="7">
        <v>21.0</v>
      </c>
      <c r="H114" s="7">
        <v>18.0</v>
      </c>
      <c r="I114" s="25">
        <v>1672.0</v>
      </c>
      <c r="J114" s="7">
        <v>18.6</v>
      </c>
      <c r="K114" s="7">
        <v>0.0</v>
      </c>
      <c r="L114" s="7">
        <v>2.0</v>
      </c>
      <c r="M114" s="7">
        <v>2.0</v>
      </c>
      <c r="N114" s="7">
        <v>0.0</v>
      </c>
      <c r="O114" s="7">
        <v>0.0</v>
      </c>
      <c r="P114" s="7">
        <v>0.0</v>
      </c>
      <c r="Q114" s="7">
        <v>2.0</v>
      </c>
      <c r="R114" s="7">
        <v>0.0</v>
      </c>
      <c r="S114" s="8">
        <v>0.0</v>
      </c>
      <c r="T114" s="7">
        <v>0.11</v>
      </c>
      <c r="U114" s="7">
        <v>0.11</v>
      </c>
      <c r="V114" s="7">
        <v>0.0</v>
      </c>
      <c r="W114" s="7">
        <v>0.11</v>
      </c>
      <c r="X114" s="7" t="s">
        <v>810</v>
      </c>
      <c r="Y114" s="24" t="s">
        <v>702</v>
      </c>
      <c r="AA114" s="50"/>
      <c r="AB114" s="50"/>
      <c r="AC114" s="50"/>
    </row>
    <row r="115">
      <c r="A115" s="7" t="s">
        <v>127</v>
      </c>
      <c r="B115" s="7" t="s">
        <v>34</v>
      </c>
      <c r="C115" s="7" t="s">
        <v>35</v>
      </c>
      <c r="D115" s="7" t="s">
        <v>128</v>
      </c>
      <c r="E115" s="7">
        <v>21.0</v>
      </c>
      <c r="F115" s="7">
        <v>2002.0</v>
      </c>
      <c r="G115" s="7">
        <v>22.0</v>
      </c>
      <c r="H115" s="7">
        <v>18.0</v>
      </c>
      <c r="I115" s="25">
        <v>1559.0</v>
      </c>
      <c r="J115" s="7">
        <v>17.3</v>
      </c>
      <c r="K115" s="7">
        <v>0.0</v>
      </c>
      <c r="L115" s="7">
        <v>1.0</v>
      </c>
      <c r="M115" s="7">
        <v>1.0</v>
      </c>
      <c r="N115" s="7">
        <v>0.0</v>
      </c>
      <c r="O115" s="7">
        <v>0.0</v>
      </c>
      <c r="P115" s="7">
        <v>0.0</v>
      </c>
      <c r="Q115" s="7">
        <v>6.0</v>
      </c>
      <c r="R115" s="7">
        <v>0.0</v>
      </c>
      <c r="S115" s="8">
        <v>0.0</v>
      </c>
      <c r="T115" s="7">
        <v>0.06</v>
      </c>
      <c r="U115" s="7">
        <v>0.06</v>
      </c>
      <c r="V115" s="7">
        <v>0.0</v>
      </c>
      <c r="W115" s="7">
        <v>0.06</v>
      </c>
      <c r="X115" s="7" t="s">
        <v>810</v>
      </c>
      <c r="Y115" s="24" t="s">
        <v>701</v>
      </c>
      <c r="AA115" s="50"/>
      <c r="AB115" s="50"/>
      <c r="AC115" s="50"/>
    </row>
    <row r="116">
      <c r="A116" s="7" t="s">
        <v>130</v>
      </c>
      <c r="B116" s="7" t="s">
        <v>34</v>
      </c>
      <c r="C116" s="7" t="s">
        <v>47</v>
      </c>
      <c r="D116" s="7" t="s">
        <v>98</v>
      </c>
      <c r="E116" s="7">
        <v>26.0</v>
      </c>
      <c r="F116" s="7">
        <v>1997.0</v>
      </c>
      <c r="G116" s="7">
        <v>25.0</v>
      </c>
      <c r="H116" s="7">
        <v>17.0</v>
      </c>
      <c r="I116" s="25">
        <v>1497.0</v>
      </c>
      <c r="J116" s="7">
        <v>16.6</v>
      </c>
      <c r="K116" s="7">
        <v>4.0</v>
      </c>
      <c r="L116" s="7">
        <v>2.0</v>
      </c>
      <c r="M116" s="7">
        <v>6.0</v>
      </c>
      <c r="N116" s="7">
        <v>4.0</v>
      </c>
      <c r="O116" s="7">
        <v>0.0</v>
      </c>
      <c r="P116" s="7">
        <v>0.0</v>
      </c>
      <c r="Q116" s="7">
        <v>1.0</v>
      </c>
      <c r="R116" s="7">
        <v>0.0</v>
      </c>
      <c r="S116" s="8">
        <v>0.24</v>
      </c>
      <c r="T116" s="7">
        <v>0.12</v>
      </c>
      <c r="U116" s="7">
        <v>0.36</v>
      </c>
      <c r="V116" s="7">
        <v>0.24</v>
      </c>
      <c r="W116" s="7">
        <v>0.36</v>
      </c>
      <c r="X116" s="7" t="s">
        <v>810</v>
      </c>
      <c r="Y116" s="24" t="s">
        <v>708</v>
      </c>
      <c r="AA116" s="50"/>
      <c r="AB116" s="50"/>
      <c r="AC116" s="50"/>
    </row>
    <row r="117">
      <c r="A117" s="7" t="s">
        <v>132</v>
      </c>
      <c r="B117" s="7" t="s">
        <v>25</v>
      </c>
      <c r="C117" s="7" t="s">
        <v>26</v>
      </c>
      <c r="D117" s="7" t="s">
        <v>27</v>
      </c>
      <c r="E117" s="7">
        <v>31.0</v>
      </c>
      <c r="F117" s="7">
        <v>1992.0</v>
      </c>
      <c r="G117" s="7">
        <v>36.0</v>
      </c>
      <c r="H117" s="7">
        <v>32.0</v>
      </c>
      <c r="I117" s="25">
        <v>2933.0</v>
      </c>
      <c r="J117" s="7">
        <v>32.6</v>
      </c>
      <c r="K117" s="7">
        <v>4.0</v>
      </c>
      <c r="L117" s="7">
        <v>2.0</v>
      </c>
      <c r="M117" s="7">
        <v>6.0</v>
      </c>
      <c r="N117" s="7">
        <v>1.0</v>
      </c>
      <c r="O117" s="7">
        <v>3.0</v>
      </c>
      <c r="P117" s="7">
        <v>3.0</v>
      </c>
      <c r="Q117" s="7">
        <v>6.0</v>
      </c>
      <c r="R117" s="7">
        <v>0.0</v>
      </c>
      <c r="S117" s="8">
        <v>0.12</v>
      </c>
      <c r="T117" s="7">
        <v>0.06</v>
      </c>
      <c r="U117" s="7">
        <v>0.18</v>
      </c>
      <c r="V117" s="7">
        <v>0.03</v>
      </c>
      <c r="W117" s="7">
        <v>0.09</v>
      </c>
      <c r="X117" s="7" t="s">
        <v>699</v>
      </c>
      <c r="Y117" s="7" t="s">
        <v>671</v>
      </c>
      <c r="AA117" s="50"/>
      <c r="AB117" s="50"/>
      <c r="AC117" s="50"/>
    </row>
    <row r="118">
      <c r="A118" s="7" t="s">
        <v>134</v>
      </c>
      <c r="B118" s="7" t="s">
        <v>25</v>
      </c>
      <c r="C118" s="7" t="s">
        <v>26</v>
      </c>
      <c r="D118" s="7" t="s">
        <v>31</v>
      </c>
      <c r="E118" s="7">
        <v>18.0</v>
      </c>
      <c r="F118" s="7">
        <v>2005.0</v>
      </c>
      <c r="G118" s="7">
        <v>5.0</v>
      </c>
      <c r="H118" s="7">
        <v>0.0</v>
      </c>
      <c r="I118" s="7">
        <v>62.0</v>
      </c>
      <c r="J118" s="7">
        <v>0.7</v>
      </c>
      <c r="K118" s="7">
        <v>0.0</v>
      </c>
      <c r="L118" s="7">
        <v>0.0</v>
      </c>
      <c r="M118" s="7">
        <v>0.0</v>
      </c>
      <c r="N118" s="7">
        <v>0.0</v>
      </c>
      <c r="O118" s="7">
        <v>0.0</v>
      </c>
      <c r="P118" s="7">
        <v>0.0</v>
      </c>
      <c r="Q118" s="7">
        <v>0.0</v>
      </c>
      <c r="R118" s="7">
        <v>0.0</v>
      </c>
      <c r="S118" s="8">
        <v>0.0</v>
      </c>
      <c r="T118" s="7">
        <v>0.0</v>
      </c>
      <c r="U118" s="7">
        <v>0.0</v>
      </c>
      <c r="V118" s="7">
        <v>0.0</v>
      </c>
      <c r="W118" s="7">
        <v>0.0</v>
      </c>
      <c r="X118" s="7" t="s">
        <v>810</v>
      </c>
      <c r="Y118" s="24" t="s">
        <v>701</v>
      </c>
      <c r="AA118" s="50"/>
      <c r="AB118" s="50"/>
      <c r="AC118" s="50"/>
    </row>
    <row r="119">
      <c r="A119" s="7" t="s">
        <v>136</v>
      </c>
      <c r="B119" s="7" t="s">
        <v>25</v>
      </c>
      <c r="C119" s="7" t="s">
        <v>35</v>
      </c>
      <c r="D119" s="7" t="s">
        <v>44</v>
      </c>
      <c r="E119" s="7">
        <v>21.0</v>
      </c>
      <c r="F119" s="7">
        <v>2003.0</v>
      </c>
      <c r="G119" s="7">
        <v>26.0</v>
      </c>
      <c r="H119" s="7">
        <v>23.0</v>
      </c>
      <c r="I119" s="25">
        <v>2076.0</v>
      </c>
      <c r="J119" s="7">
        <v>23.1</v>
      </c>
      <c r="K119" s="7">
        <v>0.0</v>
      </c>
      <c r="L119" s="7">
        <v>0.0</v>
      </c>
      <c r="M119" s="7">
        <v>0.0</v>
      </c>
      <c r="N119" s="7">
        <v>0.0</v>
      </c>
      <c r="O119" s="7">
        <v>0.0</v>
      </c>
      <c r="P119" s="7">
        <v>0.0</v>
      </c>
      <c r="Q119" s="7">
        <v>7.0</v>
      </c>
      <c r="R119" s="7">
        <v>0.0</v>
      </c>
      <c r="S119" s="8">
        <v>0.0</v>
      </c>
      <c r="T119" s="7">
        <v>0.0</v>
      </c>
      <c r="U119" s="7">
        <v>0.0</v>
      </c>
      <c r="V119" s="7">
        <v>0.0</v>
      </c>
      <c r="W119" s="7">
        <v>0.0</v>
      </c>
      <c r="X119" s="7" t="s">
        <v>688</v>
      </c>
      <c r="Y119" s="7" t="s">
        <v>671</v>
      </c>
      <c r="AA119" s="50"/>
      <c r="AB119" s="50"/>
      <c r="AC119" s="50"/>
    </row>
    <row r="120">
      <c r="A120" s="7" t="s">
        <v>138</v>
      </c>
      <c r="B120" s="7" t="s">
        <v>25</v>
      </c>
      <c r="C120" s="7" t="s">
        <v>55</v>
      </c>
      <c r="D120" s="7" t="s">
        <v>31</v>
      </c>
      <c r="E120" s="7">
        <v>17.0</v>
      </c>
      <c r="F120" s="7">
        <v>2006.0</v>
      </c>
      <c r="G120" s="7">
        <v>2.0</v>
      </c>
      <c r="H120" s="7">
        <v>0.0</v>
      </c>
      <c r="I120" s="7">
        <v>19.0</v>
      </c>
      <c r="J120" s="7">
        <v>0.2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Q120" s="7">
        <v>0.0</v>
      </c>
      <c r="R120" s="7">
        <v>0.0</v>
      </c>
      <c r="S120" s="8">
        <v>0.0</v>
      </c>
      <c r="T120" s="7">
        <v>0.0</v>
      </c>
      <c r="U120" s="7">
        <v>0.0</v>
      </c>
      <c r="V120" s="7">
        <v>0.0</v>
      </c>
      <c r="W120" s="7">
        <v>0.0</v>
      </c>
      <c r="X120" s="7" t="s">
        <v>678</v>
      </c>
      <c r="Y120" s="24" t="s">
        <v>697</v>
      </c>
      <c r="AA120" s="50"/>
      <c r="AB120" s="50"/>
      <c r="AC120" s="50"/>
    </row>
    <row r="121">
      <c r="A121" s="7" t="s">
        <v>140</v>
      </c>
      <c r="B121" s="7" t="s">
        <v>25</v>
      </c>
      <c r="C121" s="7" t="s">
        <v>55</v>
      </c>
      <c r="D121" s="7" t="s">
        <v>27</v>
      </c>
      <c r="E121" s="7">
        <v>21.0</v>
      </c>
      <c r="F121" s="7">
        <v>2003.0</v>
      </c>
      <c r="G121" s="7">
        <v>18.0</v>
      </c>
      <c r="H121" s="7">
        <v>2.0</v>
      </c>
      <c r="I121" s="7">
        <v>403.0</v>
      </c>
      <c r="J121" s="7">
        <v>4.5</v>
      </c>
      <c r="K121" s="7">
        <v>1.0</v>
      </c>
      <c r="L121" s="7">
        <v>1.0</v>
      </c>
      <c r="M121" s="7">
        <v>2.0</v>
      </c>
      <c r="N121" s="7">
        <v>1.0</v>
      </c>
      <c r="O121" s="7">
        <v>0.0</v>
      </c>
      <c r="P121" s="7">
        <v>0.0</v>
      </c>
      <c r="Q121" s="7">
        <v>1.0</v>
      </c>
      <c r="R121" s="7">
        <v>0.0</v>
      </c>
      <c r="S121" s="8">
        <v>0.22</v>
      </c>
      <c r="T121" s="7">
        <v>0.22</v>
      </c>
      <c r="U121" s="7">
        <v>0.45</v>
      </c>
      <c r="V121" s="7">
        <v>0.22</v>
      </c>
      <c r="W121" s="7">
        <v>0.45</v>
      </c>
      <c r="X121" s="7" t="s">
        <v>685</v>
      </c>
      <c r="Y121" s="7" t="s">
        <v>671</v>
      </c>
      <c r="AA121" s="50"/>
      <c r="AB121" s="50"/>
      <c r="AC121" s="50"/>
    </row>
    <row r="122">
      <c r="A122" s="7" t="s">
        <v>142</v>
      </c>
      <c r="B122" s="7" t="s">
        <v>25</v>
      </c>
      <c r="C122" s="7" t="s">
        <v>35</v>
      </c>
      <c r="D122" s="7" t="s">
        <v>52</v>
      </c>
      <c r="E122" s="7">
        <v>32.0</v>
      </c>
      <c r="F122" s="7">
        <v>1991.0</v>
      </c>
      <c r="G122" s="7">
        <v>24.0</v>
      </c>
      <c r="H122" s="7">
        <v>18.0</v>
      </c>
      <c r="I122" s="25">
        <v>1622.0</v>
      </c>
      <c r="J122" s="7">
        <v>18.0</v>
      </c>
      <c r="K122" s="7">
        <v>1.0</v>
      </c>
      <c r="L122" s="7">
        <v>1.0</v>
      </c>
      <c r="M122" s="7">
        <v>2.0</v>
      </c>
      <c r="N122" s="7">
        <v>1.0</v>
      </c>
      <c r="O122" s="7">
        <v>0.0</v>
      </c>
      <c r="P122" s="7">
        <v>0.0</v>
      </c>
      <c r="Q122" s="7">
        <v>4.0</v>
      </c>
      <c r="R122" s="7">
        <v>0.0</v>
      </c>
      <c r="S122" s="8">
        <v>0.06</v>
      </c>
      <c r="T122" s="7">
        <v>0.06</v>
      </c>
      <c r="U122" s="7">
        <v>0.11</v>
      </c>
      <c r="V122" s="7">
        <v>0.06</v>
      </c>
      <c r="W122" s="7">
        <v>0.11</v>
      </c>
      <c r="X122" s="7" t="s">
        <v>810</v>
      </c>
      <c r="Y122" s="24" t="s">
        <v>708</v>
      </c>
      <c r="AA122" s="50"/>
      <c r="AB122" s="50"/>
      <c r="AC122" s="50"/>
    </row>
    <row r="123">
      <c r="A123" s="7" t="s">
        <v>144</v>
      </c>
      <c r="B123" s="7" t="s">
        <v>97</v>
      </c>
      <c r="C123" s="7" t="s">
        <v>26</v>
      </c>
      <c r="D123" s="7" t="s">
        <v>80</v>
      </c>
      <c r="E123" s="7">
        <v>20.0</v>
      </c>
      <c r="F123" s="7">
        <v>2003.0</v>
      </c>
      <c r="G123" s="7">
        <v>5.0</v>
      </c>
      <c r="H123" s="7">
        <v>2.0</v>
      </c>
      <c r="I123" s="7">
        <v>205.0</v>
      </c>
      <c r="J123" s="7">
        <v>2.3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8">
        <v>0.0</v>
      </c>
      <c r="T123" s="7">
        <v>0.0</v>
      </c>
      <c r="U123" s="7">
        <v>0.0</v>
      </c>
      <c r="V123" s="7">
        <v>0.0</v>
      </c>
      <c r="W123" s="7">
        <v>0.0</v>
      </c>
      <c r="X123" s="7" t="s">
        <v>690</v>
      </c>
      <c r="Y123" s="24" t="s">
        <v>703</v>
      </c>
      <c r="AA123" s="50"/>
      <c r="AB123" s="50"/>
      <c r="AC123" s="50"/>
    </row>
    <row r="124">
      <c r="A124" s="7" t="s">
        <v>146</v>
      </c>
      <c r="B124" s="7" t="s">
        <v>97</v>
      </c>
      <c r="C124" s="7" t="s">
        <v>26</v>
      </c>
      <c r="D124" s="7" t="s">
        <v>52</v>
      </c>
      <c r="E124" s="7">
        <v>28.0</v>
      </c>
      <c r="F124" s="7">
        <v>1996.0</v>
      </c>
      <c r="G124" s="7">
        <v>4.0</v>
      </c>
      <c r="H124" s="7">
        <v>0.0</v>
      </c>
      <c r="I124" s="7">
        <v>19.0</v>
      </c>
      <c r="J124" s="7">
        <v>0.2</v>
      </c>
      <c r="K124" s="7">
        <v>0.0</v>
      </c>
      <c r="L124" s="7">
        <v>0.0</v>
      </c>
      <c r="M124" s="7">
        <v>0.0</v>
      </c>
      <c r="N124" s="7">
        <v>0.0</v>
      </c>
      <c r="O124" s="7">
        <v>0.0</v>
      </c>
      <c r="P124" s="7">
        <v>0.0</v>
      </c>
      <c r="Q124" s="7">
        <v>0.0</v>
      </c>
      <c r="R124" s="7">
        <v>0.0</v>
      </c>
      <c r="S124" s="8">
        <v>0.0</v>
      </c>
      <c r="T124" s="7">
        <v>0.0</v>
      </c>
      <c r="U124" s="7">
        <v>0.0</v>
      </c>
      <c r="V124" s="7">
        <v>0.0</v>
      </c>
      <c r="W124" s="7">
        <v>0.0</v>
      </c>
      <c r="X124" s="7" t="s">
        <v>810</v>
      </c>
      <c r="Y124" s="24" t="s">
        <v>706</v>
      </c>
      <c r="AA124" s="50"/>
      <c r="AB124" s="50"/>
      <c r="AC124" s="50"/>
    </row>
    <row r="125">
      <c r="A125" s="7" t="s">
        <v>148</v>
      </c>
      <c r="B125" s="7" t="s">
        <v>25</v>
      </c>
      <c r="C125" s="7" t="s">
        <v>55</v>
      </c>
      <c r="D125" s="7" t="s">
        <v>62</v>
      </c>
      <c r="E125" s="7">
        <v>15.0</v>
      </c>
      <c r="F125" s="7">
        <v>2008.0</v>
      </c>
      <c r="G125" s="7">
        <v>1.0</v>
      </c>
      <c r="H125" s="7">
        <v>0.0</v>
      </c>
      <c r="I125" s="7">
        <v>5.0</v>
      </c>
      <c r="J125" s="7">
        <v>0.1</v>
      </c>
      <c r="K125" s="7">
        <v>0.0</v>
      </c>
      <c r="L125" s="7">
        <v>0.0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8">
        <v>0.0</v>
      </c>
      <c r="T125" s="7">
        <v>0.0</v>
      </c>
      <c r="U125" s="7">
        <v>0.0</v>
      </c>
      <c r="V125" s="7">
        <v>0.0</v>
      </c>
      <c r="W125" s="7">
        <v>0.0</v>
      </c>
      <c r="X125" s="7" t="s">
        <v>698</v>
      </c>
      <c r="Y125" s="24" t="s">
        <v>700</v>
      </c>
      <c r="AA125" s="50"/>
      <c r="AB125" s="50"/>
      <c r="AC125" s="50"/>
    </row>
    <row r="126">
      <c r="A126" s="7" t="s">
        <v>150</v>
      </c>
      <c r="B126" s="7" t="s">
        <v>25</v>
      </c>
      <c r="C126" s="7" t="s">
        <v>35</v>
      </c>
      <c r="D126" s="7" t="s">
        <v>62</v>
      </c>
      <c r="E126" s="7">
        <v>29.0</v>
      </c>
      <c r="F126" s="7">
        <v>1994.0</v>
      </c>
      <c r="G126" s="7">
        <v>14.0</v>
      </c>
      <c r="H126" s="7">
        <v>9.0</v>
      </c>
      <c r="I126" s="7">
        <v>822.0</v>
      </c>
      <c r="J126" s="7">
        <v>9.1</v>
      </c>
      <c r="K126" s="7">
        <v>0.0</v>
      </c>
      <c r="L126" s="7">
        <v>1.0</v>
      </c>
      <c r="M126" s="7">
        <v>1.0</v>
      </c>
      <c r="N126" s="7">
        <v>0.0</v>
      </c>
      <c r="O126" s="7">
        <v>0.0</v>
      </c>
      <c r="P126" s="7">
        <v>0.0</v>
      </c>
      <c r="Q126" s="7">
        <v>2.0</v>
      </c>
      <c r="R126" s="7">
        <v>0.0</v>
      </c>
      <c r="S126" s="8">
        <v>0.0</v>
      </c>
      <c r="T126" s="7">
        <v>0.11</v>
      </c>
      <c r="U126" s="7">
        <v>0.11</v>
      </c>
      <c r="V126" s="7">
        <v>0.0</v>
      </c>
      <c r="W126" s="7">
        <v>0.11</v>
      </c>
      <c r="X126" s="7" t="s">
        <v>690</v>
      </c>
      <c r="Y126" s="7" t="s">
        <v>671</v>
      </c>
      <c r="AA126" s="50"/>
      <c r="AB126" s="50"/>
      <c r="AC126" s="50"/>
    </row>
    <row r="127">
      <c r="A127" s="7" t="s">
        <v>152</v>
      </c>
      <c r="B127" s="7" t="s">
        <v>25</v>
      </c>
      <c r="C127" s="7" t="s">
        <v>55</v>
      </c>
      <c r="D127" s="7" t="s">
        <v>52</v>
      </c>
      <c r="E127" s="7">
        <v>23.0</v>
      </c>
      <c r="F127" s="7">
        <v>2000.0</v>
      </c>
      <c r="G127" s="7">
        <v>10.0</v>
      </c>
      <c r="H127" s="7">
        <v>2.0</v>
      </c>
      <c r="I127" s="7">
        <v>287.0</v>
      </c>
      <c r="J127" s="7">
        <v>3.2</v>
      </c>
      <c r="K127" s="7">
        <v>1.0</v>
      </c>
      <c r="L127" s="7">
        <v>0.0</v>
      </c>
      <c r="M127" s="7">
        <v>1.0</v>
      </c>
      <c r="N127" s="7">
        <v>1.0</v>
      </c>
      <c r="O127" s="7">
        <v>0.0</v>
      </c>
      <c r="P127" s="7">
        <v>0.0</v>
      </c>
      <c r="Q127" s="7">
        <v>0.0</v>
      </c>
      <c r="R127" s="7">
        <v>0.0</v>
      </c>
      <c r="S127" s="8">
        <v>0.31</v>
      </c>
      <c r="T127" s="7">
        <v>0.0</v>
      </c>
      <c r="U127" s="7">
        <v>0.31</v>
      </c>
      <c r="V127" s="7">
        <v>0.31</v>
      </c>
      <c r="W127" s="7">
        <v>0.31</v>
      </c>
      <c r="X127" s="7" t="s">
        <v>690</v>
      </c>
      <c r="Y127" s="7" t="s">
        <v>671</v>
      </c>
      <c r="AA127" s="50"/>
      <c r="AB127" s="50"/>
      <c r="AC127" s="50"/>
    </row>
    <row r="128">
      <c r="A128" s="7" t="s">
        <v>154</v>
      </c>
      <c r="B128" s="7" t="s">
        <v>25</v>
      </c>
      <c r="C128" s="7" t="s">
        <v>47</v>
      </c>
      <c r="D128" s="7" t="s">
        <v>31</v>
      </c>
      <c r="E128" s="7">
        <v>21.0</v>
      </c>
      <c r="F128" s="7">
        <v>2003.0</v>
      </c>
      <c r="G128" s="7">
        <v>19.0</v>
      </c>
      <c r="H128" s="7">
        <v>10.0</v>
      </c>
      <c r="I128" s="7">
        <v>857.0</v>
      </c>
      <c r="J128" s="7">
        <v>9.5</v>
      </c>
      <c r="K128" s="7">
        <v>0.0</v>
      </c>
      <c r="L128" s="7">
        <v>4.0</v>
      </c>
      <c r="M128" s="7">
        <v>4.0</v>
      </c>
      <c r="N128" s="7">
        <v>0.0</v>
      </c>
      <c r="O128" s="7">
        <v>0.0</v>
      </c>
      <c r="P128" s="7">
        <v>0.0</v>
      </c>
      <c r="Q128" s="7">
        <v>3.0</v>
      </c>
      <c r="R128" s="7">
        <v>0.0</v>
      </c>
      <c r="S128" s="8">
        <v>0.0</v>
      </c>
      <c r="T128" s="7">
        <v>0.42</v>
      </c>
      <c r="U128" s="7">
        <v>0.42</v>
      </c>
      <c r="V128" s="7">
        <v>0.0</v>
      </c>
      <c r="W128" s="7">
        <v>0.42</v>
      </c>
      <c r="X128" s="7" t="s">
        <v>810</v>
      </c>
      <c r="Y128" s="7" t="s">
        <v>707</v>
      </c>
      <c r="AA128" s="50"/>
      <c r="AB128" s="50"/>
      <c r="AC128" s="50"/>
    </row>
    <row r="129">
      <c r="A129" s="7" t="s">
        <v>156</v>
      </c>
      <c r="B129" s="7" t="s">
        <v>157</v>
      </c>
      <c r="C129" s="7" t="s">
        <v>47</v>
      </c>
      <c r="D129" s="7" t="s">
        <v>98</v>
      </c>
      <c r="E129" s="7">
        <v>20.0</v>
      </c>
      <c r="F129" s="7">
        <v>2003.0</v>
      </c>
      <c r="G129" s="7">
        <v>13.0</v>
      </c>
      <c r="H129" s="7">
        <v>2.0</v>
      </c>
      <c r="I129" s="7">
        <v>219.0</v>
      </c>
      <c r="J129" s="7">
        <v>2.4</v>
      </c>
      <c r="K129" s="7">
        <v>0.0</v>
      </c>
      <c r="L129" s="7">
        <v>0.0</v>
      </c>
      <c r="M129" s="7">
        <v>0.0</v>
      </c>
      <c r="N129" s="7">
        <v>0.0</v>
      </c>
      <c r="O129" s="7">
        <v>0.0</v>
      </c>
      <c r="P129" s="7">
        <v>0.0</v>
      </c>
      <c r="Q129" s="7">
        <v>1.0</v>
      </c>
      <c r="R129" s="7">
        <v>0.0</v>
      </c>
      <c r="S129" s="8">
        <v>0.0</v>
      </c>
      <c r="T129" s="7">
        <v>0.0</v>
      </c>
      <c r="U129" s="7">
        <v>0.0</v>
      </c>
      <c r="V129" s="7">
        <v>0.0</v>
      </c>
      <c r="W129" s="7">
        <v>0.0</v>
      </c>
      <c r="X129" s="7" t="s">
        <v>810</v>
      </c>
      <c r="Y129" s="24" t="s">
        <v>706</v>
      </c>
      <c r="AA129" s="50"/>
      <c r="AB129" s="50"/>
      <c r="AC129" s="50"/>
    </row>
    <row r="130">
      <c r="A130" s="7" t="s">
        <v>159</v>
      </c>
      <c r="B130" s="7" t="s">
        <v>34</v>
      </c>
      <c r="C130" s="7" t="s">
        <v>26</v>
      </c>
      <c r="D130" s="7" t="s">
        <v>128</v>
      </c>
      <c r="E130" s="7">
        <v>23.0</v>
      </c>
      <c r="F130" s="7">
        <v>2000.0</v>
      </c>
      <c r="G130" s="7">
        <v>35.0</v>
      </c>
      <c r="H130" s="7">
        <v>35.0</v>
      </c>
      <c r="I130" s="25">
        <v>2963.0</v>
      </c>
      <c r="J130" s="7">
        <v>32.9</v>
      </c>
      <c r="K130" s="7">
        <v>4.0</v>
      </c>
      <c r="L130" s="7">
        <v>0.0</v>
      </c>
      <c r="M130" s="7">
        <v>4.0</v>
      </c>
      <c r="N130" s="7">
        <v>4.0</v>
      </c>
      <c r="O130" s="7">
        <v>0.0</v>
      </c>
      <c r="P130" s="7">
        <v>0.0</v>
      </c>
      <c r="Q130" s="7">
        <v>7.0</v>
      </c>
      <c r="R130" s="7">
        <v>0.0</v>
      </c>
      <c r="S130" s="8">
        <v>0.12</v>
      </c>
      <c r="T130" s="7">
        <v>0.0</v>
      </c>
      <c r="U130" s="7">
        <v>0.12</v>
      </c>
      <c r="V130" s="7">
        <v>0.12</v>
      </c>
      <c r="W130" s="7">
        <v>0.12</v>
      </c>
      <c r="X130" s="7" t="s">
        <v>709</v>
      </c>
      <c r="Y130" s="24" t="s">
        <v>691</v>
      </c>
      <c r="AA130" s="50"/>
      <c r="AB130" s="50"/>
      <c r="AC130" s="50"/>
    </row>
    <row r="131">
      <c r="A131" s="7" t="s">
        <v>161</v>
      </c>
      <c r="B131" s="7" t="s">
        <v>34</v>
      </c>
      <c r="C131" s="7" t="s">
        <v>47</v>
      </c>
      <c r="D131" s="7" t="s">
        <v>98</v>
      </c>
      <c r="E131" s="7">
        <v>23.0</v>
      </c>
      <c r="F131" s="7">
        <v>2000.0</v>
      </c>
      <c r="G131" s="7">
        <v>33.0</v>
      </c>
      <c r="H131" s="7">
        <v>28.0</v>
      </c>
      <c r="I131" s="25">
        <v>2382.0</v>
      </c>
      <c r="J131" s="7">
        <v>26.5</v>
      </c>
      <c r="K131" s="7">
        <v>3.0</v>
      </c>
      <c r="L131" s="7">
        <v>3.0</v>
      </c>
      <c r="M131" s="7">
        <v>6.0</v>
      </c>
      <c r="N131" s="7">
        <v>3.0</v>
      </c>
      <c r="O131" s="7">
        <v>0.0</v>
      </c>
      <c r="P131" s="7">
        <v>0.0</v>
      </c>
      <c r="Q131" s="7">
        <v>6.0</v>
      </c>
      <c r="R131" s="7">
        <v>0.0</v>
      </c>
      <c r="S131" s="8">
        <v>0.11</v>
      </c>
      <c r="T131" s="7">
        <v>0.11</v>
      </c>
      <c r="U131" s="7">
        <v>0.23</v>
      </c>
      <c r="V131" s="7">
        <v>0.11</v>
      </c>
      <c r="W131" s="7">
        <v>0.23</v>
      </c>
      <c r="X131" s="7" t="s">
        <v>710</v>
      </c>
      <c r="Y131" s="7" t="s">
        <v>711</v>
      </c>
      <c r="AA131" s="50"/>
      <c r="AB131" s="50"/>
      <c r="AC131" s="50"/>
    </row>
    <row r="132">
      <c r="A132" s="7" t="s">
        <v>163</v>
      </c>
      <c r="B132" s="7" t="s">
        <v>25</v>
      </c>
      <c r="C132" s="7" t="s">
        <v>83</v>
      </c>
      <c r="D132" s="7" t="s">
        <v>36</v>
      </c>
      <c r="E132" s="7">
        <v>25.0</v>
      </c>
      <c r="F132" s="7">
        <v>1998.0</v>
      </c>
      <c r="G132" s="7">
        <v>26.0</v>
      </c>
      <c r="H132" s="7">
        <v>21.0</v>
      </c>
      <c r="I132" s="25">
        <v>1906.0</v>
      </c>
      <c r="J132" s="7">
        <v>21.2</v>
      </c>
      <c r="K132" s="7">
        <v>1.0</v>
      </c>
      <c r="L132" s="7">
        <v>3.0</v>
      </c>
      <c r="M132" s="7">
        <v>4.0</v>
      </c>
      <c r="N132" s="7">
        <v>1.0</v>
      </c>
      <c r="O132" s="7">
        <v>0.0</v>
      </c>
      <c r="P132" s="7">
        <v>0.0</v>
      </c>
      <c r="Q132" s="7">
        <v>0.0</v>
      </c>
      <c r="R132" s="7">
        <v>0.0</v>
      </c>
      <c r="S132" s="8">
        <v>0.05</v>
      </c>
      <c r="T132" s="7">
        <v>0.14</v>
      </c>
      <c r="U132" s="7">
        <v>0.19</v>
      </c>
      <c r="V132" s="7">
        <v>0.05</v>
      </c>
      <c r="W132" s="7">
        <v>0.19</v>
      </c>
      <c r="X132" s="7" t="s">
        <v>688</v>
      </c>
      <c r="Y132" s="24" t="s">
        <v>703</v>
      </c>
      <c r="AA132" s="50"/>
      <c r="AB132" s="50"/>
      <c r="AC132" s="50"/>
    </row>
    <row r="133">
      <c r="A133" s="7" t="s">
        <v>165</v>
      </c>
      <c r="B133" s="7" t="s">
        <v>25</v>
      </c>
      <c r="C133" s="7" t="s">
        <v>77</v>
      </c>
      <c r="D133" s="7" t="s">
        <v>58</v>
      </c>
      <c r="E133" s="7">
        <v>25.0</v>
      </c>
      <c r="F133" s="7">
        <v>1998.0</v>
      </c>
      <c r="G133" s="7">
        <v>36.0</v>
      </c>
      <c r="H133" s="7">
        <v>36.0</v>
      </c>
      <c r="I133" s="25">
        <v>3240.0</v>
      </c>
      <c r="J133" s="7">
        <v>36.0</v>
      </c>
      <c r="K133" s="7">
        <v>0.0</v>
      </c>
      <c r="L133" s="7">
        <v>1.0</v>
      </c>
      <c r="M133" s="7">
        <v>1.0</v>
      </c>
      <c r="N133" s="7">
        <v>0.0</v>
      </c>
      <c r="O133" s="7">
        <v>0.0</v>
      </c>
      <c r="P133" s="7">
        <v>0.0</v>
      </c>
      <c r="Q133" s="7">
        <v>2.0</v>
      </c>
      <c r="R133" s="7">
        <v>0.0</v>
      </c>
      <c r="S133" s="8">
        <v>0.0</v>
      </c>
      <c r="T133" s="7">
        <v>0.03</v>
      </c>
      <c r="U133" s="7">
        <v>0.03</v>
      </c>
      <c r="V133" s="7">
        <v>0.0</v>
      </c>
      <c r="W133" s="7">
        <v>0.03</v>
      </c>
      <c r="X133" s="7" t="s">
        <v>712</v>
      </c>
      <c r="Y133" s="24" t="s">
        <v>706</v>
      </c>
      <c r="AA133" s="50"/>
      <c r="AB133" s="50"/>
      <c r="AC133" s="50"/>
    </row>
    <row r="134">
      <c r="A134" s="7" t="s">
        <v>167</v>
      </c>
      <c r="B134" s="7" t="s">
        <v>25</v>
      </c>
      <c r="C134" s="7" t="s">
        <v>35</v>
      </c>
      <c r="D134" s="7" t="s">
        <v>27</v>
      </c>
      <c r="E134" s="7">
        <v>26.0</v>
      </c>
      <c r="F134" s="7">
        <v>1997.0</v>
      </c>
      <c r="G134" s="7">
        <v>19.0</v>
      </c>
      <c r="H134" s="7">
        <v>18.0</v>
      </c>
      <c r="I134" s="25">
        <v>1561.0</v>
      </c>
      <c r="J134" s="7">
        <v>17.3</v>
      </c>
      <c r="K134" s="7">
        <v>1.0</v>
      </c>
      <c r="L134" s="7">
        <v>1.0</v>
      </c>
      <c r="M134" s="7">
        <v>2.0</v>
      </c>
      <c r="N134" s="7">
        <v>1.0</v>
      </c>
      <c r="O134" s="7">
        <v>0.0</v>
      </c>
      <c r="P134" s="7">
        <v>0.0</v>
      </c>
      <c r="Q134" s="7">
        <v>6.0</v>
      </c>
      <c r="R134" s="7">
        <v>0.0</v>
      </c>
      <c r="S134" s="8">
        <v>0.06</v>
      </c>
      <c r="T134" s="7">
        <v>0.06</v>
      </c>
      <c r="U134" s="7">
        <v>0.12</v>
      </c>
      <c r="V134" s="7">
        <v>0.06</v>
      </c>
      <c r="W134" s="7">
        <v>0.12</v>
      </c>
      <c r="X134" s="7" t="s">
        <v>670</v>
      </c>
      <c r="Y134" s="24" t="s">
        <v>706</v>
      </c>
      <c r="AA134" s="50"/>
      <c r="AB134" s="50"/>
      <c r="AC134" s="50"/>
    </row>
    <row r="135">
      <c r="A135" s="7" t="s">
        <v>169</v>
      </c>
      <c r="B135" s="7" t="s">
        <v>25</v>
      </c>
      <c r="C135" s="7" t="s">
        <v>26</v>
      </c>
      <c r="D135" s="7" t="s">
        <v>62</v>
      </c>
      <c r="E135" s="7">
        <v>33.0</v>
      </c>
      <c r="F135" s="7">
        <v>1990.0</v>
      </c>
      <c r="G135" s="7">
        <v>33.0</v>
      </c>
      <c r="H135" s="7">
        <v>31.0</v>
      </c>
      <c r="I135" s="25">
        <v>2528.0</v>
      </c>
      <c r="J135" s="7">
        <v>28.1</v>
      </c>
      <c r="K135" s="7">
        <v>1.0</v>
      </c>
      <c r="L135" s="7">
        <v>3.0</v>
      </c>
      <c r="M135" s="7">
        <v>4.0</v>
      </c>
      <c r="N135" s="7">
        <v>0.0</v>
      </c>
      <c r="O135" s="7">
        <v>1.0</v>
      </c>
      <c r="P135" s="7">
        <v>1.0</v>
      </c>
      <c r="Q135" s="7">
        <v>15.0</v>
      </c>
      <c r="R135" s="7">
        <v>0.0</v>
      </c>
      <c r="S135" s="8">
        <v>0.04</v>
      </c>
      <c r="T135" s="7">
        <v>0.11</v>
      </c>
      <c r="U135" s="7">
        <v>0.14</v>
      </c>
      <c r="V135" s="7">
        <v>0.0</v>
      </c>
      <c r="W135" s="7">
        <v>0.11</v>
      </c>
      <c r="X135" s="7" t="s">
        <v>693</v>
      </c>
      <c r="Y135" s="24" t="s">
        <v>708</v>
      </c>
      <c r="AA135" s="50"/>
      <c r="AB135" s="50"/>
      <c r="AC135" s="50"/>
    </row>
    <row r="136">
      <c r="A136" s="7" t="s">
        <v>171</v>
      </c>
      <c r="B136" s="7" t="s">
        <v>25</v>
      </c>
      <c r="C136" s="7" t="s">
        <v>83</v>
      </c>
      <c r="D136" s="7" t="s">
        <v>62</v>
      </c>
      <c r="E136" s="7">
        <v>30.0</v>
      </c>
      <c r="F136" s="7">
        <v>1993.0</v>
      </c>
      <c r="G136" s="7">
        <v>16.0</v>
      </c>
      <c r="H136" s="7">
        <v>5.0</v>
      </c>
      <c r="I136" s="7">
        <v>570.0</v>
      </c>
      <c r="J136" s="7">
        <v>6.3</v>
      </c>
      <c r="K136" s="7">
        <v>1.0</v>
      </c>
      <c r="L136" s="7">
        <v>0.0</v>
      </c>
      <c r="M136" s="7">
        <v>1.0</v>
      </c>
      <c r="N136" s="7">
        <v>1.0</v>
      </c>
      <c r="O136" s="7">
        <v>0.0</v>
      </c>
      <c r="P136" s="7">
        <v>0.0</v>
      </c>
      <c r="Q136" s="7">
        <v>1.0</v>
      </c>
      <c r="R136" s="7">
        <v>0.0</v>
      </c>
      <c r="S136" s="8">
        <v>0.16</v>
      </c>
      <c r="T136" s="7">
        <v>0.0</v>
      </c>
      <c r="U136" s="7">
        <v>0.16</v>
      </c>
      <c r="V136" s="7">
        <v>0.16</v>
      </c>
      <c r="W136" s="7">
        <v>0.16</v>
      </c>
      <c r="X136" s="7" t="s">
        <v>810</v>
      </c>
      <c r="Y136" s="24" t="s">
        <v>691</v>
      </c>
      <c r="AA136" s="50"/>
      <c r="AB136" s="50"/>
      <c r="AC136" s="50"/>
    </row>
    <row r="137">
      <c r="A137" s="7" t="s">
        <v>173</v>
      </c>
      <c r="B137" s="7" t="s">
        <v>25</v>
      </c>
      <c r="C137" s="7" t="s">
        <v>35</v>
      </c>
      <c r="D137" s="7" t="s">
        <v>128</v>
      </c>
      <c r="E137" s="7">
        <v>18.0</v>
      </c>
      <c r="F137" s="7">
        <v>2005.0</v>
      </c>
      <c r="G137" s="7">
        <v>4.0</v>
      </c>
      <c r="H137" s="7">
        <v>3.0</v>
      </c>
      <c r="I137" s="7">
        <v>187.0</v>
      </c>
      <c r="J137" s="7">
        <v>2.1</v>
      </c>
      <c r="K137" s="7">
        <v>0.0</v>
      </c>
      <c r="L137" s="7">
        <v>0.0</v>
      </c>
      <c r="M137" s="7">
        <v>0.0</v>
      </c>
      <c r="N137" s="7">
        <v>0.0</v>
      </c>
      <c r="O137" s="7">
        <v>0.0</v>
      </c>
      <c r="P137" s="7">
        <v>0.0</v>
      </c>
      <c r="Q137" s="7">
        <v>3.0</v>
      </c>
      <c r="R137" s="7">
        <v>0.0</v>
      </c>
      <c r="S137" s="8">
        <v>0.0</v>
      </c>
      <c r="T137" s="7">
        <v>0.0</v>
      </c>
      <c r="U137" s="7">
        <v>0.0</v>
      </c>
      <c r="V137" s="7">
        <v>0.0</v>
      </c>
      <c r="W137" s="7">
        <v>0.0</v>
      </c>
      <c r="X137" s="7" t="s">
        <v>673</v>
      </c>
      <c r="Y137" s="7" t="s">
        <v>671</v>
      </c>
      <c r="AA137" s="50"/>
      <c r="AB137" s="50"/>
      <c r="AC137" s="50"/>
    </row>
    <row r="138">
      <c r="A138" s="7" t="s">
        <v>175</v>
      </c>
      <c r="B138" s="7" t="s">
        <v>25</v>
      </c>
      <c r="C138" s="7" t="s">
        <v>26</v>
      </c>
      <c r="D138" s="7" t="s">
        <v>31</v>
      </c>
      <c r="E138" s="7">
        <v>17.0</v>
      </c>
      <c r="F138" s="7">
        <v>2006.0</v>
      </c>
      <c r="G138" s="7">
        <v>6.0</v>
      </c>
      <c r="H138" s="7">
        <v>3.0</v>
      </c>
      <c r="I138" s="7">
        <v>300.0</v>
      </c>
      <c r="J138" s="7">
        <v>3.3</v>
      </c>
      <c r="K138" s="7">
        <v>1.0</v>
      </c>
      <c r="L138" s="7">
        <v>0.0</v>
      </c>
      <c r="M138" s="7">
        <v>1.0</v>
      </c>
      <c r="N138" s="7">
        <v>1.0</v>
      </c>
      <c r="O138" s="7">
        <v>0.0</v>
      </c>
      <c r="P138" s="7">
        <v>0.0</v>
      </c>
      <c r="Q138" s="7">
        <v>0.0</v>
      </c>
      <c r="R138" s="7">
        <v>0.0</v>
      </c>
      <c r="S138" s="8">
        <v>0.3</v>
      </c>
      <c r="T138" s="7">
        <v>0.0</v>
      </c>
      <c r="U138" s="7">
        <v>0.3</v>
      </c>
      <c r="V138" s="7">
        <v>0.3</v>
      </c>
      <c r="W138" s="7">
        <v>0.3</v>
      </c>
      <c r="X138" s="7" t="s">
        <v>678</v>
      </c>
      <c r="Y138" s="24" t="s">
        <v>708</v>
      </c>
      <c r="AA138" s="50"/>
      <c r="AB138" s="50"/>
      <c r="AC138" s="50"/>
    </row>
    <row r="139">
      <c r="A139" s="7" t="s">
        <v>177</v>
      </c>
      <c r="B139" s="7" t="s">
        <v>25</v>
      </c>
      <c r="C139" s="7" t="s">
        <v>26</v>
      </c>
      <c r="D139" s="7" t="s">
        <v>128</v>
      </c>
      <c r="E139" s="7">
        <v>16.0</v>
      </c>
      <c r="F139" s="7">
        <v>2008.0</v>
      </c>
      <c r="G139" s="7">
        <v>3.0</v>
      </c>
      <c r="H139" s="7">
        <v>0.0</v>
      </c>
      <c r="I139" s="7">
        <v>35.0</v>
      </c>
      <c r="J139" s="7">
        <v>0.4</v>
      </c>
      <c r="K139" s="7">
        <v>0.0</v>
      </c>
      <c r="L139" s="7">
        <v>0.0</v>
      </c>
      <c r="M139" s="7">
        <v>0.0</v>
      </c>
      <c r="N139" s="7">
        <v>0.0</v>
      </c>
      <c r="O139" s="7">
        <v>0.0</v>
      </c>
      <c r="P139" s="7">
        <v>0.0</v>
      </c>
      <c r="Q139" s="7">
        <v>0.0</v>
      </c>
      <c r="R139" s="7">
        <v>0.0</v>
      </c>
      <c r="S139" s="8">
        <v>0.0</v>
      </c>
      <c r="T139" s="7">
        <v>0.0</v>
      </c>
      <c r="U139" s="7">
        <v>0.0</v>
      </c>
      <c r="V139" s="7">
        <v>0.0</v>
      </c>
      <c r="W139" s="7">
        <v>0.0</v>
      </c>
      <c r="X139" s="7" t="s">
        <v>810</v>
      </c>
      <c r="Y139" s="24" t="s">
        <v>708</v>
      </c>
      <c r="AA139" s="50"/>
      <c r="AB139" s="50"/>
      <c r="AC139" s="50"/>
    </row>
    <row r="140">
      <c r="A140" s="7" t="s">
        <v>179</v>
      </c>
      <c r="B140" s="7" t="s">
        <v>34</v>
      </c>
      <c r="C140" s="7" t="s">
        <v>35</v>
      </c>
      <c r="D140" s="7" t="s">
        <v>80</v>
      </c>
      <c r="E140" s="7">
        <v>22.0</v>
      </c>
      <c r="F140" s="7">
        <v>2002.0</v>
      </c>
      <c r="G140" s="7">
        <v>9.0</v>
      </c>
      <c r="H140" s="7">
        <v>8.0</v>
      </c>
      <c r="I140" s="7">
        <v>691.0</v>
      </c>
      <c r="J140" s="7">
        <v>7.7</v>
      </c>
      <c r="K140" s="7">
        <v>0.0</v>
      </c>
      <c r="L140" s="7">
        <v>0.0</v>
      </c>
      <c r="M140" s="7">
        <v>0.0</v>
      </c>
      <c r="N140" s="7">
        <v>0.0</v>
      </c>
      <c r="O140" s="7">
        <v>0.0</v>
      </c>
      <c r="P140" s="7">
        <v>0.0</v>
      </c>
      <c r="Q140" s="7">
        <v>1.0</v>
      </c>
      <c r="R140" s="7">
        <v>0.0</v>
      </c>
      <c r="S140" s="8">
        <v>0.0</v>
      </c>
      <c r="T140" s="7">
        <v>0.0</v>
      </c>
      <c r="U140" s="7">
        <v>0.0</v>
      </c>
      <c r="V140" s="7">
        <v>0.0</v>
      </c>
      <c r="W140" s="7">
        <v>0.0</v>
      </c>
      <c r="X140" s="7" t="s">
        <v>688</v>
      </c>
      <c r="Y140" s="7" t="s">
        <v>713</v>
      </c>
      <c r="AA140" s="50"/>
      <c r="AB140" s="50"/>
      <c r="AC140" s="50"/>
    </row>
    <row r="141">
      <c r="A141" s="7" t="s">
        <v>181</v>
      </c>
      <c r="B141" s="7" t="s">
        <v>25</v>
      </c>
      <c r="C141" s="7" t="s">
        <v>35</v>
      </c>
      <c r="D141" s="7" t="s">
        <v>31</v>
      </c>
      <c r="E141" s="7">
        <v>27.0</v>
      </c>
      <c r="F141" s="7">
        <v>1996.0</v>
      </c>
      <c r="G141" s="7">
        <v>31.0</v>
      </c>
      <c r="H141" s="7">
        <v>29.0</v>
      </c>
      <c r="I141" s="25">
        <v>2514.0</v>
      </c>
      <c r="J141" s="7">
        <v>27.9</v>
      </c>
      <c r="K141" s="7">
        <v>1.0</v>
      </c>
      <c r="L141" s="7">
        <v>1.0</v>
      </c>
      <c r="M141" s="7">
        <v>2.0</v>
      </c>
      <c r="N141" s="7">
        <v>1.0</v>
      </c>
      <c r="O141" s="7">
        <v>0.0</v>
      </c>
      <c r="P141" s="7">
        <v>0.0</v>
      </c>
      <c r="Q141" s="7">
        <v>10.0</v>
      </c>
      <c r="R141" s="7">
        <v>0.0</v>
      </c>
      <c r="S141" s="8">
        <v>0.04</v>
      </c>
      <c r="T141" s="7">
        <v>0.04</v>
      </c>
      <c r="U141" s="7">
        <v>0.07</v>
      </c>
      <c r="V141" s="7">
        <v>0.04</v>
      </c>
      <c r="W141" s="7">
        <v>0.07</v>
      </c>
      <c r="X141" s="7" t="s">
        <v>709</v>
      </c>
      <c r="Y141" s="24" t="s">
        <v>701</v>
      </c>
      <c r="AA141" s="50"/>
      <c r="AB141" s="50"/>
      <c r="AC141" s="50"/>
    </row>
    <row r="142">
      <c r="A142" s="7" t="s">
        <v>183</v>
      </c>
      <c r="B142" s="7" t="s">
        <v>25</v>
      </c>
      <c r="C142" s="7" t="s">
        <v>26</v>
      </c>
      <c r="D142" s="7" t="s">
        <v>52</v>
      </c>
      <c r="E142" s="7">
        <v>27.0</v>
      </c>
      <c r="F142" s="7">
        <v>1996.0</v>
      </c>
      <c r="G142" s="7">
        <v>26.0</v>
      </c>
      <c r="H142" s="7">
        <v>12.0</v>
      </c>
      <c r="I142" s="25">
        <v>1154.0</v>
      </c>
      <c r="J142" s="7">
        <v>12.8</v>
      </c>
      <c r="K142" s="7">
        <v>1.0</v>
      </c>
      <c r="L142" s="7">
        <v>3.0</v>
      </c>
      <c r="M142" s="7">
        <v>4.0</v>
      </c>
      <c r="N142" s="7">
        <v>1.0</v>
      </c>
      <c r="O142" s="7">
        <v>0.0</v>
      </c>
      <c r="P142" s="7">
        <v>0.0</v>
      </c>
      <c r="Q142" s="7">
        <v>2.0</v>
      </c>
      <c r="R142" s="7">
        <v>0.0</v>
      </c>
      <c r="S142" s="8">
        <v>0.08</v>
      </c>
      <c r="T142" s="7">
        <v>0.23</v>
      </c>
      <c r="U142" s="7">
        <v>0.31</v>
      </c>
      <c r="V142" s="7">
        <v>0.08</v>
      </c>
      <c r="W142" s="7">
        <v>0.31</v>
      </c>
      <c r="X142" s="7" t="s">
        <v>688</v>
      </c>
      <c r="Y142" s="7" t="s">
        <v>707</v>
      </c>
      <c r="AA142" s="50"/>
      <c r="AB142" s="50"/>
      <c r="AC142" s="50"/>
    </row>
    <row r="143">
      <c r="A143" s="7" t="s">
        <v>185</v>
      </c>
      <c r="B143" s="7" t="s">
        <v>25</v>
      </c>
      <c r="C143" s="7" t="s">
        <v>47</v>
      </c>
      <c r="D143" s="7" t="s">
        <v>31</v>
      </c>
      <c r="E143" s="7">
        <v>25.0</v>
      </c>
      <c r="F143" s="7">
        <v>1998.0</v>
      </c>
      <c r="G143" s="7">
        <v>10.0</v>
      </c>
      <c r="H143" s="7">
        <v>7.0</v>
      </c>
      <c r="I143" s="7">
        <v>614.0</v>
      </c>
      <c r="J143" s="7">
        <v>6.8</v>
      </c>
      <c r="K143" s="7">
        <v>1.0</v>
      </c>
      <c r="L143" s="7">
        <v>1.0</v>
      </c>
      <c r="M143" s="7">
        <v>2.0</v>
      </c>
      <c r="N143" s="7">
        <v>1.0</v>
      </c>
      <c r="O143" s="7">
        <v>0.0</v>
      </c>
      <c r="P143" s="7">
        <v>0.0</v>
      </c>
      <c r="Q143" s="7">
        <v>1.0</v>
      </c>
      <c r="R143" s="7">
        <v>0.0</v>
      </c>
      <c r="S143" s="8">
        <v>0.15</v>
      </c>
      <c r="T143" s="7">
        <v>0.15</v>
      </c>
      <c r="U143" s="7">
        <v>0.29</v>
      </c>
      <c r="V143" s="7">
        <v>0.15</v>
      </c>
      <c r="W143" s="7">
        <v>0.29</v>
      </c>
      <c r="X143" s="7" t="s">
        <v>688</v>
      </c>
      <c r="Y143" s="7" t="s">
        <v>695</v>
      </c>
      <c r="AA143" s="50"/>
      <c r="AB143" s="50"/>
      <c r="AC143" s="50"/>
    </row>
    <row r="144">
      <c r="A144" s="7" t="s">
        <v>187</v>
      </c>
      <c r="B144" s="7" t="s">
        <v>25</v>
      </c>
      <c r="C144" s="7" t="s">
        <v>55</v>
      </c>
      <c r="D144" s="7" t="s">
        <v>58</v>
      </c>
      <c r="E144" s="7">
        <v>16.0</v>
      </c>
      <c r="F144" s="7">
        <v>2007.0</v>
      </c>
      <c r="G144" s="7">
        <v>1.0</v>
      </c>
      <c r="H144" s="7">
        <v>0.0</v>
      </c>
      <c r="I144" s="7">
        <v>1.0</v>
      </c>
      <c r="J144" s="7">
        <v>0.0</v>
      </c>
      <c r="K144" s="7">
        <v>0.0</v>
      </c>
      <c r="L144" s="7">
        <v>0.0</v>
      </c>
      <c r="M144" s="7">
        <v>0.0</v>
      </c>
      <c r="N144" s="7">
        <v>0.0</v>
      </c>
      <c r="O144" s="7">
        <v>0.0</v>
      </c>
      <c r="P144" s="7">
        <v>0.0</v>
      </c>
      <c r="Q144" s="7">
        <v>0.0</v>
      </c>
      <c r="R144" s="7">
        <v>0.0</v>
      </c>
      <c r="S144" s="8">
        <v>0.0</v>
      </c>
      <c r="T144" s="7">
        <v>0.0</v>
      </c>
      <c r="U144" s="7">
        <v>0.0</v>
      </c>
      <c r="V144" s="7">
        <v>0.0</v>
      </c>
      <c r="W144" s="7">
        <v>0.0</v>
      </c>
      <c r="X144" s="7" t="s">
        <v>696</v>
      </c>
      <c r="Y144" s="24" t="s">
        <v>691</v>
      </c>
      <c r="AA144" s="50"/>
      <c r="AB144" s="50"/>
      <c r="AC144" s="50"/>
    </row>
    <row r="145">
      <c r="A145" s="7" t="s">
        <v>189</v>
      </c>
      <c r="B145" s="7" t="s">
        <v>25</v>
      </c>
      <c r="C145" s="7" t="s">
        <v>47</v>
      </c>
      <c r="D145" s="7" t="s">
        <v>44</v>
      </c>
      <c r="E145" s="7">
        <v>24.0</v>
      </c>
      <c r="F145" s="7">
        <v>1999.0</v>
      </c>
      <c r="G145" s="7">
        <v>29.0</v>
      </c>
      <c r="H145" s="7">
        <v>16.0</v>
      </c>
      <c r="I145" s="25">
        <v>1332.0</v>
      </c>
      <c r="J145" s="7">
        <v>14.8</v>
      </c>
      <c r="K145" s="7">
        <v>3.0</v>
      </c>
      <c r="L145" s="7">
        <v>1.0</v>
      </c>
      <c r="M145" s="7">
        <v>4.0</v>
      </c>
      <c r="N145" s="7">
        <v>3.0</v>
      </c>
      <c r="O145" s="7">
        <v>0.0</v>
      </c>
      <c r="P145" s="7">
        <v>0.0</v>
      </c>
      <c r="Q145" s="7">
        <v>6.0</v>
      </c>
      <c r="R145" s="7">
        <v>0.0</v>
      </c>
      <c r="S145" s="8">
        <v>0.2</v>
      </c>
      <c r="T145" s="7">
        <v>0.07</v>
      </c>
      <c r="U145" s="7">
        <v>0.27</v>
      </c>
      <c r="V145" s="7">
        <v>0.2</v>
      </c>
      <c r="W145" s="7">
        <v>0.27</v>
      </c>
      <c r="X145" s="7" t="s">
        <v>690</v>
      </c>
      <c r="Y145" s="24" t="s">
        <v>691</v>
      </c>
      <c r="AA145" s="50"/>
      <c r="AB145" s="50"/>
      <c r="AC145" s="50"/>
    </row>
    <row r="146">
      <c r="A146" s="7" t="s">
        <v>191</v>
      </c>
      <c r="B146" s="7" t="s">
        <v>70</v>
      </c>
      <c r="C146" s="7" t="s">
        <v>30</v>
      </c>
      <c r="D146" s="7" t="s">
        <v>52</v>
      </c>
      <c r="E146" s="7">
        <v>28.0</v>
      </c>
      <c r="F146" s="7">
        <v>1995.0</v>
      </c>
      <c r="G146" s="7">
        <v>32.0</v>
      </c>
      <c r="H146" s="7">
        <v>14.0</v>
      </c>
      <c r="I146" s="25">
        <v>1499.0</v>
      </c>
      <c r="J146" s="7">
        <v>16.7</v>
      </c>
      <c r="K146" s="7">
        <v>7.0</v>
      </c>
      <c r="L146" s="7">
        <v>2.0</v>
      </c>
      <c r="M146" s="7">
        <v>9.0</v>
      </c>
      <c r="N146" s="7">
        <v>7.0</v>
      </c>
      <c r="O146" s="7">
        <v>0.0</v>
      </c>
      <c r="P146" s="7">
        <v>0.0</v>
      </c>
      <c r="Q146" s="7">
        <v>4.0</v>
      </c>
      <c r="R146" s="7">
        <v>0.0</v>
      </c>
      <c r="S146" s="8">
        <v>0.42</v>
      </c>
      <c r="T146" s="7">
        <v>0.12</v>
      </c>
      <c r="U146" s="7">
        <v>0.54</v>
      </c>
      <c r="V146" s="7">
        <v>0.42</v>
      </c>
      <c r="W146" s="7">
        <v>0.54</v>
      </c>
      <c r="X146" s="7" t="s">
        <v>699</v>
      </c>
      <c r="Y146" s="7" t="s">
        <v>707</v>
      </c>
      <c r="AA146" s="50"/>
      <c r="AB146" s="50"/>
      <c r="AC146" s="50"/>
    </row>
    <row r="147">
      <c r="A147" s="7" t="s">
        <v>193</v>
      </c>
      <c r="B147" s="7" t="s">
        <v>25</v>
      </c>
      <c r="C147" s="7" t="s">
        <v>77</v>
      </c>
      <c r="D147" s="7" t="s">
        <v>27</v>
      </c>
      <c r="E147" s="7">
        <v>29.0</v>
      </c>
      <c r="F147" s="7">
        <v>1994.0</v>
      </c>
      <c r="G147" s="7">
        <v>20.0</v>
      </c>
      <c r="H147" s="7">
        <v>20.0</v>
      </c>
      <c r="I147" s="25">
        <v>1800.0</v>
      </c>
      <c r="J147" s="7">
        <v>20.0</v>
      </c>
      <c r="K147" s="7">
        <v>0.0</v>
      </c>
      <c r="L147" s="7">
        <v>0.0</v>
      </c>
      <c r="M147" s="7">
        <v>0.0</v>
      </c>
      <c r="N147" s="7">
        <v>0.0</v>
      </c>
      <c r="O147" s="7">
        <v>0.0</v>
      </c>
      <c r="P147" s="7">
        <v>0.0</v>
      </c>
      <c r="Q147" s="7">
        <v>2.0</v>
      </c>
      <c r="R147" s="7">
        <v>0.0</v>
      </c>
      <c r="S147" s="8">
        <v>0.0</v>
      </c>
      <c r="T147" s="7">
        <v>0.0</v>
      </c>
      <c r="U147" s="7">
        <v>0.0</v>
      </c>
      <c r="V147" s="7">
        <v>0.0</v>
      </c>
      <c r="W147" s="7">
        <v>0.0</v>
      </c>
      <c r="X147" s="7" t="s">
        <v>810</v>
      </c>
      <c r="Y147" s="24" t="s">
        <v>701</v>
      </c>
      <c r="AA147" s="50"/>
      <c r="AB147" s="50"/>
      <c r="AC147" s="50"/>
    </row>
    <row r="148">
      <c r="A148" s="7" t="s">
        <v>195</v>
      </c>
      <c r="B148" s="7" t="s">
        <v>25</v>
      </c>
      <c r="C148" s="7" t="s">
        <v>26</v>
      </c>
      <c r="D148" s="7" t="s">
        <v>80</v>
      </c>
      <c r="E148" s="7">
        <v>25.0</v>
      </c>
      <c r="F148" s="7">
        <v>1998.0</v>
      </c>
      <c r="G148" s="7">
        <v>13.0</v>
      </c>
      <c r="H148" s="7">
        <v>1.0</v>
      </c>
      <c r="I148" s="7">
        <v>325.0</v>
      </c>
      <c r="J148" s="7">
        <v>3.6</v>
      </c>
      <c r="K148" s="7">
        <v>0.0</v>
      </c>
      <c r="L148" s="7">
        <v>0.0</v>
      </c>
      <c r="M148" s="7">
        <v>0.0</v>
      </c>
      <c r="N148" s="7">
        <v>0.0</v>
      </c>
      <c r="O148" s="7">
        <v>0.0</v>
      </c>
      <c r="P148" s="7">
        <v>0.0</v>
      </c>
      <c r="Q148" s="7">
        <v>0.0</v>
      </c>
      <c r="R148" s="7">
        <v>0.0</v>
      </c>
      <c r="S148" s="8">
        <v>0.0</v>
      </c>
      <c r="T148" s="7">
        <v>0.0</v>
      </c>
      <c r="U148" s="7">
        <v>0.0</v>
      </c>
      <c r="V148" s="7">
        <v>0.0</v>
      </c>
      <c r="W148" s="7">
        <v>0.0</v>
      </c>
      <c r="X148" s="7" t="s">
        <v>810</v>
      </c>
      <c r="Y148" s="24" t="s">
        <v>708</v>
      </c>
      <c r="AA148" s="50"/>
      <c r="AB148" s="50"/>
      <c r="AC148" s="50"/>
    </row>
    <row r="149">
      <c r="A149" s="7" t="s">
        <v>197</v>
      </c>
      <c r="B149" s="7" t="s">
        <v>97</v>
      </c>
      <c r="C149" s="7" t="s">
        <v>26</v>
      </c>
      <c r="D149" s="7" t="s">
        <v>31</v>
      </c>
      <c r="E149" s="7">
        <v>21.0</v>
      </c>
      <c r="F149" s="7">
        <v>2002.0</v>
      </c>
      <c r="G149" s="7">
        <v>28.0</v>
      </c>
      <c r="H149" s="7">
        <v>23.0</v>
      </c>
      <c r="I149" s="25">
        <v>2086.0</v>
      </c>
      <c r="J149" s="7">
        <v>23.2</v>
      </c>
      <c r="K149" s="7">
        <v>5.0</v>
      </c>
      <c r="L149" s="7">
        <v>5.0</v>
      </c>
      <c r="M149" s="7">
        <v>10.0</v>
      </c>
      <c r="N149" s="7">
        <v>5.0</v>
      </c>
      <c r="O149" s="7">
        <v>0.0</v>
      </c>
      <c r="P149" s="7">
        <v>0.0</v>
      </c>
      <c r="Q149" s="7">
        <v>4.0</v>
      </c>
      <c r="R149" s="7">
        <v>0.0</v>
      </c>
      <c r="S149" s="8">
        <v>0.22</v>
      </c>
      <c r="T149" s="7">
        <v>0.22</v>
      </c>
      <c r="U149" s="7">
        <v>0.43</v>
      </c>
      <c r="V149" s="7">
        <v>0.22</v>
      </c>
      <c r="W149" s="7">
        <v>0.43</v>
      </c>
      <c r="X149" s="7" t="s">
        <v>698</v>
      </c>
      <c r="Y149" s="7" t="s">
        <v>668</v>
      </c>
      <c r="AA149" s="50"/>
      <c r="AB149" s="50"/>
      <c r="AC149" s="50"/>
    </row>
    <row r="150">
      <c r="A150" s="7" t="s">
        <v>199</v>
      </c>
      <c r="B150" s="7" t="s">
        <v>25</v>
      </c>
      <c r="C150" s="7" t="s">
        <v>35</v>
      </c>
      <c r="D150" s="7" t="s">
        <v>98</v>
      </c>
      <c r="E150" s="7">
        <v>25.0</v>
      </c>
      <c r="F150" s="7">
        <v>1998.0</v>
      </c>
      <c r="G150" s="7">
        <v>33.0</v>
      </c>
      <c r="H150" s="7">
        <v>32.0</v>
      </c>
      <c r="I150" s="25">
        <v>2815.0</v>
      </c>
      <c r="J150" s="7">
        <v>31.3</v>
      </c>
      <c r="K150" s="7">
        <v>2.0</v>
      </c>
      <c r="L150" s="7">
        <v>3.0</v>
      </c>
      <c r="M150" s="7">
        <v>5.0</v>
      </c>
      <c r="N150" s="7">
        <v>2.0</v>
      </c>
      <c r="O150" s="7">
        <v>0.0</v>
      </c>
      <c r="P150" s="7">
        <v>0.0</v>
      </c>
      <c r="Q150" s="7">
        <v>7.0</v>
      </c>
      <c r="R150" s="7">
        <v>1.0</v>
      </c>
      <c r="S150" s="8">
        <v>0.06</v>
      </c>
      <c r="T150" s="7">
        <v>0.1</v>
      </c>
      <c r="U150" s="7">
        <v>0.16</v>
      </c>
      <c r="V150" s="7">
        <v>0.06</v>
      </c>
      <c r="W150" s="7">
        <v>0.16</v>
      </c>
      <c r="X150" s="7" t="s">
        <v>667</v>
      </c>
      <c r="Y150" s="7" t="s">
        <v>714</v>
      </c>
      <c r="AA150" s="50"/>
      <c r="AB150" s="50"/>
      <c r="AC150" s="50"/>
    </row>
    <row r="151">
      <c r="A151" s="7" t="s">
        <v>201</v>
      </c>
      <c r="B151" s="7" t="s">
        <v>25</v>
      </c>
      <c r="C151" s="7" t="s">
        <v>26</v>
      </c>
      <c r="D151" s="7" t="s">
        <v>36</v>
      </c>
      <c r="E151" s="7">
        <v>26.0</v>
      </c>
      <c r="F151" s="7">
        <v>1997.0</v>
      </c>
      <c r="G151" s="7">
        <v>34.0</v>
      </c>
      <c r="H151" s="7">
        <v>30.0</v>
      </c>
      <c r="I151" s="25">
        <v>2625.0</v>
      </c>
      <c r="J151" s="7">
        <v>29.2</v>
      </c>
      <c r="K151" s="7">
        <v>1.0</v>
      </c>
      <c r="L151" s="7">
        <v>4.0</v>
      </c>
      <c r="M151" s="7">
        <v>5.0</v>
      </c>
      <c r="N151" s="7">
        <v>1.0</v>
      </c>
      <c r="O151" s="7">
        <v>0.0</v>
      </c>
      <c r="P151" s="7">
        <v>0.0</v>
      </c>
      <c r="Q151" s="7">
        <v>8.0</v>
      </c>
      <c r="R151" s="7">
        <v>0.0</v>
      </c>
      <c r="S151" s="8">
        <v>0.03</v>
      </c>
      <c r="T151" s="7">
        <v>0.14</v>
      </c>
      <c r="U151" s="7">
        <v>0.17</v>
      </c>
      <c r="V151" s="7">
        <v>0.03</v>
      </c>
      <c r="W151" s="7">
        <v>0.17</v>
      </c>
      <c r="X151" s="7" t="s">
        <v>715</v>
      </c>
      <c r="Y151" s="24" t="s">
        <v>703</v>
      </c>
      <c r="AA151" s="50"/>
      <c r="AB151" s="50"/>
      <c r="AC151" s="50"/>
    </row>
    <row r="152">
      <c r="A152" s="7" t="s">
        <v>203</v>
      </c>
      <c r="B152" s="7" t="s">
        <v>25</v>
      </c>
      <c r="C152" s="7" t="s">
        <v>47</v>
      </c>
      <c r="D152" s="7" t="s">
        <v>31</v>
      </c>
      <c r="E152" s="7">
        <v>22.0</v>
      </c>
      <c r="F152" s="7">
        <v>2001.0</v>
      </c>
      <c r="G152" s="7">
        <v>27.0</v>
      </c>
      <c r="H152" s="7">
        <v>19.0</v>
      </c>
      <c r="I152" s="25">
        <v>1739.0</v>
      </c>
      <c r="J152" s="7">
        <v>19.3</v>
      </c>
      <c r="K152" s="7">
        <v>1.0</v>
      </c>
      <c r="L152" s="7">
        <v>2.0</v>
      </c>
      <c r="M152" s="7">
        <v>3.0</v>
      </c>
      <c r="N152" s="7">
        <v>1.0</v>
      </c>
      <c r="O152" s="7">
        <v>0.0</v>
      </c>
      <c r="P152" s="7">
        <v>0.0</v>
      </c>
      <c r="Q152" s="7">
        <v>4.0</v>
      </c>
      <c r="R152" s="7">
        <v>0.0</v>
      </c>
      <c r="S152" s="8">
        <v>0.05</v>
      </c>
      <c r="T152" s="7">
        <v>0.1</v>
      </c>
      <c r="U152" s="7">
        <v>0.16</v>
      </c>
      <c r="V152" s="7">
        <v>0.05</v>
      </c>
      <c r="W152" s="7">
        <v>0.16</v>
      </c>
      <c r="X152" s="7" t="s">
        <v>712</v>
      </c>
      <c r="Y152" s="24" t="s">
        <v>706</v>
      </c>
      <c r="AA152" s="50"/>
      <c r="AB152" s="50"/>
      <c r="AC152" s="50"/>
    </row>
    <row r="153">
      <c r="A153" s="7" t="s">
        <v>205</v>
      </c>
      <c r="B153" s="7" t="s">
        <v>25</v>
      </c>
      <c r="C153" s="7" t="s">
        <v>83</v>
      </c>
      <c r="D153" s="7" t="s">
        <v>98</v>
      </c>
      <c r="E153" s="7">
        <v>23.0</v>
      </c>
      <c r="F153" s="7">
        <v>2000.0</v>
      </c>
      <c r="G153" s="7">
        <v>35.0</v>
      </c>
      <c r="H153" s="7">
        <v>35.0</v>
      </c>
      <c r="I153" s="25">
        <v>3037.0</v>
      </c>
      <c r="J153" s="7">
        <v>33.7</v>
      </c>
      <c r="K153" s="7">
        <v>2.0</v>
      </c>
      <c r="L153" s="7">
        <v>1.0</v>
      </c>
      <c r="M153" s="7">
        <v>3.0</v>
      </c>
      <c r="N153" s="7">
        <v>2.0</v>
      </c>
      <c r="O153" s="7">
        <v>0.0</v>
      </c>
      <c r="P153" s="7">
        <v>0.0</v>
      </c>
      <c r="Q153" s="7">
        <v>8.0</v>
      </c>
      <c r="R153" s="7">
        <v>0.0</v>
      </c>
      <c r="S153" s="8">
        <v>0.06</v>
      </c>
      <c r="T153" s="7">
        <v>0.03</v>
      </c>
      <c r="U153" s="7">
        <v>0.09</v>
      </c>
      <c r="V153" s="7">
        <v>0.06</v>
      </c>
      <c r="W153" s="7">
        <v>0.09</v>
      </c>
      <c r="X153" s="7" t="s">
        <v>715</v>
      </c>
      <c r="Y153" s="7" t="s">
        <v>716</v>
      </c>
      <c r="AA153" s="50"/>
      <c r="AB153" s="50"/>
      <c r="AC153" s="50"/>
    </row>
    <row r="154">
      <c r="A154" s="7" t="s">
        <v>207</v>
      </c>
      <c r="B154" s="7" t="s">
        <v>25</v>
      </c>
      <c r="C154" s="7" t="s">
        <v>47</v>
      </c>
      <c r="D154" s="7" t="s">
        <v>80</v>
      </c>
      <c r="E154" s="7">
        <v>31.0</v>
      </c>
      <c r="F154" s="7">
        <v>1992.0</v>
      </c>
      <c r="G154" s="7">
        <v>36.0</v>
      </c>
      <c r="H154" s="7">
        <v>34.0</v>
      </c>
      <c r="I154" s="25">
        <v>2994.0</v>
      </c>
      <c r="J154" s="7">
        <v>33.3</v>
      </c>
      <c r="K154" s="7">
        <v>4.0</v>
      </c>
      <c r="L154" s="7">
        <v>4.0</v>
      </c>
      <c r="M154" s="7">
        <v>8.0</v>
      </c>
      <c r="N154" s="7">
        <v>4.0</v>
      </c>
      <c r="O154" s="7">
        <v>0.0</v>
      </c>
      <c r="P154" s="7">
        <v>0.0</v>
      </c>
      <c r="Q154" s="7">
        <v>2.0</v>
      </c>
      <c r="R154" s="7">
        <v>0.0</v>
      </c>
      <c r="S154" s="8">
        <v>0.12</v>
      </c>
      <c r="T154" s="7">
        <v>0.12</v>
      </c>
      <c r="U154" s="7">
        <v>0.24</v>
      </c>
      <c r="V154" s="7">
        <v>0.12</v>
      </c>
      <c r="W154" s="7">
        <v>0.24</v>
      </c>
      <c r="X154" s="7" t="s">
        <v>717</v>
      </c>
      <c r="Y154" s="24" t="s">
        <v>700</v>
      </c>
      <c r="AA154" s="50"/>
      <c r="AB154" s="50"/>
      <c r="AC154" s="50"/>
    </row>
    <row r="155">
      <c r="A155" s="7" t="s">
        <v>209</v>
      </c>
      <c r="B155" s="7" t="s">
        <v>25</v>
      </c>
      <c r="C155" s="7" t="s">
        <v>47</v>
      </c>
      <c r="D155" s="7" t="s">
        <v>62</v>
      </c>
      <c r="E155" s="7">
        <v>25.0</v>
      </c>
      <c r="F155" s="7">
        <v>1998.0</v>
      </c>
      <c r="G155" s="7">
        <v>36.0</v>
      </c>
      <c r="H155" s="7">
        <v>24.0</v>
      </c>
      <c r="I155" s="25">
        <v>2304.0</v>
      </c>
      <c r="J155" s="7">
        <v>25.6</v>
      </c>
      <c r="K155" s="7">
        <v>2.0</v>
      </c>
      <c r="L155" s="7">
        <v>1.0</v>
      </c>
      <c r="M155" s="7">
        <v>3.0</v>
      </c>
      <c r="N155" s="7">
        <v>2.0</v>
      </c>
      <c r="O155" s="7">
        <v>0.0</v>
      </c>
      <c r="P155" s="7">
        <v>0.0</v>
      </c>
      <c r="Q155" s="7">
        <v>5.0</v>
      </c>
      <c r="R155" s="7">
        <v>0.0</v>
      </c>
      <c r="S155" s="8">
        <v>0.08</v>
      </c>
      <c r="T155" s="7">
        <v>0.04</v>
      </c>
      <c r="U155" s="7">
        <v>0.12</v>
      </c>
      <c r="V155" s="7">
        <v>0.08</v>
      </c>
      <c r="W155" s="7">
        <v>0.12</v>
      </c>
      <c r="X155" s="7" t="s">
        <v>682</v>
      </c>
      <c r="Y155" s="7" t="s">
        <v>668</v>
      </c>
      <c r="AA155" s="50"/>
      <c r="AB155" s="50"/>
      <c r="AC155" s="50"/>
    </row>
    <row r="156">
      <c r="A156" s="7" t="s">
        <v>211</v>
      </c>
      <c r="B156" s="7" t="s">
        <v>25</v>
      </c>
      <c r="C156" s="7" t="s">
        <v>35</v>
      </c>
      <c r="D156" s="7" t="s">
        <v>36</v>
      </c>
      <c r="E156" s="7">
        <v>33.0</v>
      </c>
      <c r="F156" s="7">
        <v>1990.0</v>
      </c>
      <c r="G156" s="7">
        <v>19.0</v>
      </c>
      <c r="H156" s="7">
        <v>13.0</v>
      </c>
      <c r="I156" s="25">
        <v>1176.0</v>
      </c>
      <c r="J156" s="7">
        <v>13.1</v>
      </c>
      <c r="K156" s="7">
        <v>0.0</v>
      </c>
      <c r="L156" s="7">
        <v>0.0</v>
      </c>
      <c r="M156" s="7">
        <v>0.0</v>
      </c>
      <c r="N156" s="7">
        <v>0.0</v>
      </c>
      <c r="O156" s="7">
        <v>0.0</v>
      </c>
      <c r="P156" s="7">
        <v>0.0</v>
      </c>
      <c r="Q156" s="7">
        <v>4.0</v>
      </c>
      <c r="R156" s="7">
        <v>0.0</v>
      </c>
      <c r="S156" s="8">
        <v>0.0</v>
      </c>
      <c r="T156" s="7">
        <v>0.0</v>
      </c>
      <c r="U156" s="7">
        <v>0.0</v>
      </c>
      <c r="V156" s="7">
        <v>0.0</v>
      </c>
      <c r="W156" s="7">
        <v>0.0</v>
      </c>
      <c r="X156" s="7" t="s">
        <v>678</v>
      </c>
      <c r="Y156" s="24" t="s">
        <v>702</v>
      </c>
      <c r="AA156" s="50"/>
      <c r="AB156" s="50"/>
      <c r="AC156" s="50"/>
    </row>
    <row r="157">
      <c r="A157" s="7" t="s">
        <v>213</v>
      </c>
      <c r="B157" s="7" t="s">
        <v>25</v>
      </c>
      <c r="C157" s="7" t="s">
        <v>26</v>
      </c>
      <c r="D157" s="7" t="s">
        <v>44</v>
      </c>
      <c r="E157" s="7">
        <v>22.0</v>
      </c>
      <c r="F157" s="7">
        <v>2001.0</v>
      </c>
      <c r="G157" s="7">
        <v>13.0</v>
      </c>
      <c r="H157" s="7">
        <v>13.0</v>
      </c>
      <c r="I157" s="25">
        <v>1166.0</v>
      </c>
      <c r="J157" s="7">
        <v>13.0</v>
      </c>
      <c r="K157" s="7">
        <v>4.0</v>
      </c>
      <c r="L157" s="7">
        <v>3.0</v>
      </c>
      <c r="M157" s="7">
        <v>7.0</v>
      </c>
      <c r="N157" s="7">
        <v>4.0</v>
      </c>
      <c r="O157" s="7">
        <v>0.0</v>
      </c>
      <c r="P157" s="7">
        <v>1.0</v>
      </c>
      <c r="Q157" s="7">
        <v>6.0</v>
      </c>
      <c r="R157" s="7">
        <v>0.0</v>
      </c>
      <c r="S157" s="8">
        <v>0.31</v>
      </c>
      <c r="T157" s="7">
        <v>0.23</v>
      </c>
      <c r="U157" s="7">
        <v>0.54</v>
      </c>
      <c r="V157" s="7">
        <v>0.31</v>
      </c>
      <c r="W157" s="7">
        <v>0.54</v>
      </c>
      <c r="X157" s="7" t="s">
        <v>718</v>
      </c>
      <c r="Y157" s="24" t="s">
        <v>702</v>
      </c>
      <c r="AA157" s="50"/>
      <c r="AB157" s="50"/>
      <c r="AC157" s="50"/>
    </row>
    <row r="158">
      <c r="A158" s="7" t="s">
        <v>215</v>
      </c>
      <c r="B158" s="7" t="s">
        <v>25</v>
      </c>
      <c r="C158" s="7" t="s">
        <v>47</v>
      </c>
      <c r="D158" s="7" t="s">
        <v>44</v>
      </c>
      <c r="E158" s="7">
        <v>25.0</v>
      </c>
      <c r="F158" s="7">
        <v>1998.0</v>
      </c>
      <c r="G158" s="7">
        <v>35.0</v>
      </c>
      <c r="H158" s="7">
        <v>32.0</v>
      </c>
      <c r="I158" s="25">
        <v>2822.0</v>
      </c>
      <c r="J158" s="7">
        <v>31.4</v>
      </c>
      <c r="K158" s="7">
        <v>7.0</v>
      </c>
      <c r="L158" s="7">
        <v>10.0</v>
      </c>
      <c r="M158" s="7">
        <v>17.0</v>
      </c>
      <c r="N158" s="7">
        <v>5.0</v>
      </c>
      <c r="O158" s="7">
        <v>2.0</v>
      </c>
      <c r="P158" s="7">
        <v>3.0</v>
      </c>
      <c r="Q158" s="7">
        <v>5.0</v>
      </c>
      <c r="R158" s="7">
        <v>0.0</v>
      </c>
      <c r="S158" s="8">
        <v>0.22</v>
      </c>
      <c r="T158" s="7">
        <v>0.32</v>
      </c>
      <c r="U158" s="7">
        <v>0.54</v>
      </c>
      <c r="V158" s="7">
        <v>0.16</v>
      </c>
      <c r="W158" s="7">
        <v>0.48</v>
      </c>
      <c r="X158" s="7" t="s">
        <v>698</v>
      </c>
      <c r="Y158" s="24" t="s">
        <v>697</v>
      </c>
      <c r="AA158" s="50"/>
      <c r="AB158" s="50"/>
      <c r="AC158" s="50"/>
    </row>
    <row r="159">
      <c r="A159" s="7" t="s">
        <v>217</v>
      </c>
      <c r="B159" s="7" t="s">
        <v>25</v>
      </c>
      <c r="C159" s="7" t="s">
        <v>26</v>
      </c>
      <c r="D159" s="7" t="s">
        <v>98</v>
      </c>
      <c r="E159" s="7">
        <v>21.0</v>
      </c>
      <c r="F159" s="7">
        <v>2002.0</v>
      </c>
      <c r="G159" s="7">
        <v>28.0</v>
      </c>
      <c r="H159" s="7">
        <v>19.0</v>
      </c>
      <c r="I159" s="25">
        <v>1658.0</v>
      </c>
      <c r="J159" s="7">
        <v>18.4</v>
      </c>
      <c r="K159" s="7">
        <v>3.0</v>
      </c>
      <c r="L159" s="7">
        <v>1.0</v>
      </c>
      <c r="M159" s="7">
        <v>4.0</v>
      </c>
      <c r="N159" s="7">
        <v>3.0</v>
      </c>
      <c r="O159" s="7">
        <v>0.0</v>
      </c>
      <c r="P159" s="7">
        <v>0.0</v>
      </c>
      <c r="Q159" s="7">
        <v>6.0</v>
      </c>
      <c r="R159" s="7">
        <v>0.0</v>
      </c>
      <c r="S159" s="8">
        <v>0.16</v>
      </c>
      <c r="T159" s="7">
        <v>0.05</v>
      </c>
      <c r="U159" s="7">
        <v>0.22</v>
      </c>
      <c r="V159" s="7">
        <v>0.16</v>
      </c>
      <c r="W159" s="7">
        <v>0.22</v>
      </c>
      <c r="X159" s="7" t="s">
        <v>719</v>
      </c>
      <c r="Y159" s="24" t="s">
        <v>702</v>
      </c>
      <c r="AA159" s="50"/>
      <c r="AB159" s="50"/>
      <c r="AC159" s="50"/>
    </row>
    <row r="160">
      <c r="A160" s="7" t="s">
        <v>219</v>
      </c>
      <c r="B160" s="7" t="s">
        <v>25</v>
      </c>
      <c r="C160" s="7" t="s">
        <v>26</v>
      </c>
      <c r="D160" s="7" t="s">
        <v>58</v>
      </c>
      <c r="E160" s="7">
        <v>23.0</v>
      </c>
      <c r="F160" s="7">
        <v>2000.0</v>
      </c>
      <c r="G160" s="7">
        <v>15.0</v>
      </c>
      <c r="H160" s="7">
        <v>1.0</v>
      </c>
      <c r="I160" s="7">
        <v>262.0</v>
      </c>
      <c r="J160" s="7">
        <v>2.9</v>
      </c>
      <c r="K160" s="7">
        <v>0.0</v>
      </c>
      <c r="L160" s="7">
        <v>0.0</v>
      </c>
      <c r="M160" s="7">
        <v>0.0</v>
      </c>
      <c r="N160" s="7">
        <v>0.0</v>
      </c>
      <c r="O160" s="7">
        <v>0.0</v>
      </c>
      <c r="P160" s="7">
        <v>0.0</v>
      </c>
      <c r="Q160" s="7">
        <v>2.0</v>
      </c>
      <c r="R160" s="7">
        <v>0.0</v>
      </c>
      <c r="S160" s="8">
        <v>0.0</v>
      </c>
      <c r="T160" s="7">
        <v>0.0</v>
      </c>
      <c r="U160" s="7">
        <v>0.0</v>
      </c>
      <c r="V160" s="7">
        <v>0.0</v>
      </c>
      <c r="W160" s="7">
        <v>0.0</v>
      </c>
      <c r="X160" s="7" t="s">
        <v>688</v>
      </c>
      <c r="Y160" s="7" t="s">
        <v>707</v>
      </c>
      <c r="AA160" s="50"/>
      <c r="AB160" s="50"/>
      <c r="AC160" s="50"/>
    </row>
    <row r="161">
      <c r="A161" s="7" t="s">
        <v>221</v>
      </c>
      <c r="B161" s="7" t="s">
        <v>70</v>
      </c>
      <c r="C161" s="7" t="s">
        <v>26</v>
      </c>
      <c r="D161" s="7" t="s">
        <v>44</v>
      </c>
      <c r="E161" s="7">
        <v>28.0</v>
      </c>
      <c r="F161" s="7">
        <v>1995.0</v>
      </c>
      <c r="G161" s="7">
        <v>26.0</v>
      </c>
      <c r="H161" s="7">
        <v>6.0</v>
      </c>
      <c r="I161" s="7">
        <v>737.0</v>
      </c>
      <c r="J161" s="7">
        <v>8.2</v>
      </c>
      <c r="K161" s="7">
        <v>1.0</v>
      </c>
      <c r="L161" s="7">
        <v>1.0</v>
      </c>
      <c r="M161" s="7">
        <v>2.0</v>
      </c>
      <c r="N161" s="7">
        <v>1.0</v>
      </c>
      <c r="O161" s="7">
        <v>0.0</v>
      </c>
      <c r="P161" s="7">
        <v>0.0</v>
      </c>
      <c r="Q161" s="7">
        <v>4.0</v>
      </c>
      <c r="R161" s="7">
        <v>0.0</v>
      </c>
      <c r="S161" s="8">
        <v>0.12</v>
      </c>
      <c r="T161" s="7">
        <v>0.12</v>
      </c>
      <c r="U161" s="7">
        <v>0.24</v>
      </c>
      <c r="V161" s="7">
        <v>0.12</v>
      </c>
      <c r="W161" s="7">
        <v>0.24</v>
      </c>
      <c r="X161" s="7" t="s">
        <v>810</v>
      </c>
      <c r="Y161" s="24" t="s">
        <v>701</v>
      </c>
      <c r="AA161" s="50"/>
      <c r="AB161" s="50"/>
      <c r="AC161" s="50"/>
    </row>
    <row r="162">
      <c r="A162" s="7" t="s">
        <v>223</v>
      </c>
      <c r="B162" s="7" t="s">
        <v>34</v>
      </c>
      <c r="C162" s="7" t="s">
        <v>55</v>
      </c>
      <c r="D162" s="7" t="s">
        <v>36</v>
      </c>
      <c r="E162" s="7">
        <v>22.0</v>
      </c>
      <c r="F162" s="7">
        <v>2001.0</v>
      </c>
      <c r="G162" s="7">
        <v>14.0</v>
      </c>
      <c r="H162" s="7">
        <v>14.0</v>
      </c>
      <c r="I162" s="25">
        <v>1160.0</v>
      </c>
      <c r="J162" s="7">
        <v>12.9</v>
      </c>
      <c r="K162" s="7">
        <v>6.0</v>
      </c>
      <c r="L162" s="7">
        <v>2.0</v>
      </c>
      <c r="M162" s="7">
        <v>8.0</v>
      </c>
      <c r="N162" s="7">
        <v>3.0</v>
      </c>
      <c r="O162" s="7">
        <v>3.0</v>
      </c>
      <c r="P162" s="7">
        <v>3.0</v>
      </c>
      <c r="Q162" s="7">
        <v>4.0</v>
      </c>
      <c r="R162" s="7">
        <v>0.0</v>
      </c>
      <c r="S162" s="8">
        <v>0.47</v>
      </c>
      <c r="T162" s="7">
        <v>0.16</v>
      </c>
      <c r="U162" s="7">
        <v>0.62</v>
      </c>
      <c r="V162" s="7">
        <v>0.23</v>
      </c>
      <c r="W162" s="7">
        <v>0.39</v>
      </c>
      <c r="X162" s="7" t="s">
        <v>718</v>
      </c>
      <c r="Y162" s="7" t="s">
        <v>716</v>
      </c>
      <c r="AA162" s="50"/>
      <c r="AB162" s="50"/>
      <c r="AC162" s="50"/>
    </row>
    <row r="163">
      <c r="A163" s="7" t="s">
        <v>225</v>
      </c>
      <c r="B163" s="7" t="s">
        <v>34</v>
      </c>
      <c r="C163" s="7" t="s">
        <v>35</v>
      </c>
      <c r="D163" s="7" t="s">
        <v>52</v>
      </c>
      <c r="E163" s="7">
        <v>21.0</v>
      </c>
      <c r="F163" s="7">
        <v>2002.0</v>
      </c>
      <c r="G163" s="7">
        <v>3.0</v>
      </c>
      <c r="H163" s="7">
        <v>2.0</v>
      </c>
      <c r="I163" s="7">
        <v>175.0</v>
      </c>
      <c r="J163" s="7">
        <v>1.9</v>
      </c>
      <c r="K163" s="7">
        <v>0.0</v>
      </c>
      <c r="L163" s="7">
        <v>0.0</v>
      </c>
      <c r="M163" s="7">
        <v>0.0</v>
      </c>
      <c r="N163" s="7">
        <v>0.0</v>
      </c>
      <c r="O163" s="7">
        <v>0.0</v>
      </c>
      <c r="P163" s="7">
        <v>0.0</v>
      </c>
      <c r="Q163" s="7">
        <v>2.0</v>
      </c>
      <c r="R163" s="7">
        <v>0.0</v>
      </c>
      <c r="S163" s="8">
        <v>0.0</v>
      </c>
      <c r="T163" s="7">
        <v>0.0</v>
      </c>
      <c r="U163" s="7">
        <v>0.0</v>
      </c>
      <c r="V163" s="7">
        <v>0.0</v>
      </c>
      <c r="W163" s="7">
        <v>0.0</v>
      </c>
      <c r="X163" s="7" t="s">
        <v>698</v>
      </c>
      <c r="Y163" s="7" t="s">
        <v>687</v>
      </c>
      <c r="AA163" s="50"/>
      <c r="AB163" s="50"/>
      <c r="AC163" s="50"/>
    </row>
    <row r="164">
      <c r="A164" s="7" t="s">
        <v>227</v>
      </c>
      <c r="B164" s="7" t="s">
        <v>25</v>
      </c>
      <c r="C164" s="7" t="s">
        <v>26</v>
      </c>
      <c r="D164" s="7" t="s">
        <v>44</v>
      </c>
      <c r="E164" s="7">
        <v>28.0</v>
      </c>
      <c r="F164" s="7">
        <v>1995.0</v>
      </c>
      <c r="G164" s="7">
        <v>19.0</v>
      </c>
      <c r="H164" s="7">
        <v>10.0</v>
      </c>
      <c r="I164" s="7">
        <v>967.0</v>
      </c>
      <c r="J164" s="7">
        <v>10.7</v>
      </c>
      <c r="K164" s="7">
        <v>0.0</v>
      </c>
      <c r="L164" s="7">
        <v>2.0</v>
      </c>
      <c r="M164" s="7">
        <v>2.0</v>
      </c>
      <c r="N164" s="7">
        <v>0.0</v>
      </c>
      <c r="O164" s="7">
        <v>0.0</v>
      </c>
      <c r="P164" s="7">
        <v>0.0</v>
      </c>
      <c r="Q164" s="7">
        <v>4.0</v>
      </c>
      <c r="R164" s="7">
        <v>0.0</v>
      </c>
      <c r="S164" s="8">
        <v>0.0</v>
      </c>
      <c r="T164" s="7">
        <v>0.19</v>
      </c>
      <c r="U164" s="7">
        <v>0.19</v>
      </c>
      <c r="V164" s="7">
        <v>0.0</v>
      </c>
      <c r="W164" s="7">
        <v>0.19</v>
      </c>
      <c r="X164" s="7" t="s">
        <v>720</v>
      </c>
      <c r="Y164" s="7" t="s">
        <v>694</v>
      </c>
      <c r="AA164" s="50"/>
      <c r="AB164" s="50"/>
      <c r="AC164" s="50"/>
    </row>
    <row r="165">
      <c r="A165" s="7" t="s">
        <v>229</v>
      </c>
      <c r="B165" s="7" t="s">
        <v>25</v>
      </c>
      <c r="C165" s="7" t="s">
        <v>26</v>
      </c>
      <c r="D165" s="7" t="s">
        <v>31</v>
      </c>
      <c r="E165" s="7">
        <v>26.0</v>
      </c>
      <c r="F165" s="7">
        <v>1997.0</v>
      </c>
      <c r="G165" s="7">
        <v>30.0</v>
      </c>
      <c r="H165" s="7">
        <v>27.0</v>
      </c>
      <c r="I165" s="25">
        <v>2220.0</v>
      </c>
      <c r="J165" s="7">
        <v>24.7</v>
      </c>
      <c r="K165" s="7">
        <v>4.0</v>
      </c>
      <c r="L165" s="7">
        <v>7.0</v>
      </c>
      <c r="M165" s="7">
        <v>11.0</v>
      </c>
      <c r="N165" s="7">
        <v>4.0</v>
      </c>
      <c r="O165" s="7">
        <v>0.0</v>
      </c>
      <c r="P165" s="7">
        <v>1.0</v>
      </c>
      <c r="Q165" s="7">
        <v>6.0</v>
      </c>
      <c r="R165" s="7">
        <v>0.0</v>
      </c>
      <c r="S165" s="8">
        <v>0.16</v>
      </c>
      <c r="T165" s="7">
        <v>0.28</v>
      </c>
      <c r="U165" s="7">
        <v>0.45</v>
      </c>
      <c r="V165" s="7">
        <v>0.16</v>
      </c>
      <c r="W165" s="7">
        <v>0.45</v>
      </c>
      <c r="X165" s="7" t="s">
        <v>688</v>
      </c>
      <c r="Y165" s="24" t="s">
        <v>697</v>
      </c>
      <c r="AA165" s="50"/>
      <c r="AB165" s="50"/>
      <c r="AC165" s="50"/>
    </row>
    <row r="166">
      <c r="A166" s="7" t="s">
        <v>231</v>
      </c>
      <c r="B166" s="7" t="s">
        <v>25</v>
      </c>
      <c r="C166" s="7" t="s">
        <v>77</v>
      </c>
      <c r="D166" s="7" t="s">
        <v>128</v>
      </c>
      <c r="E166" s="7">
        <v>24.0</v>
      </c>
      <c r="F166" s="7">
        <v>1999.0</v>
      </c>
      <c r="G166" s="7">
        <v>36.0</v>
      </c>
      <c r="H166" s="7">
        <v>36.0</v>
      </c>
      <c r="I166" s="25">
        <v>3231.0</v>
      </c>
      <c r="J166" s="7">
        <v>35.9</v>
      </c>
      <c r="K166" s="7">
        <v>0.0</v>
      </c>
      <c r="L166" s="7">
        <v>0.0</v>
      </c>
      <c r="M166" s="7">
        <v>0.0</v>
      </c>
      <c r="N166" s="7">
        <v>0.0</v>
      </c>
      <c r="O166" s="7">
        <v>0.0</v>
      </c>
      <c r="P166" s="7">
        <v>0.0</v>
      </c>
      <c r="Q166" s="7">
        <v>2.0</v>
      </c>
      <c r="R166" s="7">
        <v>0.0</v>
      </c>
      <c r="S166" s="8">
        <v>0.0</v>
      </c>
      <c r="T166" s="7">
        <v>0.0</v>
      </c>
      <c r="U166" s="7">
        <v>0.0</v>
      </c>
      <c r="V166" s="7">
        <v>0.0</v>
      </c>
      <c r="W166" s="7">
        <v>0.0</v>
      </c>
      <c r="X166" s="7" t="s">
        <v>810</v>
      </c>
      <c r="Y166" s="24" t="s">
        <v>701</v>
      </c>
      <c r="AA166" s="50"/>
      <c r="AB166" s="50"/>
      <c r="AC166" s="50"/>
    </row>
    <row r="167">
      <c r="A167" s="7" t="s">
        <v>233</v>
      </c>
      <c r="B167" s="7" t="s">
        <v>25</v>
      </c>
      <c r="C167" s="7" t="s">
        <v>26</v>
      </c>
      <c r="D167" s="7" t="s">
        <v>62</v>
      </c>
      <c r="E167" s="7">
        <v>22.0</v>
      </c>
      <c r="F167" s="7">
        <v>2001.0</v>
      </c>
      <c r="G167" s="7">
        <v>36.0</v>
      </c>
      <c r="H167" s="7">
        <v>33.0</v>
      </c>
      <c r="I167" s="25">
        <v>2646.0</v>
      </c>
      <c r="J167" s="7">
        <v>29.4</v>
      </c>
      <c r="K167" s="7">
        <v>4.0</v>
      </c>
      <c r="L167" s="7">
        <v>1.0</v>
      </c>
      <c r="M167" s="7">
        <v>5.0</v>
      </c>
      <c r="N167" s="7">
        <v>4.0</v>
      </c>
      <c r="O167" s="7">
        <v>0.0</v>
      </c>
      <c r="P167" s="7">
        <v>0.0</v>
      </c>
      <c r="Q167" s="7">
        <v>0.0</v>
      </c>
      <c r="R167" s="7">
        <v>0.0</v>
      </c>
      <c r="S167" s="8">
        <v>0.14</v>
      </c>
      <c r="T167" s="7">
        <v>0.03</v>
      </c>
      <c r="U167" s="7">
        <v>0.17</v>
      </c>
      <c r="V167" s="7">
        <v>0.14</v>
      </c>
      <c r="W167" s="7">
        <v>0.17</v>
      </c>
      <c r="X167" s="7" t="s">
        <v>690</v>
      </c>
      <c r="Y167" s="7" t="s">
        <v>695</v>
      </c>
      <c r="AA167" s="50"/>
      <c r="AB167" s="50"/>
      <c r="AC167" s="50"/>
    </row>
    <row r="168">
      <c r="A168" s="7" t="s">
        <v>235</v>
      </c>
      <c r="B168" s="7" t="s">
        <v>34</v>
      </c>
      <c r="C168" s="7" t="s">
        <v>87</v>
      </c>
      <c r="D168" s="7" t="s">
        <v>36</v>
      </c>
      <c r="E168" s="7">
        <v>20.0</v>
      </c>
      <c r="F168" s="7">
        <v>2003.0</v>
      </c>
      <c r="G168" s="7">
        <v>14.0</v>
      </c>
      <c r="H168" s="7">
        <v>14.0</v>
      </c>
      <c r="I168" s="25">
        <v>1101.0</v>
      </c>
      <c r="J168" s="7">
        <v>12.2</v>
      </c>
      <c r="K168" s="7">
        <v>1.0</v>
      </c>
      <c r="L168" s="7">
        <v>0.0</v>
      </c>
      <c r="M168" s="7">
        <v>1.0</v>
      </c>
      <c r="N168" s="7">
        <v>1.0</v>
      </c>
      <c r="O168" s="7">
        <v>0.0</v>
      </c>
      <c r="P168" s="7">
        <v>0.0</v>
      </c>
      <c r="Q168" s="7">
        <v>4.0</v>
      </c>
      <c r="R168" s="7">
        <v>0.0</v>
      </c>
      <c r="S168" s="8">
        <v>0.08</v>
      </c>
      <c r="T168" s="7">
        <v>0.0</v>
      </c>
      <c r="U168" s="7">
        <v>0.08</v>
      </c>
      <c r="V168" s="7">
        <v>0.08</v>
      </c>
      <c r="W168" s="7">
        <v>0.08</v>
      </c>
      <c r="X168" s="7" t="s">
        <v>688</v>
      </c>
      <c r="Y168" s="7" t="s">
        <v>721</v>
      </c>
      <c r="AA168" s="50"/>
      <c r="AB168" s="50"/>
      <c r="AC168" s="50"/>
    </row>
    <row r="169">
      <c r="A169" s="7" t="s">
        <v>237</v>
      </c>
      <c r="B169" s="7" t="s">
        <v>34</v>
      </c>
      <c r="C169" s="7" t="s">
        <v>26</v>
      </c>
      <c r="D169" s="7" t="s">
        <v>128</v>
      </c>
      <c r="E169" s="7">
        <v>23.0</v>
      </c>
      <c r="F169" s="7">
        <v>2001.0</v>
      </c>
      <c r="G169" s="7">
        <v>34.0</v>
      </c>
      <c r="H169" s="7">
        <v>33.0</v>
      </c>
      <c r="I169" s="25">
        <v>2764.0</v>
      </c>
      <c r="J169" s="7">
        <v>30.7</v>
      </c>
      <c r="K169" s="7">
        <v>9.0</v>
      </c>
      <c r="L169" s="7">
        <v>4.0</v>
      </c>
      <c r="M169" s="7">
        <v>13.0</v>
      </c>
      <c r="N169" s="7">
        <v>7.0</v>
      </c>
      <c r="O169" s="7">
        <v>2.0</v>
      </c>
      <c r="P169" s="7">
        <v>2.0</v>
      </c>
      <c r="Q169" s="7">
        <v>7.0</v>
      </c>
      <c r="R169" s="7">
        <v>0.0</v>
      </c>
      <c r="S169" s="8">
        <v>0.29</v>
      </c>
      <c r="T169" s="7">
        <v>0.13</v>
      </c>
      <c r="U169" s="7">
        <v>0.42</v>
      </c>
      <c r="V169" s="7">
        <v>0.23</v>
      </c>
      <c r="W169" s="7">
        <v>0.36</v>
      </c>
      <c r="X169" s="7" t="s">
        <v>722</v>
      </c>
      <c r="Y169" s="24" t="s">
        <v>697</v>
      </c>
      <c r="AA169" s="50"/>
      <c r="AB169" s="50"/>
      <c r="AC169" s="50"/>
    </row>
    <row r="170">
      <c r="A170" s="7" t="s">
        <v>239</v>
      </c>
      <c r="B170" s="7"/>
      <c r="C170" s="7" t="s">
        <v>26</v>
      </c>
      <c r="D170" s="7" t="s">
        <v>36</v>
      </c>
      <c r="E170" s="7">
        <v>18.0</v>
      </c>
      <c r="F170" s="7">
        <v>2005.0</v>
      </c>
      <c r="G170" s="7">
        <v>1.0</v>
      </c>
      <c r="H170" s="7">
        <v>0.0</v>
      </c>
      <c r="I170" s="7">
        <v>15.0</v>
      </c>
      <c r="J170" s="7">
        <v>0.2</v>
      </c>
      <c r="K170" s="7">
        <v>0.0</v>
      </c>
      <c r="L170" s="7">
        <v>0.0</v>
      </c>
      <c r="M170" s="7">
        <v>0.0</v>
      </c>
      <c r="N170" s="7">
        <v>0.0</v>
      </c>
      <c r="O170" s="7">
        <v>0.0</v>
      </c>
      <c r="P170" s="7">
        <v>0.0</v>
      </c>
      <c r="Q170" s="7">
        <v>0.0</v>
      </c>
      <c r="R170" s="7">
        <v>0.0</v>
      </c>
      <c r="S170" s="8">
        <v>0.0</v>
      </c>
      <c r="T170" s="7">
        <v>0.0</v>
      </c>
      <c r="U170" s="7">
        <v>0.0</v>
      </c>
      <c r="V170" s="7">
        <v>0.0</v>
      </c>
      <c r="W170" s="7">
        <v>0.0</v>
      </c>
      <c r="X170" s="7" t="s">
        <v>810</v>
      </c>
      <c r="Y170" s="24" t="s">
        <v>708</v>
      </c>
      <c r="AA170" s="50"/>
      <c r="AB170" s="50"/>
      <c r="AC170" s="50"/>
    </row>
    <row r="171">
      <c r="A171" s="7" t="s">
        <v>241</v>
      </c>
      <c r="B171" s="7" t="s">
        <v>97</v>
      </c>
      <c r="C171" s="7" t="s">
        <v>55</v>
      </c>
      <c r="D171" s="7" t="s">
        <v>80</v>
      </c>
      <c r="E171" s="7">
        <v>18.0</v>
      </c>
      <c r="F171" s="7">
        <v>2005.0</v>
      </c>
      <c r="G171" s="7">
        <v>25.0</v>
      </c>
      <c r="H171" s="7">
        <v>9.0</v>
      </c>
      <c r="I171" s="7">
        <v>864.0</v>
      </c>
      <c r="J171" s="7">
        <v>9.6</v>
      </c>
      <c r="K171" s="7">
        <v>2.0</v>
      </c>
      <c r="L171" s="7">
        <v>1.0</v>
      </c>
      <c r="M171" s="7">
        <v>3.0</v>
      </c>
      <c r="N171" s="7">
        <v>2.0</v>
      </c>
      <c r="O171" s="7">
        <v>0.0</v>
      </c>
      <c r="P171" s="7">
        <v>0.0</v>
      </c>
      <c r="Q171" s="7">
        <v>5.0</v>
      </c>
      <c r="R171" s="7">
        <v>0.0</v>
      </c>
      <c r="S171" s="8">
        <v>0.21</v>
      </c>
      <c r="T171" s="7">
        <v>0.1</v>
      </c>
      <c r="U171" s="7">
        <v>0.31</v>
      </c>
      <c r="V171" s="7">
        <v>0.21</v>
      </c>
      <c r="W171" s="7">
        <v>0.31</v>
      </c>
      <c r="X171" s="7" t="s">
        <v>718</v>
      </c>
      <c r="Y171" s="7" t="s">
        <v>707</v>
      </c>
      <c r="AA171" s="50"/>
      <c r="AB171" s="50"/>
      <c r="AC171" s="50"/>
    </row>
    <row r="172">
      <c r="A172" s="7" t="s">
        <v>243</v>
      </c>
      <c r="B172" s="7" t="s">
        <v>25</v>
      </c>
      <c r="C172" s="7" t="s">
        <v>26</v>
      </c>
      <c r="D172" s="7" t="s">
        <v>58</v>
      </c>
      <c r="E172" s="7">
        <v>20.0</v>
      </c>
      <c r="F172" s="7">
        <v>2003.0</v>
      </c>
      <c r="G172" s="7">
        <v>34.0</v>
      </c>
      <c r="H172" s="7">
        <v>17.0</v>
      </c>
      <c r="I172" s="25">
        <v>1822.0</v>
      </c>
      <c r="J172" s="7">
        <v>20.2</v>
      </c>
      <c r="K172" s="7">
        <v>3.0</v>
      </c>
      <c r="L172" s="7">
        <v>2.0</v>
      </c>
      <c r="M172" s="7">
        <v>5.0</v>
      </c>
      <c r="N172" s="7">
        <v>3.0</v>
      </c>
      <c r="O172" s="7">
        <v>0.0</v>
      </c>
      <c r="P172" s="7">
        <v>0.0</v>
      </c>
      <c r="Q172" s="7">
        <v>4.0</v>
      </c>
      <c r="R172" s="7">
        <v>0.0</v>
      </c>
      <c r="S172" s="8">
        <v>0.15</v>
      </c>
      <c r="T172" s="7">
        <v>0.1</v>
      </c>
      <c r="U172" s="7">
        <v>0.25</v>
      </c>
      <c r="V172" s="7">
        <v>0.15</v>
      </c>
      <c r="W172" s="7">
        <v>0.25</v>
      </c>
      <c r="X172" s="7" t="s">
        <v>688</v>
      </c>
      <c r="Y172" s="24" t="s">
        <v>702</v>
      </c>
      <c r="AA172" s="50"/>
      <c r="AB172" s="50"/>
      <c r="AC172" s="50"/>
    </row>
    <row r="173">
      <c r="A173" s="7" t="s">
        <v>245</v>
      </c>
      <c r="B173" s="7" t="s">
        <v>25</v>
      </c>
      <c r="C173" s="7" t="s">
        <v>26</v>
      </c>
      <c r="D173" s="7" t="s">
        <v>36</v>
      </c>
      <c r="E173" s="7">
        <v>18.0</v>
      </c>
      <c r="F173" s="7">
        <v>2005.0</v>
      </c>
      <c r="G173" s="7">
        <v>1.0</v>
      </c>
      <c r="H173" s="7">
        <v>0.0</v>
      </c>
      <c r="I173" s="7">
        <v>5.0</v>
      </c>
      <c r="J173" s="7">
        <v>0.1</v>
      </c>
      <c r="K173" s="7">
        <v>0.0</v>
      </c>
      <c r="L173" s="7">
        <v>0.0</v>
      </c>
      <c r="M173" s="7">
        <v>0.0</v>
      </c>
      <c r="N173" s="7">
        <v>0.0</v>
      </c>
      <c r="O173" s="7">
        <v>0.0</v>
      </c>
      <c r="P173" s="7">
        <v>0.0</v>
      </c>
      <c r="Q173" s="7">
        <v>0.0</v>
      </c>
      <c r="R173" s="7">
        <v>0.0</v>
      </c>
      <c r="S173" s="8">
        <v>0.0</v>
      </c>
      <c r="T173" s="7">
        <v>0.0</v>
      </c>
      <c r="U173" s="7">
        <v>0.0</v>
      </c>
      <c r="V173" s="7">
        <v>0.0</v>
      </c>
      <c r="W173" s="7">
        <v>0.0</v>
      </c>
      <c r="X173" s="7" t="s">
        <v>810</v>
      </c>
      <c r="Y173" s="24" t="s">
        <v>708</v>
      </c>
      <c r="AA173" s="50"/>
      <c r="AB173" s="50"/>
      <c r="AC173" s="50"/>
    </row>
    <row r="174">
      <c r="A174" s="7" t="s">
        <v>247</v>
      </c>
      <c r="B174" s="7" t="s">
        <v>25</v>
      </c>
      <c r="C174" s="7" t="s">
        <v>83</v>
      </c>
      <c r="D174" s="7" t="s">
        <v>36</v>
      </c>
      <c r="E174" s="7">
        <v>21.0</v>
      </c>
      <c r="F174" s="7">
        <v>2002.0</v>
      </c>
      <c r="G174" s="7">
        <v>19.0</v>
      </c>
      <c r="H174" s="7">
        <v>19.0</v>
      </c>
      <c r="I174" s="25">
        <v>1637.0</v>
      </c>
      <c r="J174" s="7">
        <v>18.2</v>
      </c>
      <c r="K174" s="7">
        <v>4.0</v>
      </c>
      <c r="L174" s="7">
        <v>2.0</v>
      </c>
      <c r="M174" s="7">
        <v>6.0</v>
      </c>
      <c r="N174" s="7">
        <v>4.0</v>
      </c>
      <c r="O174" s="7">
        <v>0.0</v>
      </c>
      <c r="P174" s="7">
        <v>0.0</v>
      </c>
      <c r="Q174" s="7">
        <v>5.0</v>
      </c>
      <c r="R174" s="7">
        <v>0.0</v>
      </c>
      <c r="S174" s="8">
        <v>0.22</v>
      </c>
      <c r="T174" s="7">
        <v>0.11</v>
      </c>
      <c r="U174" s="7">
        <v>0.33</v>
      </c>
      <c r="V174" s="7">
        <v>0.22</v>
      </c>
      <c r="W174" s="7">
        <v>0.33</v>
      </c>
      <c r="X174" s="7" t="s">
        <v>810</v>
      </c>
      <c r="Y174" s="24" t="s">
        <v>697</v>
      </c>
      <c r="AA174" s="50"/>
      <c r="AB174" s="50"/>
      <c r="AC174" s="50"/>
    </row>
    <row r="175">
      <c r="A175" s="7" t="s">
        <v>249</v>
      </c>
      <c r="B175" s="7" t="s">
        <v>250</v>
      </c>
      <c r="C175" s="7" t="s">
        <v>47</v>
      </c>
      <c r="D175" s="7" t="s">
        <v>128</v>
      </c>
      <c r="E175" s="7">
        <v>22.0</v>
      </c>
      <c r="F175" s="7">
        <v>2001.0</v>
      </c>
      <c r="G175" s="7">
        <v>21.0</v>
      </c>
      <c r="H175" s="7">
        <v>19.0</v>
      </c>
      <c r="I175" s="25">
        <v>1390.0</v>
      </c>
      <c r="J175" s="7">
        <v>15.4</v>
      </c>
      <c r="K175" s="7">
        <v>4.0</v>
      </c>
      <c r="L175" s="7">
        <v>3.0</v>
      </c>
      <c r="M175" s="7">
        <v>7.0</v>
      </c>
      <c r="N175" s="7">
        <v>4.0</v>
      </c>
      <c r="O175" s="7">
        <v>0.0</v>
      </c>
      <c r="P175" s="7">
        <v>0.0</v>
      </c>
      <c r="Q175" s="7">
        <v>4.0</v>
      </c>
      <c r="R175" s="7">
        <v>0.0</v>
      </c>
      <c r="S175" s="8">
        <v>0.26</v>
      </c>
      <c r="T175" s="7">
        <v>0.19</v>
      </c>
      <c r="U175" s="7">
        <v>0.45</v>
      </c>
      <c r="V175" s="7">
        <v>0.26</v>
      </c>
      <c r="W175" s="7">
        <v>0.45</v>
      </c>
      <c r="X175" s="7" t="s">
        <v>693</v>
      </c>
      <c r="Y175" s="24" t="s">
        <v>703</v>
      </c>
      <c r="AA175" s="50"/>
      <c r="AB175" s="50"/>
      <c r="AC175" s="50"/>
    </row>
    <row r="176">
      <c r="A176" s="7" t="s">
        <v>252</v>
      </c>
      <c r="B176" s="7" t="s">
        <v>34</v>
      </c>
      <c r="C176" s="7" t="s">
        <v>77</v>
      </c>
      <c r="D176" s="7" t="s">
        <v>80</v>
      </c>
      <c r="E176" s="7">
        <v>19.0</v>
      </c>
      <c r="F176" s="7">
        <v>2004.0</v>
      </c>
      <c r="G176" s="7">
        <v>6.0</v>
      </c>
      <c r="H176" s="7">
        <v>6.0</v>
      </c>
      <c r="I176" s="7">
        <v>540.0</v>
      </c>
      <c r="J176" s="7">
        <v>6.0</v>
      </c>
      <c r="K176" s="7">
        <v>0.0</v>
      </c>
      <c r="L176" s="7">
        <v>0.0</v>
      </c>
      <c r="M176" s="7">
        <v>0.0</v>
      </c>
      <c r="N176" s="7">
        <v>0.0</v>
      </c>
      <c r="O176" s="7">
        <v>0.0</v>
      </c>
      <c r="P176" s="7">
        <v>0.0</v>
      </c>
      <c r="Q176" s="7">
        <v>0.0</v>
      </c>
      <c r="R176" s="7">
        <v>0.0</v>
      </c>
      <c r="S176" s="8">
        <v>0.0</v>
      </c>
      <c r="T176" s="7">
        <v>0.0</v>
      </c>
      <c r="U176" s="7">
        <v>0.0</v>
      </c>
      <c r="V176" s="7">
        <v>0.0</v>
      </c>
      <c r="W176" s="7">
        <v>0.0</v>
      </c>
      <c r="X176" s="7" t="s">
        <v>723</v>
      </c>
      <c r="Y176" s="24" t="s">
        <v>706</v>
      </c>
      <c r="AA176" s="50"/>
      <c r="AB176" s="50"/>
      <c r="AC176" s="50"/>
    </row>
    <row r="177">
      <c r="A177" s="7" t="s">
        <v>254</v>
      </c>
      <c r="B177" s="7" t="s">
        <v>101</v>
      </c>
      <c r="C177" s="7" t="s">
        <v>55</v>
      </c>
      <c r="D177" s="7" t="s">
        <v>44</v>
      </c>
      <c r="E177" s="7">
        <v>28.0</v>
      </c>
      <c r="F177" s="7">
        <v>1995.0</v>
      </c>
      <c r="G177" s="7">
        <v>21.0</v>
      </c>
      <c r="H177" s="7">
        <v>4.0</v>
      </c>
      <c r="I177" s="7">
        <v>692.0</v>
      </c>
      <c r="J177" s="7">
        <v>7.7</v>
      </c>
      <c r="K177" s="7">
        <v>2.0</v>
      </c>
      <c r="L177" s="7">
        <v>1.0</v>
      </c>
      <c r="M177" s="7">
        <v>3.0</v>
      </c>
      <c r="N177" s="7">
        <v>2.0</v>
      </c>
      <c r="O177" s="7">
        <v>0.0</v>
      </c>
      <c r="P177" s="7">
        <v>0.0</v>
      </c>
      <c r="Q177" s="7">
        <v>9.0</v>
      </c>
      <c r="R177" s="7">
        <v>0.0</v>
      </c>
      <c r="S177" s="8">
        <v>0.26</v>
      </c>
      <c r="T177" s="7">
        <v>0.13</v>
      </c>
      <c r="U177" s="7">
        <v>0.39</v>
      </c>
      <c r="V177" s="7">
        <v>0.26</v>
      </c>
      <c r="W177" s="7">
        <v>0.39</v>
      </c>
      <c r="X177" s="7" t="s">
        <v>673</v>
      </c>
      <c r="Y177" s="7" t="s">
        <v>687</v>
      </c>
      <c r="AA177" s="50"/>
      <c r="AB177" s="50"/>
      <c r="AC177" s="50"/>
    </row>
    <row r="178">
      <c r="A178" s="7" t="s">
        <v>256</v>
      </c>
      <c r="B178" s="7" t="s">
        <v>25</v>
      </c>
      <c r="C178" s="7" t="s">
        <v>55</v>
      </c>
      <c r="D178" s="7" t="s">
        <v>62</v>
      </c>
      <c r="E178" s="7">
        <v>23.0</v>
      </c>
      <c r="F178" s="7">
        <v>2000.0</v>
      </c>
      <c r="G178" s="7">
        <v>20.0</v>
      </c>
      <c r="H178" s="7">
        <v>2.0</v>
      </c>
      <c r="I178" s="7">
        <v>417.0</v>
      </c>
      <c r="J178" s="7">
        <v>4.6</v>
      </c>
      <c r="K178" s="7">
        <v>1.0</v>
      </c>
      <c r="L178" s="7">
        <v>0.0</v>
      </c>
      <c r="M178" s="7">
        <v>1.0</v>
      </c>
      <c r="N178" s="7">
        <v>1.0</v>
      </c>
      <c r="O178" s="7">
        <v>0.0</v>
      </c>
      <c r="P178" s="7">
        <v>1.0</v>
      </c>
      <c r="Q178" s="7">
        <v>1.0</v>
      </c>
      <c r="R178" s="7">
        <v>0.0</v>
      </c>
      <c r="S178" s="8">
        <v>0.22</v>
      </c>
      <c r="T178" s="7">
        <v>0.0</v>
      </c>
      <c r="U178" s="7">
        <v>0.22</v>
      </c>
      <c r="V178" s="7">
        <v>0.22</v>
      </c>
      <c r="W178" s="7">
        <v>0.22</v>
      </c>
      <c r="X178" s="7" t="s">
        <v>810</v>
      </c>
      <c r="Y178" s="7" t="s">
        <v>687</v>
      </c>
      <c r="AA178" s="50"/>
      <c r="AB178" s="50"/>
      <c r="AC178" s="50"/>
    </row>
    <row r="179">
      <c r="A179" s="7" t="s">
        <v>258</v>
      </c>
      <c r="B179" s="7" t="s">
        <v>259</v>
      </c>
      <c r="C179" s="7" t="s">
        <v>55</v>
      </c>
      <c r="D179" s="7" t="s">
        <v>36</v>
      </c>
      <c r="E179" s="7">
        <v>24.0</v>
      </c>
      <c r="F179" s="7">
        <v>1999.0</v>
      </c>
      <c r="G179" s="7">
        <v>31.0</v>
      </c>
      <c r="H179" s="7">
        <v>24.0</v>
      </c>
      <c r="I179" s="25">
        <v>2064.0</v>
      </c>
      <c r="J179" s="7">
        <v>22.9</v>
      </c>
      <c r="K179" s="7">
        <v>10.0</v>
      </c>
      <c r="L179" s="7">
        <v>1.0</v>
      </c>
      <c r="M179" s="7">
        <v>11.0</v>
      </c>
      <c r="N179" s="7">
        <v>9.0</v>
      </c>
      <c r="O179" s="7">
        <v>1.0</v>
      </c>
      <c r="P179" s="7">
        <v>1.0</v>
      </c>
      <c r="Q179" s="7">
        <v>6.0</v>
      </c>
      <c r="R179" s="7">
        <v>1.0</v>
      </c>
      <c r="S179" s="8">
        <v>0.44</v>
      </c>
      <c r="T179" s="7">
        <v>0.04</v>
      </c>
      <c r="U179" s="7">
        <v>0.48</v>
      </c>
      <c r="V179" s="7">
        <v>0.39</v>
      </c>
      <c r="W179" s="7">
        <v>0.44</v>
      </c>
      <c r="X179" s="7" t="s">
        <v>810</v>
      </c>
      <c r="Y179" s="7" t="s">
        <v>671</v>
      </c>
      <c r="AA179" s="50"/>
      <c r="AB179" s="50"/>
      <c r="AC179" s="50"/>
    </row>
    <row r="180">
      <c r="A180" s="7" t="s">
        <v>261</v>
      </c>
      <c r="B180" s="7" t="s">
        <v>25</v>
      </c>
      <c r="C180" s="7" t="s">
        <v>35</v>
      </c>
      <c r="D180" s="7" t="s">
        <v>128</v>
      </c>
      <c r="E180" s="7">
        <v>16.0</v>
      </c>
      <c r="F180" s="7">
        <v>2007.0</v>
      </c>
      <c r="G180" s="7">
        <v>4.0</v>
      </c>
      <c r="H180" s="7">
        <v>4.0</v>
      </c>
      <c r="I180" s="7">
        <v>358.0</v>
      </c>
      <c r="J180" s="7">
        <v>4.0</v>
      </c>
      <c r="K180" s="7">
        <v>0.0</v>
      </c>
      <c r="L180" s="7">
        <v>0.0</v>
      </c>
      <c r="M180" s="7">
        <v>0.0</v>
      </c>
      <c r="N180" s="7">
        <v>0.0</v>
      </c>
      <c r="O180" s="7">
        <v>0.0</v>
      </c>
      <c r="P180" s="7">
        <v>0.0</v>
      </c>
      <c r="Q180" s="7">
        <v>2.0</v>
      </c>
      <c r="R180" s="7">
        <v>0.0</v>
      </c>
      <c r="S180" s="8">
        <v>0.0</v>
      </c>
      <c r="T180" s="7">
        <v>0.0</v>
      </c>
      <c r="U180" s="7">
        <v>0.0</v>
      </c>
      <c r="V180" s="7">
        <v>0.0</v>
      </c>
      <c r="W180" s="7">
        <v>0.0</v>
      </c>
      <c r="X180" s="7" t="s">
        <v>673</v>
      </c>
      <c r="Y180" s="24" t="s">
        <v>701</v>
      </c>
      <c r="AA180" s="50"/>
      <c r="AB180" s="50"/>
      <c r="AC180" s="50"/>
    </row>
    <row r="181">
      <c r="A181" s="7" t="s">
        <v>263</v>
      </c>
      <c r="B181" s="7" t="s">
        <v>25</v>
      </c>
      <c r="C181" s="7" t="s">
        <v>83</v>
      </c>
      <c r="D181" s="7" t="s">
        <v>62</v>
      </c>
      <c r="E181" s="7">
        <v>30.0</v>
      </c>
      <c r="F181" s="7">
        <v>1993.0</v>
      </c>
      <c r="G181" s="7">
        <v>21.0</v>
      </c>
      <c r="H181" s="7">
        <v>18.0</v>
      </c>
      <c r="I181" s="25">
        <v>1649.0</v>
      </c>
      <c r="J181" s="7">
        <v>18.3</v>
      </c>
      <c r="K181" s="7">
        <v>0.0</v>
      </c>
      <c r="L181" s="7">
        <v>0.0</v>
      </c>
      <c r="M181" s="7">
        <v>0.0</v>
      </c>
      <c r="N181" s="7">
        <v>0.0</v>
      </c>
      <c r="O181" s="7">
        <v>0.0</v>
      </c>
      <c r="P181" s="7">
        <v>0.0</v>
      </c>
      <c r="Q181" s="7">
        <v>4.0</v>
      </c>
      <c r="R181" s="7">
        <v>0.0</v>
      </c>
      <c r="S181" s="8">
        <v>0.0</v>
      </c>
      <c r="T181" s="7">
        <v>0.0</v>
      </c>
      <c r="U181" s="7">
        <v>0.0</v>
      </c>
      <c r="V181" s="7">
        <v>0.0</v>
      </c>
      <c r="W181" s="7">
        <v>0.0</v>
      </c>
      <c r="X181" s="7" t="s">
        <v>685</v>
      </c>
      <c r="Y181" s="7" t="s">
        <v>724</v>
      </c>
      <c r="AA181" s="50"/>
      <c r="AB181" s="50"/>
      <c r="AC181" s="50"/>
    </row>
    <row r="182">
      <c r="A182" s="7" t="s">
        <v>265</v>
      </c>
      <c r="B182" s="7" t="s">
        <v>25</v>
      </c>
      <c r="C182" s="7" t="s">
        <v>26</v>
      </c>
      <c r="D182" s="7" t="s">
        <v>36</v>
      </c>
      <c r="E182" s="7">
        <v>36.0</v>
      </c>
      <c r="F182" s="7">
        <v>1987.0</v>
      </c>
      <c r="G182" s="7">
        <v>22.0</v>
      </c>
      <c r="H182" s="7">
        <v>18.0</v>
      </c>
      <c r="I182" s="25">
        <v>1669.0</v>
      </c>
      <c r="J182" s="7">
        <v>18.5</v>
      </c>
      <c r="K182" s="7">
        <v>0.0</v>
      </c>
      <c r="L182" s="7">
        <v>1.0</v>
      </c>
      <c r="M182" s="7">
        <v>1.0</v>
      </c>
      <c r="N182" s="7">
        <v>0.0</v>
      </c>
      <c r="O182" s="7">
        <v>0.0</v>
      </c>
      <c r="P182" s="7">
        <v>0.0</v>
      </c>
      <c r="Q182" s="7">
        <v>6.0</v>
      </c>
      <c r="R182" s="7">
        <v>0.0</v>
      </c>
      <c r="S182" s="8">
        <v>0.0</v>
      </c>
      <c r="T182" s="7">
        <v>0.05</v>
      </c>
      <c r="U182" s="7">
        <v>0.05</v>
      </c>
      <c r="V182" s="7">
        <v>0.0</v>
      </c>
      <c r="W182" s="7">
        <v>0.05</v>
      </c>
      <c r="X182" s="7" t="s">
        <v>690</v>
      </c>
      <c r="Y182" s="7" t="s">
        <v>695</v>
      </c>
      <c r="AA182" s="50"/>
      <c r="AB182" s="50"/>
      <c r="AC182" s="50"/>
    </row>
    <row r="183">
      <c r="A183" s="7" t="s">
        <v>267</v>
      </c>
      <c r="B183" s="7" t="s">
        <v>25</v>
      </c>
      <c r="C183" s="7" t="s">
        <v>26</v>
      </c>
      <c r="D183" s="7" t="s">
        <v>31</v>
      </c>
      <c r="E183" s="7">
        <v>29.0</v>
      </c>
      <c r="F183" s="7">
        <v>1995.0</v>
      </c>
      <c r="G183" s="7">
        <v>23.0</v>
      </c>
      <c r="H183" s="7">
        <v>22.0</v>
      </c>
      <c r="I183" s="25">
        <v>1736.0</v>
      </c>
      <c r="J183" s="7">
        <v>19.3</v>
      </c>
      <c r="K183" s="7">
        <v>0.0</v>
      </c>
      <c r="L183" s="7">
        <v>1.0</v>
      </c>
      <c r="M183" s="7">
        <v>1.0</v>
      </c>
      <c r="N183" s="7">
        <v>0.0</v>
      </c>
      <c r="O183" s="7">
        <v>0.0</v>
      </c>
      <c r="P183" s="7">
        <v>0.0</v>
      </c>
      <c r="Q183" s="7">
        <v>6.0</v>
      </c>
      <c r="R183" s="7">
        <v>0.0</v>
      </c>
      <c r="S183" s="8">
        <v>0.0</v>
      </c>
      <c r="T183" s="7">
        <v>0.05</v>
      </c>
      <c r="U183" s="7">
        <v>0.05</v>
      </c>
      <c r="V183" s="7">
        <v>0.0</v>
      </c>
      <c r="W183" s="7">
        <v>0.05</v>
      </c>
      <c r="X183" s="7" t="s">
        <v>698</v>
      </c>
      <c r="Y183" s="7" t="s">
        <v>689</v>
      </c>
      <c r="AA183" s="50"/>
      <c r="AB183" s="50"/>
      <c r="AC183" s="50"/>
    </row>
    <row r="184">
      <c r="A184" s="7" t="s">
        <v>269</v>
      </c>
      <c r="B184" s="7" t="s">
        <v>25</v>
      </c>
      <c r="C184" s="7" t="s">
        <v>35</v>
      </c>
      <c r="D184" s="7" t="s">
        <v>58</v>
      </c>
      <c r="E184" s="7">
        <v>22.0</v>
      </c>
      <c r="F184" s="7">
        <v>2001.0</v>
      </c>
      <c r="G184" s="7">
        <v>22.0</v>
      </c>
      <c r="H184" s="7">
        <v>22.0</v>
      </c>
      <c r="I184" s="25">
        <v>1980.0</v>
      </c>
      <c r="J184" s="7">
        <v>22.0</v>
      </c>
      <c r="K184" s="7">
        <v>1.0</v>
      </c>
      <c r="L184" s="7">
        <v>0.0</v>
      </c>
      <c r="M184" s="7">
        <v>1.0</v>
      </c>
      <c r="N184" s="7">
        <v>1.0</v>
      </c>
      <c r="O184" s="7">
        <v>0.0</v>
      </c>
      <c r="P184" s="7">
        <v>0.0</v>
      </c>
      <c r="Q184" s="7">
        <v>0.0</v>
      </c>
      <c r="R184" s="7">
        <v>0.0</v>
      </c>
      <c r="S184" s="8">
        <v>0.05</v>
      </c>
      <c r="T184" s="7">
        <v>0.0</v>
      </c>
      <c r="U184" s="7">
        <v>0.05</v>
      </c>
      <c r="V184" s="7">
        <v>0.05</v>
      </c>
      <c r="W184" s="7">
        <v>0.05</v>
      </c>
      <c r="X184" s="7" t="s">
        <v>810</v>
      </c>
      <c r="Y184" s="24" t="s">
        <v>677</v>
      </c>
      <c r="AA184" s="50"/>
      <c r="AB184" s="50"/>
      <c r="AC184" s="50"/>
    </row>
    <row r="185">
      <c r="A185" s="7" t="s">
        <v>271</v>
      </c>
      <c r="B185" s="7" t="s">
        <v>25</v>
      </c>
      <c r="C185" s="7" t="s">
        <v>55</v>
      </c>
      <c r="D185" s="7" t="s">
        <v>98</v>
      </c>
      <c r="E185" s="7">
        <v>19.0</v>
      </c>
      <c r="F185" s="7">
        <v>2004.0</v>
      </c>
      <c r="G185" s="7">
        <v>13.0</v>
      </c>
      <c r="H185" s="7">
        <v>0.0</v>
      </c>
      <c r="I185" s="7">
        <v>152.0</v>
      </c>
      <c r="J185" s="7">
        <v>1.7</v>
      </c>
      <c r="K185" s="7">
        <v>0.0</v>
      </c>
      <c r="L185" s="7">
        <v>0.0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8">
        <v>0.0</v>
      </c>
      <c r="T185" s="7">
        <v>0.0</v>
      </c>
      <c r="U185" s="7">
        <v>0.0</v>
      </c>
      <c r="V185" s="7">
        <v>0.0</v>
      </c>
      <c r="W185" s="7">
        <v>0.0</v>
      </c>
      <c r="X185" s="7" t="s">
        <v>673</v>
      </c>
      <c r="Y185" s="24" t="s">
        <v>708</v>
      </c>
      <c r="AA185" s="50"/>
      <c r="AB185" s="50"/>
      <c r="AC185" s="50"/>
    </row>
    <row r="186">
      <c r="A186" s="7" t="s">
        <v>273</v>
      </c>
      <c r="B186" s="7" t="s">
        <v>34</v>
      </c>
      <c r="C186" s="7" t="s">
        <v>77</v>
      </c>
      <c r="D186" s="7" t="s">
        <v>80</v>
      </c>
      <c r="E186" s="7">
        <v>22.0</v>
      </c>
      <c r="F186" s="7">
        <v>2001.0</v>
      </c>
      <c r="G186" s="7">
        <v>9.0</v>
      </c>
      <c r="H186" s="7">
        <v>9.0</v>
      </c>
      <c r="I186" s="7">
        <v>764.0</v>
      </c>
      <c r="J186" s="7">
        <v>8.5</v>
      </c>
      <c r="K186" s="7">
        <v>0.0</v>
      </c>
      <c r="L186" s="7">
        <v>0.0</v>
      </c>
      <c r="M186" s="7">
        <v>0.0</v>
      </c>
      <c r="N186" s="7">
        <v>0.0</v>
      </c>
      <c r="O186" s="7">
        <v>0.0</v>
      </c>
      <c r="P186" s="7">
        <v>0.0</v>
      </c>
      <c r="Q186" s="7">
        <v>0.0</v>
      </c>
      <c r="R186" s="7">
        <v>1.0</v>
      </c>
      <c r="S186" s="8">
        <v>0.0</v>
      </c>
      <c r="T186" s="7">
        <v>0.0</v>
      </c>
      <c r="U186" s="7">
        <v>0.0</v>
      </c>
      <c r="V186" s="7">
        <v>0.0</v>
      </c>
      <c r="W186" s="7">
        <v>0.0</v>
      </c>
      <c r="X186" s="7" t="s">
        <v>712</v>
      </c>
      <c r="Y186" s="7" t="s">
        <v>707</v>
      </c>
      <c r="AA186" s="50"/>
      <c r="AB186" s="50"/>
      <c r="AC186" s="50"/>
    </row>
    <row r="187">
      <c r="A187" s="7" t="s">
        <v>275</v>
      </c>
      <c r="B187" s="7" t="s">
        <v>25</v>
      </c>
      <c r="C187" s="7" t="s">
        <v>26</v>
      </c>
      <c r="D187" s="7" t="s">
        <v>52</v>
      </c>
      <c r="E187" s="7">
        <v>15.0</v>
      </c>
      <c r="F187" s="7">
        <v>2008.0</v>
      </c>
      <c r="G187" s="7">
        <v>1.0</v>
      </c>
      <c r="H187" s="7">
        <v>0.0</v>
      </c>
      <c r="I187" s="7">
        <v>2.0</v>
      </c>
      <c r="J187" s="7">
        <v>0.0</v>
      </c>
      <c r="K187" s="7">
        <v>0.0</v>
      </c>
      <c r="L187" s="7">
        <v>0.0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8">
        <v>0.0</v>
      </c>
      <c r="T187" s="7">
        <v>0.0</v>
      </c>
      <c r="U187" s="7">
        <v>0.0</v>
      </c>
      <c r="V187" s="7">
        <v>0.0</v>
      </c>
      <c r="W187" s="7">
        <v>0.0</v>
      </c>
      <c r="X187" s="7" t="s">
        <v>696</v>
      </c>
      <c r="Y187" s="24" t="s">
        <v>697</v>
      </c>
      <c r="AA187" s="50"/>
      <c r="AB187" s="50"/>
      <c r="AC187" s="50"/>
    </row>
    <row r="188">
      <c r="A188" s="7" t="s">
        <v>277</v>
      </c>
      <c r="B188" s="7" t="s">
        <v>25</v>
      </c>
      <c r="C188" s="7" t="s">
        <v>47</v>
      </c>
      <c r="D188" s="7" t="s">
        <v>31</v>
      </c>
      <c r="E188" s="7">
        <v>30.0</v>
      </c>
      <c r="F188" s="7">
        <v>1993.0</v>
      </c>
      <c r="G188" s="7">
        <v>27.0</v>
      </c>
      <c r="H188" s="7">
        <v>18.0</v>
      </c>
      <c r="I188" s="25">
        <v>1667.0</v>
      </c>
      <c r="J188" s="7">
        <v>18.5</v>
      </c>
      <c r="K188" s="7">
        <v>4.0</v>
      </c>
      <c r="L188" s="7">
        <v>4.0</v>
      </c>
      <c r="M188" s="7">
        <v>8.0</v>
      </c>
      <c r="N188" s="7">
        <v>4.0</v>
      </c>
      <c r="O188" s="7">
        <v>0.0</v>
      </c>
      <c r="P188" s="7">
        <v>1.0</v>
      </c>
      <c r="Q188" s="7">
        <v>6.0</v>
      </c>
      <c r="R188" s="7">
        <v>0.0</v>
      </c>
      <c r="S188" s="8">
        <v>0.22</v>
      </c>
      <c r="T188" s="7">
        <v>0.22</v>
      </c>
      <c r="U188" s="7">
        <v>0.43</v>
      </c>
      <c r="V188" s="7">
        <v>0.22</v>
      </c>
      <c r="W188" s="7">
        <v>0.43</v>
      </c>
      <c r="X188" s="7" t="s">
        <v>712</v>
      </c>
      <c r="Y188" s="7" t="s">
        <v>684</v>
      </c>
      <c r="AA188" s="50"/>
      <c r="AB188" s="50"/>
      <c r="AC188" s="50"/>
    </row>
    <row r="189">
      <c r="A189" s="7" t="s">
        <v>279</v>
      </c>
      <c r="B189" s="7" t="s">
        <v>34</v>
      </c>
      <c r="C189" s="7" t="s">
        <v>35</v>
      </c>
      <c r="D189" s="7" t="s">
        <v>98</v>
      </c>
      <c r="E189" s="7">
        <v>22.0</v>
      </c>
      <c r="F189" s="7">
        <v>2001.0</v>
      </c>
      <c r="G189" s="7">
        <v>36.0</v>
      </c>
      <c r="H189" s="7">
        <v>34.0</v>
      </c>
      <c r="I189" s="25">
        <v>3075.0</v>
      </c>
      <c r="J189" s="7">
        <v>34.2</v>
      </c>
      <c r="K189" s="7">
        <v>0.0</v>
      </c>
      <c r="L189" s="7">
        <v>3.0</v>
      </c>
      <c r="M189" s="7">
        <v>3.0</v>
      </c>
      <c r="N189" s="7">
        <v>0.0</v>
      </c>
      <c r="O189" s="7">
        <v>0.0</v>
      </c>
      <c r="P189" s="7">
        <v>0.0</v>
      </c>
      <c r="Q189" s="7">
        <v>7.0</v>
      </c>
      <c r="R189" s="7">
        <v>0.0</v>
      </c>
      <c r="S189" s="8">
        <v>0.0</v>
      </c>
      <c r="T189" s="7">
        <v>0.09</v>
      </c>
      <c r="U189" s="7">
        <v>0.09</v>
      </c>
      <c r="V189" s="7">
        <v>0.0</v>
      </c>
      <c r="W189" s="7">
        <v>0.09</v>
      </c>
      <c r="X189" s="7" t="s">
        <v>810</v>
      </c>
      <c r="Y189" s="24" t="s">
        <v>702</v>
      </c>
      <c r="AA189" s="50"/>
      <c r="AB189" s="50"/>
      <c r="AC189" s="50"/>
    </row>
    <row r="190">
      <c r="A190" s="7" t="s">
        <v>281</v>
      </c>
      <c r="B190" s="7" t="s">
        <v>25</v>
      </c>
      <c r="C190" s="7" t="s">
        <v>83</v>
      </c>
      <c r="D190" s="7" t="s">
        <v>62</v>
      </c>
      <c r="E190" s="7">
        <v>33.0</v>
      </c>
      <c r="F190" s="7">
        <v>1991.0</v>
      </c>
      <c r="G190" s="7">
        <v>10.0</v>
      </c>
      <c r="H190" s="7">
        <v>8.0</v>
      </c>
      <c r="I190" s="7">
        <v>749.0</v>
      </c>
      <c r="J190" s="7">
        <v>8.3</v>
      </c>
      <c r="K190" s="7">
        <v>0.0</v>
      </c>
      <c r="L190" s="7">
        <v>0.0</v>
      </c>
      <c r="M190" s="7">
        <v>0.0</v>
      </c>
      <c r="N190" s="7">
        <v>0.0</v>
      </c>
      <c r="O190" s="7">
        <v>0.0</v>
      </c>
      <c r="P190" s="7">
        <v>0.0</v>
      </c>
      <c r="Q190" s="7">
        <v>5.0</v>
      </c>
      <c r="R190" s="7">
        <v>0.0</v>
      </c>
      <c r="S190" s="8">
        <v>0.0</v>
      </c>
      <c r="T190" s="7">
        <v>0.0</v>
      </c>
      <c r="U190" s="7">
        <v>0.0</v>
      </c>
      <c r="V190" s="7">
        <v>0.0</v>
      </c>
      <c r="W190" s="7">
        <v>0.0</v>
      </c>
      <c r="X190" s="7" t="s">
        <v>720</v>
      </c>
      <c r="Y190" s="24" t="s">
        <v>703</v>
      </c>
      <c r="AA190" s="50"/>
      <c r="AB190" s="50"/>
      <c r="AC190" s="50"/>
    </row>
    <row r="191">
      <c r="A191" s="7" t="s">
        <v>283</v>
      </c>
      <c r="B191" s="7" t="s">
        <v>34</v>
      </c>
      <c r="C191" s="7" t="s">
        <v>30</v>
      </c>
      <c r="D191" s="7" t="s">
        <v>58</v>
      </c>
      <c r="E191" s="7">
        <v>21.0</v>
      </c>
      <c r="F191" s="7">
        <v>2002.0</v>
      </c>
      <c r="G191" s="7">
        <v>13.0</v>
      </c>
      <c r="H191" s="7">
        <v>7.0</v>
      </c>
      <c r="I191" s="7">
        <v>638.0</v>
      </c>
      <c r="J191" s="7">
        <v>7.1</v>
      </c>
      <c r="K191" s="7">
        <v>1.0</v>
      </c>
      <c r="L191" s="7">
        <v>1.0</v>
      </c>
      <c r="M191" s="7">
        <v>2.0</v>
      </c>
      <c r="N191" s="7">
        <v>1.0</v>
      </c>
      <c r="O191" s="7">
        <v>0.0</v>
      </c>
      <c r="P191" s="7">
        <v>0.0</v>
      </c>
      <c r="Q191" s="7">
        <v>3.0</v>
      </c>
      <c r="R191" s="7">
        <v>0.0</v>
      </c>
      <c r="S191" s="8">
        <v>0.14</v>
      </c>
      <c r="T191" s="7">
        <v>0.14</v>
      </c>
      <c r="U191" s="7">
        <v>0.28</v>
      </c>
      <c r="V191" s="7">
        <v>0.14</v>
      </c>
      <c r="W191" s="7">
        <v>0.28</v>
      </c>
      <c r="X191" s="7" t="s">
        <v>725</v>
      </c>
      <c r="Y191" s="7" t="s">
        <v>726</v>
      </c>
      <c r="AA191" s="50"/>
      <c r="AB191" s="50"/>
      <c r="AC191" s="50"/>
    </row>
    <row r="192">
      <c r="A192" s="7" t="s">
        <v>285</v>
      </c>
      <c r="B192" s="7" t="s">
        <v>34</v>
      </c>
      <c r="C192" s="7" t="s">
        <v>26</v>
      </c>
      <c r="D192" s="7" t="s">
        <v>98</v>
      </c>
      <c r="E192" s="7">
        <v>23.0</v>
      </c>
      <c r="F192" s="7">
        <v>2001.0</v>
      </c>
      <c r="G192" s="7">
        <v>13.0</v>
      </c>
      <c r="H192" s="7">
        <v>8.0</v>
      </c>
      <c r="I192" s="7">
        <v>692.0</v>
      </c>
      <c r="J192" s="7">
        <v>7.7</v>
      </c>
      <c r="K192" s="7">
        <v>0.0</v>
      </c>
      <c r="L192" s="7">
        <v>0.0</v>
      </c>
      <c r="M192" s="7">
        <v>0.0</v>
      </c>
      <c r="N192" s="7">
        <v>0.0</v>
      </c>
      <c r="O192" s="7">
        <v>0.0</v>
      </c>
      <c r="P192" s="7">
        <v>0.0</v>
      </c>
      <c r="Q192" s="7">
        <v>2.0</v>
      </c>
      <c r="R192" s="7">
        <v>0.0</v>
      </c>
      <c r="S192" s="8">
        <v>0.0</v>
      </c>
      <c r="T192" s="7">
        <v>0.0</v>
      </c>
      <c r="U192" s="7">
        <v>0.0</v>
      </c>
      <c r="V192" s="7">
        <v>0.0</v>
      </c>
      <c r="W192" s="7">
        <v>0.0</v>
      </c>
      <c r="X192" s="7" t="s">
        <v>670</v>
      </c>
      <c r="Y192" s="24" t="s">
        <v>706</v>
      </c>
      <c r="AA192" s="50"/>
      <c r="AB192" s="50"/>
      <c r="AC192" s="50"/>
    </row>
    <row r="193">
      <c r="A193" s="7" t="s">
        <v>287</v>
      </c>
      <c r="B193" s="7" t="s">
        <v>34</v>
      </c>
      <c r="C193" s="7" t="s">
        <v>35</v>
      </c>
      <c r="D193" s="7" t="s">
        <v>36</v>
      </c>
      <c r="E193" s="7">
        <v>20.0</v>
      </c>
      <c r="F193" s="7">
        <v>2003.0</v>
      </c>
      <c r="G193" s="7">
        <v>17.0</v>
      </c>
      <c r="H193" s="7">
        <v>17.0</v>
      </c>
      <c r="I193" s="25">
        <v>1530.0</v>
      </c>
      <c r="J193" s="7">
        <v>17.0</v>
      </c>
      <c r="K193" s="7">
        <v>1.0</v>
      </c>
      <c r="L193" s="7">
        <v>0.0</v>
      </c>
      <c r="M193" s="7">
        <v>1.0</v>
      </c>
      <c r="N193" s="7">
        <v>1.0</v>
      </c>
      <c r="O193" s="7">
        <v>0.0</v>
      </c>
      <c r="P193" s="7">
        <v>0.0</v>
      </c>
      <c r="Q193" s="7">
        <v>2.0</v>
      </c>
      <c r="R193" s="7">
        <v>0.0</v>
      </c>
      <c r="S193" s="8">
        <v>0.06</v>
      </c>
      <c r="T193" s="7">
        <v>0.0</v>
      </c>
      <c r="U193" s="7">
        <v>0.06</v>
      </c>
      <c r="V193" s="7">
        <v>0.06</v>
      </c>
      <c r="W193" s="7">
        <v>0.06</v>
      </c>
      <c r="X193" s="7" t="s">
        <v>678</v>
      </c>
      <c r="Y193" s="7" t="s">
        <v>695</v>
      </c>
      <c r="AA193" s="50"/>
      <c r="AB193" s="50"/>
      <c r="AC193" s="50"/>
    </row>
    <row r="194">
      <c r="A194" s="7" t="s">
        <v>287</v>
      </c>
      <c r="B194" s="7" t="s">
        <v>34</v>
      </c>
      <c r="C194" s="7" t="s">
        <v>35</v>
      </c>
      <c r="D194" s="7" t="s">
        <v>80</v>
      </c>
      <c r="E194" s="7">
        <v>20.0</v>
      </c>
      <c r="F194" s="7">
        <v>2003.0</v>
      </c>
      <c r="G194" s="7">
        <v>9.0</v>
      </c>
      <c r="H194" s="7">
        <v>9.0</v>
      </c>
      <c r="I194" s="7">
        <v>794.0</v>
      </c>
      <c r="J194" s="7">
        <v>8.8</v>
      </c>
      <c r="K194" s="7">
        <v>0.0</v>
      </c>
      <c r="L194" s="7">
        <v>1.0</v>
      </c>
      <c r="M194" s="7">
        <v>1.0</v>
      </c>
      <c r="N194" s="7">
        <v>0.0</v>
      </c>
      <c r="O194" s="7">
        <v>0.0</v>
      </c>
      <c r="P194" s="7">
        <v>0.0</v>
      </c>
      <c r="Q194" s="7">
        <v>1.0</v>
      </c>
      <c r="R194" s="7">
        <v>1.0</v>
      </c>
      <c r="S194" s="8">
        <v>0.0</v>
      </c>
      <c r="T194" s="7">
        <v>0.11</v>
      </c>
      <c r="U194" s="7">
        <v>0.11</v>
      </c>
      <c r="V194" s="7">
        <v>0.0</v>
      </c>
      <c r="W194" s="7">
        <v>0.11</v>
      </c>
      <c r="X194" s="7" t="s">
        <v>693</v>
      </c>
      <c r="Y194" s="24" t="s">
        <v>702</v>
      </c>
      <c r="AA194" s="50"/>
      <c r="AB194" s="50"/>
      <c r="AC194" s="50"/>
    </row>
    <row r="195">
      <c r="A195" s="7" t="s">
        <v>290</v>
      </c>
      <c r="B195" s="7" t="s">
        <v>34</v>
      </c>
      <c r="C195" s="7" t="s">
        <v>83</v>
      </c>
      <c r="D195" s="7" t="s">
        <v>80</v>
      </c>
      <c r="E195" s="7">
        <v>21.0</v>
      </c>
      <c r="F195" s="7">
        <v>2002.0</v>
      </c>
      <c r="G195" s="7">
        <v>16.0</v>
      </c>
      <c r="H195" s="7">
        <v>10.0</v>
      </c>
      <c r="I195" s="25">
        <v>1000.0</v>
      </c>
      <c r="J195" s="7">
        <v>11.1</v>
      </c>
      <c r="K195" s="7">
        <v>0.0</v>
      </c>
      <c r="L195" s="7">
        <v>0.0</v>
      </c>
      <c r="M195" s="7">
        <v>0.0</v>
      </c>
      <c r="N195" s="7">
        <v>0.0</v>
      </c>
      <c r="O195" s="7">
        <v>0.0</v>
      </c>
      <c r="P195" s="7">
        <v>0.0</v>
      </c>
      <c r="Q195" s="7">
        <v>5.0</v>
      </c>
      <c r="R195" s="7">
        <v>0.0</v>
      </c>
      <c r="S195" s="8">
        <v>0.0</v>
      </c>
      <c r="T195" s="7">
        <v>0.0</v>
      </c>
      <c r="U195" s="7">
        <v>0.0</v>
      </c>
      <c r="V195" s="7">
        <v>0.0</v>
      </c>
      <c r="W195" s="7">
        <v>0.0</v>
      </c>
      <c r="X195" s="7" t="s">
        <v>810</v>
      </c>
      <c r="Y195" s="24" t="s">
        <v>697</v>
      </c>
      <c r="AA195" s="50"/>
      <c r="AB195" s="50"/>
      <c r="AC195" s="50"/>
    </row>
    <row r="196">
      <c r="A196" s="7" t="s">
        <v>292</v>
      </c>
      <c r="B196" s="7" t="s">
        <v>25</v>
      </c>
      <c r="C196" s="7" t="s">
        <v>47</v>
      </c>
      <c r="D196" s="7" t="s">
        <v>31</v>
      </c>
      <c r="E196" s="7">
        <v>27.0</v>
      </c>
      <c r="F196" s="7">
        <v>1996.0</v>
      </c>
      <c r="G196" s="7">
        <v>20.0</v>
      </c>
      <c r="H196" s="7">
        <v>14.0</v>
      </c>
      <c r="I196" s="25">
        <v>1231.0</v>
      </c>
      <c r="J196" s="7">
        <v>13.7</v>
      </c>
      <c r="K196" s="7">
        <v>1.0</v>
      </c>
      <c r="L196" s="7">
        <v>4.0</v>
      </c>
      <c r="M196" s="7">
        <v>5.0</v>
      </c>
      <c r="N196" s="7">
        <v>1.0</v>
      </c>
      <c r="O196" s="7">
        <v>0.0</v>
      </c>
      <c r="P196" s="7">
        <v>0.0</v>
      </c>
      <c r="Q196" s="7">
        <v>2.0</v>
      </c>
      <c r="R196" s="7">
        <v>0.0</v>
      </c>
      <c r="S196" s="8">
        <v>0.07</v>
      </c>
      <c r="T196" s="7">
        <v>0.29</v>
      </c>
      <c r="U196" s="7">
        <v>0.37</v>
      </c>
      <c r="V196" s="7">
        <v>0.07</v>
      </c>
      <c r="W196" s="7">
        <v>0.37</v>
      </c>
      <c r="X196" s="7" t="s">
        <v>688</v>
      </c>
      <c r="Y196" s="7" t="s">
        <v>671</v>
      </c>
      <c r="AA196" s="50"/>
      <c r="AB196" s="50"/>
      <c r="AC196" s="50"/>
    </row>
    <row r="197">
      <c r="A197" s="7" t="s">
        <v>294</v>
      </c>
      <c r="B197" s="7" t="s">
        <v>25</v>
      </c>
      <c r="C197" s="7" t="s">
        <v>87</v>
      </c>
      <c r="D197" s="7" t="s">
        <v>128</v>
      </c>
      <c r="E197" s="7">
        <v>20.0</v>
      </c>
      <c r="F197" s="7">
        <v>2003.0</v>
      </c>
      <c r="G197" s="7">
        <v>11.0</v>
      </c>
      <c r="H197" s="7">
        <v>7.0</v>
      </c>
      <c r="I197" s="7">
        <v>630.0</v>
      </c>
      <c r="J197" s="7">
        <v>7.0</v>
      </c>
      <c r="K197" s="7">
        <v>0.0</v>
      </c>
      <c r="L197" s="7">
        <v>1.0</v>
      </c>
      <c r="M197" s="7">
        <v>1.0</v>
      </c>
      <c r="N197" s="7">
        <v>0.0</v>
      </c>
      <c r="O197" s="7">
        <v>0.0</v>
      </c>
      <c r="P197" s="7">
        <v>0.0</v>
      </c>
      <c r="Q197" s="7">
        <v>3.0</v>
      </c>
      <c r="R197" s="7">
        <v>1.0</v>
      </c>
      <c r="S197" s="8">
        <v>0.0</v>
      </c>
      <c r="T197" s="7">
        <v>0.14</v>
      </c>
      <c r="U197" s="7">
        <v>0.14</v>
      </c>
      <c r="V197" s="7">
        <v>0.0</v>
      </c>
      <c r="W197" s="7">
        <v>0.14</v>
      </c>
      <c r="X197" s="7" t="s">
        <v>810</v>
      </c>
      <c r="Y197" s="24" t="s">
        <v>702</v>
      </c>
      <c r="AA197" s="50"/>
      <c r="AB197" s="50"/>
      <c r="AC197" s="50"/>
    </row>
    <row r="198">
      <c r="A198" s="7" t="s">
        <v>296</v>
      </c>
      <c r="B198" s="7" t="s">
        <v>25</v>
      </c>
      <c r="C198" s="7" t="s">
        <v>35</v>
      </c>
      <c r="D198" s="7" t="s">
        <v>36</v>
      </c>
      <c r="E198" s="7">
        <v>25.0</v>
      </c>
      <c r="F198" s="7">
        <v>1999.0</v>
      </c>
      <c r="G198" s="7">
        <v>26.0</v>
      </c>
      <c r="H198" s="7">
        <v>20.0</v>
      </c>
      <c r="I198" s="25">
        <v>1943.0</v>
      </c>
      <c r="J198" s="7">
        <v>21.6</v>
      </c>
      <c r="K198" s="7">
        <v>1.0</v>
      </c>
      <c r="L198" s="7">
        <v>0.0</v>
      </c>
      <c r="M198" s="7">
        <v>1.0</v>
      </c>
      <c r="N198" s="7">
        <v>1.0</v>
      </c>
      <c r="O198" s="7">
        <v>0.0</v>
      </c>
      <c r="P198" s="7">
        <v>0.0</v>
      </c>
      <c r="Q198" s="7">
        <v>6.0</v>
      </c>
      <c r="R198" s="7">
        <v>1.0</v>
      </c>
      <c r="S198" s="8">
        <v>0.05</v>
      </c>
      <c r="T198" s="7">
        <v>0.0</v>
      </c>
      <c r="U198" s="7">
        <v>0.05</v>
      </c>
      <c r="V198" s="7">
        <v>0.05</v>
      </c>
      <c r="W198" s="7">
        <v>0.05</v>
      </c>
      <c r="X198" s="7" t="s">
        <v>673</v>
      </c>
      <c r="Y198" s="7" t="s">
        <v>668</v>
      </c>
      <c r="AA198" s="50"/>
      <c r="AB198" s="50"/>
      <c r="AC198" s="50"/>
    </row>
    <row r="199">
      <c r="A199" s="7" t="s">
        <v>298</v>
      </c>
      <c r="B199" s="7" t="s">
        <v>34</v>
      </c>
      <c r="C199" s="7" t="s">
        <v>35</v>
      </c>
      <c r="D199" s="7" t="s">
        <v>52</v>
      </c>
      <c r="E199" s="7">
        <v>25.0</v>
      </c>
      <c r="F199" s="7">
        <v>1998.0</v>
      </c>
      <c r="G199" s="7">
        <v>7.0</v>
      </c>
      <c r="H199" s="7">
        <v>1.0</v>
      </c>
      <c r="I199" s="7">
        <v>197.0</v>
      </c>
      <c r="J199" s="7">
        <v>2.2</v>
      </c>
      <c r="K199" s="7">
        <v>0.0</v>
      </c>
      <c r="L199" s="7">
        <v>1.0</v>
      </c>
      <c r="M199" s="7">
        <v>1.0</v>
      </c>
      <c r="N199" s="7">
        <v>0.0</v>
      </c>
      <c r="O199" s="7">
        <v>0.0</v>
      </c>
      <c r="P199" s="7">
        <v>0.0</v>
      </c>
      <c r="Q199" s="7">
        <v>2.0</v>
      </c>
      <c r="R199" s="7">
        <v>0.0</v>
      </c>
      <c r="S199" s="8">
        <v>0.0</v>
      </c>
      <c r="T199" s="7">
        <v>0.46</v>
      </c>
      <c r="U199" s="7">
        <v>0.46</v>
      </c>
      <c r="V199" s="7">
        <v>0.0</v>
      </c>
      <c r="W199" s="7">
        <v>0.46</v>
      </c>
      <c r="X199" s="7" t="s">
        <v>810</v>
      </c>
      <c r="Y199" s="24" t="s">
        <v>677</v>
      </c>
      <c r="AA199" s="50"/>
      <c r="AB199" s="50"/>
      <c r="AC199" s="50"/>
    </row>
    <row r="200">
      <c r="A200" s="7" t="s">
        <v>300</v>
      </c>
      <c r="B200" s="7" t="s">
        <v>25</v>
      </c>
      <c r="C200" s="7" t="s">
        <v>26</v>
      </c>
      <c r="D200" s="7" t="s">
        <v>58</v>
      </c>
      <c r="E200" s="7">
        <v>19.0</v>
      </c>
      <c r="F200" s="7">
        <v>2004.0</v>
      </c>
      <c r="G200" s="7">
        <v>6.0</v>
      </c>
      <c r="H200" s="7">
        <v>0.0</v>
      </c>
      <c r="I200" s="7">
        <v>28.0</v>
      </c>
      <c r="J200" s="7">
        <v>0.3</v>
      </c>
      <c r="K200" s="7">
        <v>0.0</v>
      </c>
      <c r="L200" s="7">
        <v>0.0</v>
      </c>
      <c r="M200" s="7">
        <v>0.0</v>
      </c>
      <c r="N200" s="7">
        <v>0.0</v>
      </c>
      <c r="O200" s="7">
        <v>0.0</v>
      </c>
      <c r="P200" s="7">
        <v>0.0</v>
      </c>
      <c r="Q200" s="7">
        <v>0.0</v>
      </c>
      <c r="R200" s="7">
        <v>0.0</v>
      </c>
      <c r="S200" s="8">
        <v>0.0</v>
      </c>
      <c r="T200" s="7">
        <v>0.0</v>
      </c>
      <c r="U200" s="7">
        <v>0.0</v>
      </c>
      <c r="V200" s="7">
        <v>0.0</v>
      </c>
      <c r="W200" s="7">
        <v>0.0</v>
      </c>
      <c r="X200" s="7" t="s">
        <v>709</v>
      </c>
      <c r="Y200" s="24" t="s">
        <v>701</v>
      </c>
      <c r="AA200" s="50"/>
      <c r="AB200" s="50"/>
      <c r="AC200" s="50"/>
    </row>
    <row r="201">
      <c r="A201" s="7" t="s">
        <v>300</v>
      </c>
      <c r="B201" s="7" t="s">
        <v>25</v>
      </c>
      <c r="C201" s="7" t="s">
        <v>26</v>
      </c>
      <c r="D201" s="7" t="s">
        <v>80</v>
      </c>
      <c r="E201" s="7">
        <v>19.0</v>
      </c>
      <c r="F201" s="7">
        <v>2004.0</v>
      </c>
      <c r="G201" s="7">
        <v>12.0</v>
      </c>
      <c r="H201" s="7">
        <v>8.0</v>
      </c>
      <c r="I201" s="7">
        <v>637.0</v>
      </c>
      <c r="J201" s="7">
        <v>7.1</v>
      </c>
      <c r="K201" s="7">
        <v>1.0</v>
      </c>
      <c r="L201" s="7">
        <v>1.0</v>
      </c>
      <c r="M201" s="7">
        <v>2.0</v>
      </c>
      <c r="N201" s="7">
        <v>1.0</v>
      </c>
      <c r="O201" s="7">
        <v>0.0</v>
      </c>
      <c r="P201" s="7">
        <v>0.0</v>
      </c>
      <c r="Q201" s="7">
        <v>1.0</v>
      </c>
      <c r="R201" s="7">
        <v>0.0</v>
      </c>
      <c r="S201" s="8">
        <v>0.14</v>
      </c>
      <c r="T201" s="7">
        <v>0.14</v>
      </c>
      <c r="U201" s="7">
        <v>0.28</v>
      </c>
      <c r="V201" s="7">
        <v>0.14</v>
      </c>
      <c r="W201" s="7">
        <v>0.28</v>
      </c>
      <c r="X201" s="7" t="s">
        <v>810</v>
      </c>
      <c r="Y201" s="24" t="s">
        <v>691</v>
      </c>
      <c r="AA201" s="50"/>
      <c r="AB201" s="50"/>
      <c r="AC201" s="50"/>
    </row>
    <row r="202">
      <c r="A202" s="7" t="s">
        <v>303</v>
      </c>
      <c r="B202" s="7" t="s">
        <v>25</v>
      </c>
      <c r="C202" s="7" t="s">
        <v>35</v>
      </c>
      <c r="D202" s="7" t="s">
        <v>44</v>
      </c>
      <c r="E202" s="7">
        <v>32.0</v>
      </c>
      <c r="F202" s="7">
        <v>1991.0</v>
      </c>
      <c r="G202" s="7">
        <v>9.0</v>
      </c>
      <c r="H202" s="7">
        <v>7.0</v>
      </c>
      <c r="I202" s="7">
        <v>636.0</v>
      </c>
      <c r="J202" s="7">
        <v>7.1</v>
      </c>
      <c r="K202" s="7">
        <v>0.0</v>
      </c>
      <c r="L202" s="7">
        <v>0.0</v>
      </c>
      <c r="M202" s="7">
        <v>0.0</v>
      </c>
      <c r="N202" s="7">
        <v>0.0</v>
      </c>
      <c r="O202" s="7">
        <v>0.0</v>
      </c>
      <c r="P202" s="7">
        <v>0.0</v>
      </c>
      <c r="Q202" s="7">
        <v>1.0</v>
      </c>
      <c r="R202" s="7">
        <v>0.0</v>
      </c>
      <c r="S202" s="8">
        <v>0.0</v>
      </c>
      <c r="T202" s="7">
        <v>0.0</v>
      </c>
      <c r="U202" s="7">
        <v>0.0</v>
      </c>
      <c r="V202" s="7">
        <v>0.0</v>
      </c>
      <c r="W202" s="7">
        <v>0.0</v>
      </c>
      <c r="X202" s="7" t="s">
        <v>667</v>
      </c>
      <c r="Y202" s="7" t="s">
        <v>724</v>
      </c>
      <c r="AA202" s="50"/>
      <c r="AB202" s="50"/>
      <c r="AC202" s="50"/>
    </row>
    <row r="203">
      <c r="A203" s="7" t="s">
        <v>305</v>
      </c>
      <c r="B203" s="7" t="s">
        <v>25</v>
      </c>
      <c r="C203" s="7" t="s">
        <v>47</v>
      </c>
      <c r="D203" s="7" t="s">
        <v>27</v>
      </c>
      <c r="E203" s="7">
        <v>27.0</v>
      </c>
      <c r="F203" s="7">
        <v>1996.0</v>
      </c>
      <c r="G203" s="7">
        <v>31.0</v>
      </c>
      <c r="H203" s="7">
        <v>23.0</v>
      </c>
      <c r="I203" s="25">
        <v>1844.0</v>
      </c>
      <c r="J203" s="7">
        <v>20.5</v>
      </c>
      <c r="K203" s="7">
        <v>7.0</v>
      </c>
      <c r="L203" s="7">
        <v>3.0</v>
      </c>
      <c r="M203" s="7">
        <v>10.0</v>
      </c>
      <c r="N203" s="7">
        <v>7.0</v>
      </c>
      <c r="O203" s="7">
        <v>0.0</v>
      </c>
      <c r="P203" s="7">
        <v>0.0</v>
      </c>
      <c r="Q203" s="7">
        <v>3.0</v>
      </c>
      <c r="R203" s="7">
        <v>0.0</v>
      </c>
      <c r="S203" s="8">
        <v>0.34</v>
      </c>
      <c r="T203" s="7">
        <v>0.15</v>
      </c>
      <c r="U203" s="7">
        <v>0.49</v>
      </c>
      <c r="V203" s="7">
        <v>0.34</v>
      </c>
      <c r="W203" s="7">
        <v>0.49</v>
      </c>
      <c r="X203" s="7" t="s">
        <v>719</v>
      </c>
      <c r="Y203" s="24" t="s">
        <v>697</v>
      </c>
      <c r="AA203" s="50"/>
      <c r="AB203" s="50"/>
      <c r="AC203" s="50"/>
    </row>
    <row r="204">
      <c r="A204" s="7" t="s">
        <v>307</v>
      </c>
      <c r="B204" s="7" t="s">
        <v>34</v>
      </c>
      <c r="C204" s="7" t="s">
        <v>30</v>
      </c>
      <c r="D204" s="7" t="s">
        <v>44</v>
      </c>
      <c r="E204" s="7">
        <v>27.0</v>
      </c>
      <c r="F204" s="7">
        <v>1996.0</v>
      </c>
      <c r="G204" s="7">
        <v>27.0</v>
      </c>
      <c r="H204" s="7">
        <v>19.0</v>
      </c>
      <c r="I204" s="25">
        <v>1793.0</v>
      </c>
      <c r="J204" s="7">
        <v>19.9</v>
      </c>
      <c r="K204" s="7">
        <v>5.0</v>
      </c>
      <c r="L204" s="7">
        <v>2.0</v>
      </c>
      <c r="M204" s="7">
        <v>7.0</v>
      </c>
      <c r="N204" s="7">
        <v>5.0</v>
      </c>
      <c r="O204" s="7">
        <v>0.0</v>
      </c>
      <c r="P204" s="7">
        <v>1.0</v>
      </c>
      <c r="Q204" s="7">
        <v>1.0</v>
      </c>
      <c r="R204" s="7">
        <v>0.0</v>
      </c>
      <c r="S204" s="8">
        <v>0.25</v>
      </c>
      <c r="T204" s="7">
        <v>0.1</v>
      </c>
      <c r="U204" s="7">
        <v>0.35</v>
      </c>
      <c r="V204" s="7">
        <v>0.25</v>
      </c>
      <c r="W204" s="7">
        <v>0.35</v>
      </c>
      <c r="X204" s="7" t="s">
        <v>720</v>
      </c>
      <c r="Y204" s="24" t="s">
        <v>691</v>
      </c>
      <c r="AA204" s="50"/>
      <c r="AB204" s="50"/>
      <c r="AC204" s="50"/>
    </row>
    <row r="205">
      <c r="A205" s="7" t="s">
        <v>309</v>
      </c>
      <c r="B205" s="7" t="s">
        <v>25</v>
      </c>
      <c r="C205" s="7" t="s">
        <v>35</v>
      </c>
      <c r="D205" s="7" t="s">
        <v>36</v>
      </c>
      <c r="E205" s="7">
        <v>23.0</v>
      </c>
      <c r="F205" s="7">
        <v>2000.0</v>
      </c>
      <c r="G205" s="7">
        <v>12.0</v>
      </c>
      <c r="H205" s="7">
        <v>12.0</v>
      </c>
      <c r="I205" s="25">
        <v>1031.0</v>
      </c>
      <c r="J205" s="7">
        <v>11.5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>
        <v>0.0</v>
      </c>
      <c r="Q205" s="7">
        <v>3.0</v>
      </c>
      <c r="R205" s="7">
        <v>0.0</v>
      </c>
      <c r="S205" s="8">
        <v>0.0</v>
      </c>
      <c r="T205" s="7">
        <v>0.0</v>
      </c>
      <c r="U205" s="7">
        <v>0.0</v>
      </c>
      <c r="V205" s="7">
        <v>0.0</v>
      </c>
      <c r="W205" s="7">
        <v>0.0</v>
      </c>
      <c r="X205" s="7" t="s">
        <v>722</v>
      </c>
      <c r="Y205" s="24" t="s">
        <v>691</v>
      </c>
      <c r="AA205" s="50"/>
      <c r="AB205" s="50"/>
      <c r="AC205" s="50"/>
    </row>
    <row r="206">
      <c r="A206" s="7" t="s">
        <v>311</v>
      </c>
      <c r="B206" s="7" t="e">
        <v>#VALUE!</v>
      </c>
      <c r="C206" s="7" t="s">
        <v>26</v>
      </c>
      <c r="D206" s="7" t="s">
        <v>36</v>
      </c>
      <c r="G206" s="7">
        <v>1.0</v>
      </c>
      <c r="H206" s="7">
        <v>0.0</v>
      </c>
      <c r="I206" s="7">
        <v>20.0</v>
      </c>
      <c r="J206" s="7">
        <v>0.2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7">
        <v>0.0</v>
      </c>
      <c r="Q206" s="7">
        <v>0.0</v>
      </c>
      <c r="R206" s="7">
        <v>0.0</v>
      </c>
      <c r="S206" s="8">
        <v>0.0</v>
      </c>
      <c r="T206" s="7">
        <v>0.0</v>
      </c>
      <c r="U206" s="7">
        <v>0.0</v>
      </c>
      <c r="V206" s="7">
        <v>0.0</v>
      </c>
      <c r="W206" s="7">
        <v>0.0</v>
      </c>
      <c r="X206" s="7" t="s">
        <v>673</v>
      </c>
      <c r="Y206" s="7" t="s">
        <v>668</v>
      </c>
      <c r="AA206" s="50"/>
      <c r="AB206" s="50"/>
      <c r="AC206" s="50"/>
    </row>
    <row r="207">
      <c r="A207" s="7" t="s">
        <v>313</v>
      </c>
      <c r="B207" s="7" t="s">
        <v>25</v>
      </c>
      <c r="C207" s="7" t="s">
        <v>47</v>
      </c>
      <c r="D207" s="7" t="s">
        <v>44</v>
      </c>
      <c r="E207" s="7">
        <v>23.0</v>
      </c>
      <c r="F207" s="7">
        <v>2001.0</v>
      </c>
      <c r="G207" s="7">
        <v>34.0</v>
      </c>
      <c r="H207" s="7">
        <v>26.0</v>
      </c>
      <c r="I207" s="25">
        <v>2295.0</v>
      </c>
      <c r="J207" s="7">
        <v>25.5</v>
      </c>
      <c r="K207" s="7">
        <v>4.0</v>
      </c>
      <c r="L207" s="7">
        <v>1.0</v>
      </c>
      <c r="M207" s="7">
        <v>5.0</v>
      </c>
      <c r="N207" s="7">
        <v>4.0</v>
      </c>
      <c r="O207" s="7">
        <v>0.0</v>
      </c>
      <c r="P207" s="7">
        <v>0.0</v>
      </c>
      <c r="Q207" s="7">
        <v>7.0</v>
      </c>
      <c r="R207" s="7">
        <v>0.0</v>
      </c>
      <c r="S207" s="8">
        <v>0.16</v>
      </c>
      <c r="T207" s="7">
        <v>0.04</v>
      </c>
      <c r="U207" s="7">
        <v>0.2</v>
      </c>
      <c r="V207" s="7">
        <v>0.16</v>
      </c>
      <c r="W207" s="7">
        <v>0.2</v>
      </c>
      <c r="X207" s="7" t="s">
        <v>698</v>
      </c>
      <c r="Y207" s="24" t="s">
        <v>700</v>
      </c>
      <c r="AA207" s="50"/>
      <c r="AB207" s="50"/>
      <c r="AC207" s="50"/>
    </row>
    <row r="208">
      <c r="A208" s="7" t="s">
        <v>315</v>
      </c>
      <c r="B208" s="7" t="s">
        <v>70</v>
      </c>
      <c r="C208" s="7" t="s">
        <v>55</v>
      </c>
      <c r="D208" s="7" t="s">
        <v>80</v>
      </c>
      <c r="E208" s="7">
        <v>24.0</v>
      </c>
      <c r="F208" s="7">
        <v>1999.0</v>
      </c>
      <c r="G208" s="7">
        <v>31.0</v>
      </c>
      <c r="H208" s="7">
        <v>24.0</v>
      </c>
      <c r="I208" s="25">
        <v>2079.0</v>
      </c>
      <c r="J208" s="7">
        <v>23.1</v>
      </c>
      <c r="K208" s="7">
        <v>6.0</v>
      </c>
      <c r="L208" s="7">
        <v>1.0</v>
      </c>
      <c r="M208" s="7">
        <v>7.0</v>
      </c>
      <c r="N208" s="7">
        <v>5.0</v>
      </c>
      <c r="O208" s="7">
        <v>1.0</v>
      </c>
      <c r="P208" s="7">
        <v>1.0</v>
      </c>
      <c r="Q208" s="7">
        <v>5.0</v>
      </c>
      <c r="R208" s="7">
        <v>0.0</v>
      </c>
      <c r="S208" s="8">
        <v>0.26</v>
      </c>
      <c r="T208" s="7">
        <v>0.04</v>
      </c>
      <c r="U208" s="7">
        <v>0.3</v>
      </c>
      <c r="V208" s="7">
        <v>0.22</v>
      </c>
      <c r="W208" s="7">
        <v>0.26</v>
      </c>
      <c r="X208" s="7" t="s">
        <v>678</v>
      </c>
      <c r="Y208" s="24" t="s">
        <v>702</v>
      </c>
      <c r="AA208" s="50"/>
      <c r="AB208" s="50"/>
      <c r="AC208" s="50"/>
    </row>
    <row r="209">
      <c r="A209" s="7" t="s">
        <v>317</v>
      </c>
      <c r="B209" s="7" t="s">
        <v>25</v>
      </c>
      <c r="C209" s="7" t="s">
        <v>26</v>
      </c>
      <c r="D209" s="7" t="s">
        <v>44</v>
      </c>
      <c r="E209" s="7">
        <v>18.0</v>
      </c>
      <c r="F209" s="7">
        <v>2005.0</v>
      </c>
      <c r="G209" s="7">
        <v>11.0</v>
      </c>
      <c r="H209" s="7">
        <v>8.0</v>
      </c>
      <c r="I209" s="7">
        <v>682.0</v>
      </c>
      <c r="J209" s="7">
        <v>7.6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7">
        <v>0.0</v>
      </c>
      <c r="Q209" s="7">
        <v>2.0</v>
      </c>
      <c r="R209" s="7">
        <v>0.0</v>
      </c>
      <c r="S209" s="8">
        <v>0.0</v>
      </c>
      <c r="T209" s="7">
        <v>0.0</v>
      </c>
      <c r="U209" s="7">
        <v>0.0</v>
      </c>
      <c r="V209" s="7">
        <v>0.0</v>
      </c>
      <c r="W209" s="7">
        <v>0.0</v>
      </c>
      <c r="X209" s="7" t="s">
        <v>673</v>
      </c>
      <c r="Y209" s="7" t="s">
        <v>695</v>
      </c>
      <c r="AA209" s="50"/>
      <c r="AB209" s="50"/>
      <c r="AC209" s="50"/>
    </row>
    <row r="210">
      <c r="A210" s="7" t="s">
        <v>319</v>
      </c>
      <c r="B210" s="7" t="s">
        <v>25</v>
      </c>
      <c r="C210" s="7" t="s">
        <v>77</v>
      </c>
      <c r="D210" s="7" t="s">
        <v>44</v>
      </c>
      <c r="E210" s="7">
        <v>26.0</v>
      </c>
      <c r="F210" s="7">
        <v>1997.0</v>
      </c>
      <c r="G210" s="7">
        <v>2.0</v>
      </c>
      <c r="H210" s="7">
        <v>2.0</v>
      </c>
      <c r="I210" s="7">
        <v>180.0</v>
      </c>
      <c r="J210" s="7">
        <v>2.0</v>
      </c>
      <c r="K210" s="7">
        <v>0.0</v>
      </c>
      <c r="L210" s="7">
        <v>0.0</v>
      </c>
      <c r="M210" s="7">
        <v>0.0</v>
      </c>
      <c r="N210" s="7">
        <v>0.0</v>
      </c>
      <c r="O210" s="7">
        <v>0.0</v>
      </c>
      <c r="P210" s="7">
        <v>0.0</v>
      </c>
      <c r="Q210" s="7">
        <v>0.0</v>
      </c>
      <c r="R210" s="7">
        <v>0.0</v>
      </c>
      <c r="S210" s="8">
        <v>0.0</v>
      </c>
      <c r="T210" s="7">
        <v>0.0</v>
      </c>
      <c r="U210" s="7">
        <v>0.0</v>
      </c>
      <c r="V210" s="7">
        <v>0.0</v>
      </c>
      <c r="W210" s="7">
        <v>0.0</v>
      </c>
      <c r="X210" s="7" t="s">
        <v>698</v>
      </c>
      <c r="Y210" s="7" t="s">
        <v>668</v>
      </c>
      <c r="AA210" s="50"/>
      <c r="AB210" s="50"/>
      <c r="AC210" s="50"/>
    </row>
    <row r="211">
      <c r="A211" s="7" t="s">
        <v>321</v>
      </c>
      <c r="B211" s="7" t="s">
        <v>25</v>
      </c>
      <c r="C211" s="7" t="s">
        <v>26</v>
      </c>
      <c r="D211" s="7" t="s">
        <v>27</v>
      </c>
      <c r="E211" s="7">
        <v>25.0</v>
      </c>
      <c r="F211" s="7">
        <v>1998.0</v>
      </c>
      <c r="G211" s="7">
        <v>34.0</v>
      </c>
      <c r="H211" s="7">
        <v>33.0</v>
      </c>
      <c r="I211" s="25">
        <v>2940.0</v>
      </c>
      <c r="J211" s="7">
        <v>32.7</v>
      </c>
      <c r="K211" s="7">
        <v>2.0</v>
      </c>
      <c r="L211" s="7">
        <v>1.0</v>
      </c>
      <c r="M211" s="7">
        <v>3.0</v>
      </c>
      <c r="N211" s="7">
        <v>2.0</v>
      </c>
      <c r="O211" s="7">
        <v>0.0</v>
      </c>
      <c r="P211" s="7">
        <v>0.0</v>
      </c>
      <c r="Q211" s="7">
        <v>12.0</v>
      </c>
      <c r="R211" s="7">
        <v>0.0</v>
      </c>
      <c r="S211" s="8">
        <v>0.06</v>
      </c>
      <c r="T211" s="7">
        <v>0.03</v>
      </c>
      <c r="U211" s="7">
        <v>0.09</v>
      </c>
      <c r="V211" s="7">
        <v>0.06</v>
      </c>
      <c r="W211" s="7">
        <v>0.09</v>
      </c>
      <c r="X211" s="7" t="s">
        <v>690</v>
      </c>
      <c r="Y211" s="24" t="s">
        <v>703</v>
      </c>
      <c r="AA211" s="50"/>
      <c r="AB211" s="50"/>
      <c r="AC211" s="50"/>
    </row>
    <row r="212">
      <c r="A212" s="7" t="s">
        <v>323</v>
      </c>
      <c r="B212" s="7" t="s">
        <v>70</v>
      </c>
      <c r="C212" s="7" t="s">
        <v>35</v>
      </c>
      <c r="D212" s="7" t="s">
        <v>80</v>
      </c>
      <c r="E212" s="7">
        <v>22.0</v>
      </c>
      <c r="F212" s="7">
        <v>2001.0</v>
      </c>
      <c r="G212" s="7">
        <v>3.0</v>
      </c>
      <c r="H212" s="7">
        <v>3.0</v>
      </c>
      <c r="I212" s="7">
        <v>216.0</v>
      </c>
      <c r="J212" s="7">
        <v>2.4</v>
      </c>
      <c r="K212" s="7">
        <v>0.0</v>
      </c>
      <c r="L212" s="7">
        <v>0.0</v>
      </c>
      <c r="M212" s="7">
        <v>0.0</v>
      </c>
      <c r="N212" s="7">
        <v>0.0</v>
      </c>
      <c r="O212" s="7">
        <v>0.0</v>
      </c>
      <c r="P212" s="7">
        <v>0.0</v>
      </c>
      <c r="Q212" s="7">
        <v>0.0</v>
      </c>
      <c r="R212" s="7">
        <v>0.0</v>
      </c>
      <c r="S212" s="8">
        <v>0.0</v>
      </c>
      <c r="T212" s="7">
        <v>0.0</v>
      </c>
      <c r="U212" s="7">
        <v>0.0</v>
      </c>
      <c r="V212" s="7">
        <v>0.0</v>
      </c>
      <c r="W212" s="7">
        <v>0.0</v>
      </c>
      <c r="X212" s="7" t="s">
        <v>699</v>
      </c>
      <c r="Y212" s="7" t="s">
        <v>684</v>
      </c>
      <c r="AA212" s="50"/>
      <c r="AB212" s="50"/>
      <c r="AC212" s="50"/>
    </row>
    <row r="213">
      <c r="A213" s="7" t="s">
        <v>325</v>
      </c>
      <c r="B213" s="7" t="s">
        <v>25</v>
      </c>
      <c r="C213" s="7" t="s">
        <v>47</v>
      </c>
      <c r="D213" s="7" t="s">
        <v>27</v>
      </c>
      <c r="E213" s="7">
        <v>26.0</v>
      </c>
      <c r="F213" s="7">
        <v>1997.0</v>
      </c>
      <c r="G213" s="7">
        <v>21.0</v>
      </c>
      <c r="H213" s="7">
        <v>5.0</v>
      </c>
      <c r="I213" s="7">
        <v>624.0</v>
      </c>
      <c r="J213" s="7">
        <v>6.9</v>
      </c>
      <c r="K213" s="7">
        <v>1.0</v>
      </c>
      <c r="L213" s="7">
        <v>1.0</v>
      </c>
      <c r="M213" s="7">
        <v>2.0</v>
      </c>
      <c r="N213" s="7">
        <v>1.0</v>
      </c>
      <c r="O213" s="7">
        <v>0.0</v>
      </c>
      <c r="P213" s="7">
        <v>0.0</v>
      </c>
      <c r="Q213" s="7">
        <v>0.0</v>
      </c>
      <c r="R213" s="7">
        <v>0.0</v>
      </c>
      <c r="S213" s="8">
        <v>0.14</v>
      </c>
      <c r="T213" s="7">
        <v>0.14</v>
      </c>
      <c r="U213" s="7">
        <v>0.29</v>
      </c>
      <c r="V213" s="7">
        <v>0.14</v>
      </c>
      <c r="W213" s="7">
        <v>0.29</v>
      </c>
      <c r="X213" s="7" t="s">
        <v>690</v>
      </c>
      <c r="Y213" s="7" t="s">
        <v>668</v>
      </c>
      <c r="AA213" s="50"/>
      <c r="AB213" s="50"/>
      <c r="AC213" s="50"/>
    </row>
    <row r="214">
      <c r="A214" s="7" t="s">
        <v>327</v>
      </c>
      <c r="B214" s="7" t="s">
        <v>328</v>
      </c>
      <c r="C214" s="7" t="s">
        <v>35</v>
      </c>
      <c r="D214" s="7" t="s">
        <v>62</v>
      </c>
      <c r="E214" s="7">
        <v>27.0</v>
      </c>
      <c r="F214" s="7">
        <v>1996.0</v>
      </c>
      <c r="G214" s="7">
        <v>27.0</v>
      </c>
      <c r="H214" s="7">
        <v>23.0</v>
      </c>
      <c r="I214" s="25">
        <v>2093.0</v>
      </c>
      <c r="J214" s="7">
        <v>23.3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>
        <v>0.0</v>
      </c>
      <c r="Q214" s="7">
        <v>2.0</v>
      </c>
      <c r="R214" s="7">
        <v>0.0</v>
      </c>
      <c r="S214" s="8">
        <v>0.0</v>
      </c>
      <c r="T214" s="7">
        <v>0.0</v>
      </c>
      <c r="U214" s="7">
        <v>0.0</v>
      </c>
      <c r="V214" s="7">
        <v>0.0</v>
      </c>
      <c r="W214" s="7">
        <v>0.0</v>
      </c>
      <c r="X214" s="7" t="s">
        <v>690</v>
      </c>
      <c r="Y214" s="7" t="s">
        <v>668</v>
      </c>
      <c r="AA214" s="50"/>
      <c r="AB214" s="50"/>
      <c r="AC214" s="50"/>
    </row>
    <row r="215">
      <c r="A215" s="7" t="s">
        <v>330</v>
      </c>
      <c r="B215" s="7" t="s">
        <v>331</v>
      </c>
      <c r="C215" s="7" t="s">
        <v>77</v>
      </c>
      <c r="D215" s="7" t="s">
        <v>36</v>
      </c>
      <c r="E215" s="7">
        <v>28.0</v>
      </c>
      <c r="F215" s="7">
        <v>1995.0</v>
      </c>
      <c r="G215" s="7">
        <v>7.0</v>
      </c>
      <c r="H215" s="7">
        <v>7.0</v>
      </c>
      <c r="I215" s="7">
        <v>613.0</v>
      </c>
      <c r="J215" s="7">
        <v>6.8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>
        <v>0.0</v>
      </c>
      <c r="Q215" s="7">
        <v>0.0</v>
      </c>
      <c r="R215" s="7">
        <v>1.0</v>
      </c>
      <c r="S215" s="8">
        <v>0.0</v>
      </c>
      <c r="T215" s="7">
        <v>0.0</v>
      </c>
      <c r="U215" s="7">
        <v>0.0</v>
      </c>
      <c r="V215" s="7">
        <v>0.0</v>
      </c>
      <c r="W215" s="7">
        <v>0.0</v>
      </c>
      <c r="X215" s="7" t="s">
        <v>810</v>
      </c>
      <c r="Y215" s="24" t="s">
        <v>701</v>
      </c>
      <c r="AA215" s="50"/>
      <c r="AB215" s="50"/>
      <c r="AC215" s="50"/>
    </row>
    <row r="216">
      <c r="A216" s="7" t="s">
        <v>333</v>
      </c>
      <c r="B216" s="7" t="s">
        <v>25</v>
      </c>
      <c r="C216" s="7" t="s">
        <v>35</v>
      </c>
      <c r="D216" s="7" t="s">
        <v>44</v>
      </c>
      <c r="E216" s="7">
        <v>20.0</v>
      </c>
      <c r="F216" s="7">
        <v>2003.0</v>
      </c>
      <c r="G216" s="7">
        <v>24.0</v>
      </c>
      <c r="H216" s="7">
        <v>18.0</v>
      </c>
      <c r="I216" s="25">
        <v>1669.0</v>
      </c>
      <c r="J216" s="7">
        <v>18.5</v>
      </c>
      <c r="K216" s="7">
        <v>1.0</v>
      </c>
      <c r="L216" s="7">
        <v>0.0</v>
      </c>
      <c r="M216" s="7">
        <v>1.0</v>
      </c>
      <c r="N216" s="7">
        <v>1.0</v>
      </c>
      <c r="O216" s="7">
        <v>0.0</v>
      </c>
      <c r="P216" s="7">
        <v>0.0</v>
      </c>
      <c r="Q216" s="7">
        <v>4.0</v>
      </c>
      <c r="R216" s="7">
        <v>0.0</v>
      </c>
      <c r="S216" s="8">
        <v>0.05</v>
      </c>
      <c r="T216" s="7">
        <v>0.0</v>
      </c>
      <c r="U216" s="7">
        <v>0.05</v>
      </c>
      <c r="V216" s="7">
        <v>0.05</v>
      </c>
      <c r="W216" s="7">
        <v>0.05</v>
      </c>
      <c r="X216" s="7" t="s">
        <v>720</v>
      </c>
      <c r="Y216" s="7" t="s">
        <v>695</v>
      </c>
      <c r="AA216" s="50"/>
      <c r="AB216" s="50"/>
      <c r="AC216" s="50"/>
    </row>
    <row r="217">
      <c r="A217" s="7" t="s">
        <v>335</v>
      </c>
      <c r="B217" s="7" t="s">
        <v>25</v>
      </c>
      <c r="C217" s="7" t="s">
        <v>26</v>
      </c>
      <c r="D217" s="7" t="s">
        <v>62</v>
      </c>
      <c r="E217" s="7">
        <v>33.0</v>
      </c>
      <c r="F217" s="7">
        <v>1991.0</v>
      </c>
      <c r="G217" s="7">
        <v>15.0</v>
      </c>
      <c r="H217" s="7">
        <v>15.0</v>
      </c>
      <c r="I217" s="25">
        <v>1342.0</v>
      </c>
      <c r="J217" s="7">
        <v>14.9</v>
      </c>
      <c r="K217" s="7">
        <v>2.0</v>
      </c>
      <c r="L217" s="7">
        <v>0.0</v>
      </c>
      <c r="M217" s="7">
        <v>2.0</v>
      </c>
      <c r="N217" s="7">
        <v>2.0</v>
      </c>
      <c r="O217" s="7">
        <v>0.0</v>
      </c>
      <c r="P217" s="7">
        <v>0.0</v>
      </c>
      <c r="Q217" s="7">
        <v>0.0</v>
      </c>
      <c r="R217" s="7">
        <v>0.0</v>
      </c>
      <c r="S217" s="8">
        <v>0.13</v>
      </c>
      <c r="T217" s="7">
        <v>0.0</v>
      </c>
      <c r="U217" s="7">
        <v>0.13</v>
      </c>
      <c r="V217" s="7">
        <v>0.13</v>
      </c>
      <c r="W217" s="7">
        <v>0.13</v>
      </c>
      <c r="X217" s="7" t="s">
        <v>715</v>
      </c>
      <c r="Y217" s="7" t="s">
        <v>707</v>
      </c>
      <c r="AA217" s="50"/>
      <c r="AB217" s="50"/>
      <c r="AC217" s="50"/>
    </row>
    <row r="218">
      <c r="A218" s="7" t="s">
        <v>337</v>
      </c>
      <c r="B218" s="7" t="s">
        <v>25</v>
      </c>
      <c r="C218" s="7" t="s">
        <v>35</v>
      </c>
      <c r="D218" s="7" t="s">
        <v>27</v>
      </c>
      <c r="E218" s="7">
        <v>24.0</v>
      </c>
      <c r="F218" s="7">
        <v>2000.0</v>
      </c>
      <c r="G218" s="7">
        <v>32.0</v>
      </c>
      <c r="H218" s="7">
        <v>32.0</v>
      </c>
      <c r="I218" s="25">
        <v>2779.0</v>
      </c>
      <c r="J218" s="7">
        <v>30.9</v>
      </c>
      <c r="K218" s="7">
        <v>4.0</v>
      </c>
      <c r="L218" s="7">
        <v>2.0</v>
      </c>
      <c r="M218" s="7">
        <v>6.0</v>
      </c>
      <c r="N218" s="7">
        <v>4.0</v>
      </c>
      <c r="O218" s="7">
        <v>0.0</v>
      </c>
      <c r="P218" s="7">
        <v>0.0</v>
      </c>
      <c r="Q218" s="7">
        <v>6.0</v>
      </c>
      <c r="R218" s="7">
        <v>0.0</v>
      </c>
      <c r="S218" s="8">
        <v>0.13</v>
      </c>
      <c r="T218" s="7">
        <v>0.06</v>
      </c>
      <c r="U218" s="7">
        <v>0.19</v>
      </c>
      <c r="V218" s="7">
        <v>0.13</v>
      </c>
      <c r="W218" s="7">
        <v>0.19</v>
      </c>
      <c r="X218" s="7" t="s">
        <v>810</v>
      </c>
      <c r="Y218" s="24" t="s">
        <v>701</v>
      </c>
      <c r="AA218" s="50"/>
      <c r="AB218" s="50"/>
      <c r="AC218" s="50"/>
    </row>
    <row r="219">
      <c r="A219" s="7" t="s">
        <v>339</v>
      </c>
      <c r="B219" s="7" t="s">
        <v>25</v>
      </c>
      <c r="C219" s="7" t="s">
        <v>35</v>
      </c>
      <c r="D219" s="7" t="s">
        <v>128</v>
      </c>
      <c r="E219" s="7">
        <v>24.0</v>
      </c>
      <c r="F219" s="7">
        <v>1999.0</v>
      </c>
      <c r="G219" s="7">
        <v>2.0</v>
      </c>
      <c r="H219" s="7">
        <v>1.0</v>
      </c>
      <c r="I219" s="7">
        <v>74.0</v>
      </c>
      <c r="J219" s="7">
        <v>0.8</v>
      </c>
      <c r="K219" s="7">
        <v>0.0</v>
      </c>
      <c r="L219" s="7">
        <v>0.0</v>
      </c>
      <c r="M219" s="7">
        <v>0.0</v>
      </c>
      <c r="N219" s="7">
        <v>0.0</v>
      </c>
      <c r="O219" s="7">
        <v>0.0</v>
      </c>
      <c r="P219" s="7">
        <v>0.0</v>
      </c>
      <c r="Q219" s="7">
        <v>0.0</v>
      </c>
      <c r="R219" s="7">
        <v>0.0</v>
      </c>
      <c r="S219" s="8">
        <v>0.0</v>
      </c>
      <c r="T219" s="7">
        <v>0.0</v>
      </c>
      <c r="U219" s="7">
        <v>0.0</v>
      </c>
      <c r="V219" s="7">
        <v>0.0</v>
      </c>
      <c r="W219" s="7">
        <v>0.0</v>
      </c>
      <c r="X219" s="7" t="s">
        <v>698</v>
      </c>
      <c r="Y219" s="7" t="s">
        <v>695</v>
      </c>
      <c r="AA219" s="50"/>
      <c r="AB219" s="50"/>
      <c r="AC219" s="50"/>
    </row>
    <row r="220">
      <c r="A220" s="7" t="s">
        <v>341</v>
      </c>
      <c r="B220" s="7" t="s">
        <v>25</v>
      </c>
      <c r="C220" s="7" t="s">
        <v>30</v>
      </c>
      <c r="D220" s="7" t="s">
        <v>58</v>
      </c>
      <c r="E220" s="7">
        <v>25.0</v>
      </c>
      <c r="F220" s="7">
        <v>1999.0</v>
      </c>
      <c r="G220" s="7">
        <v>30.0</v>
      </c>
      <c r="H220" s="7">
        <v>20.0</v>
      </c>
      <c r="I220" s="25">
        <v>1605.0</v>
      </c>
      <c r="J220" s="7">
        <v>17.8</v>
      </c>
      <c r="K220" s="7">
        <v>4.0</v>
      </c>
      <c r="L220" s="7">
        <v>3.0</v>
      </c>
      <c r="M220" s="7">
        <v>7.0</v>
      </c>
      <c r="N220" s="7">
        <v>4.0</v>
      </c>
      <c r="O220" s="7">
        <v>0.0</v>
      </c>
      <c r="P220" s="7">
        <v>0.0</v>
      </c>
      <c r="Q220" s="7">
        <v>9.0</v>
      </c>
      <c r="R220" s="7">
        <v>0.0</v>
      </c>
      <c r="S220" s="8">
        <v>0.22</v>
      </c>
      <c r="T220" s="7">
        <v>0.17</v>
      </c>
      <c r="U220" s="7">
        <v>0.39</v>
      </c>
      <c r="V220" s="7">
        <v>0.22</v>
      </c>
      <c r="W220" s="7">
        <v>0.39</v>
      </c>
      <c r="X220" s="7" t="s">
        <v>685</v>
      </c>
      <c r="Y220" s="24" t="s">
        <v>697</v>
      </c>
      <c r="AA220" s="50"/>
      <c r="AB220" s="50"/>
      <c r="AC220" s="50"/>
    </row>
    <row r="221">
      <c r="A221" s="7" t="s">
        <v>343</v>
      </c>
      <c r="B221" s="7" t="s">
        <v>25</v>
      </c>
      <c r="C221" s="7" t="s">
        <v>83</v>
      </c>
      <c r="D221" s="7" t="s">
        <v>80</v>
      </c>
      <c r="E221" s="7">
        <v>30.0</v>
      </c>
      <c r="F221" s="7">
        <v>1993.0</v>
      </c>
      <c r="G221" s="7">
        <v>28.0</v>
      </c>
      <c r="H221" s="7">
        <v>24.0</v>
      </c>
      <c r="I221" s="25">
        <v>2124.0</v>
      </c>
      <c r="J221" s="7">
        <v>23.6</v>
      </c>
      <c r="K221" s="7">
        <v>2.0</v>
      </c>
      <c r="L221" s="7">
        <v>1.0</v>
      </c>
      <c r="M221" s="7">
        <v>3.0</v>
      </c>
      <c r="N221" s="7">
        <v>2.0</v>
      </c>
      <c r="O221" s="7">
        <v>0.0</v>
      </c>
      <c r="P221" s="7">
        <v>0.0</v>
      </c>
      <c r="Q221" s="7">
        <v>4.0</v>
      </c>
      <c r="R221" s="7">
        <v>0.0</v>
      </c>
      <c r="S221" s="8">
        <v>0.08</v>
      </c>
      <c r="T221" s="7">
        <v>0.04</v>
      </c>
      <c r="U221" s="7">
        <v>0.13</v>
      </c>
      <c r="V221" s="7">
        <v>0.08</v>
      </c>
      <c r="W221" s="7">
        <v>0.13</v>
      </c>
      <c r="X221" s="7" t="s">
        <v>696</v>
      </c>
      <c r="Y221" s="24" t="s">
        <v>702</v>
      </c>
      <c r="AA221" s="50"/>
      <c r="AB221" s="50"/>
      <c r="AC221" s="50"/>
    </row>
    <row r="222">
      <c r="A222" s="7" t="s">
        <v>345</v>
      </c>
      <c r="B222" s="7" t="s">
        <v>25</v>
      </c>
      <c r="C222" s="7" t="s">
        <v>47</v>
      </c>
      <c r="D222" s="7" t="s">
        <v>58</v>
      </c>
      <c r="E222" s="7">
        <v>30.0</v>
      </c>
      <c r="F222" s="7">
        <v>1993.0</v>
      </c>
      <c r="G222" s="7">
        <v>24.0</v>
      </c>
      <c r="H222" s="7">
        <v>12.0</v>
      </c>
      <c r="I222" s="25">
        <v>1004.0</v>
      </c>
      <c r="J222" s="7">
        <v>11.2</v>
      </c>
      <c r="K222" s="7">
        <v>1.0</v>
      </c>
      <c r="L222" s="7">
        <v>0.0</v>
      </c>
      <c r="M222" s="7">
        <v>1.0</v>
      </c>
      <c r="N222" s="7">
        <v>1.0</v>
      </c>
      <c r="O222" s="7">
        <v>0.0</v>
      </c>
      <c r="P222" s="7">
        <v>0.0</v>
      </c>
      <c r="Q222" s="7">
        <v>7.0</v>
      </c>
      <c r="R222" s="7">
        <v>0.0</v>
      </c>
      <c r="S222" s="8">
        <v>0.09</v>
      </c>
      <c r="T222" s="7">
        <v>0.0</v>
      </c>
      <c r="U222" s="7">
        <v>0.09</v>
      </c>
      <c r="V222" s="7">
        <v>0.09</v>
      </c>
      <c r="W222" s="7">
        <v>0.09</v>
      </c>
      <c r="X222" s="7" t="s">
        <v>715</v>
      </c>
      <c r="Y222" s="24" t="s">
        <v>700</v>
      </c>
      <c r="AA222" s="50"/>
      <c r="AB222" s="50"/>
      <c r="AC222" s="50"/>
    </row>
    <row r="223">
      <c r="A223" s="7" t="s">
        <v>345</v>
      </c>
      <c r="B223" s="7" t="s">
        <v>25</v>
      </c>
      <c r="C223" s="7" t="s">
        <v>26</v>
      </c>
      <c r="D223" s="7" t="s">
        <v>31</v>
      </c>
      <c r="E223" s="7">
        <v>18.0</v>
      </c>
      <c r="F223" s="7">
        <v>2006.0</v>
      </c>
      <c r="G223" s="7">
        <v>1.0</v>
      </c>
      <c r="H223" s="7">
        <v>0.0</v>
      </c>
      <c r="I223" s="7">
        <v>16.0</v>
      </c>
      <c r="J223" s="7">
        <v>0.2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8">
        <v>0.0</v>
      </c>
      <c r="T223" s="7">
        <v>0.0</v>
      </c>
      <c r="U223" s="7">
        <v>0.0</v>
      </c>
      <c r="V223" s="7">
        <v>0.0</v>
      </c>
      <c r="W223" s="7">
        <v>0.0</v>
      </c>
      <c r="X223" s="7" t="s">
        <v>810</v>
      </c>
      <c r="Y223" s="7" t="s">
        <v>695</v>
      </c>
      <c r="AA223" s="50"/>
      <c r="AB223" s="50"/>
      <c r="AC223" s="50"/>
    </row>
    <row r="224">
      <c r="A224" s="7" t="s">
        <v>348</v>
      </c>
      <c r="B224" s="7" t="s">
        <v>25</v>
      </c>
      <c r="C224" s="7" t="s">
        <v>35</v>
      </c>
      <c r="D224" s="7" t="s">
        <v>128</v>
      </c>
      <c r="E224" s="7">
        <v>25.0</v>
      </c>
      <c r="F224" s="7">
        <v>1998.0</v>
      </c>
      <c r="G224" s="7">
        <v>30.0</v>
      </c>
      <c r="H224" s="7">
        <v>30.0</v>
      </c>
      <c r="I224" s="25">
        <v>2650.0</v>
      </c>
      <c r="J224" s="7">
        <v>29.4</v>
      </c>
      <c r="K224" s="7">
        <v>0.0</v>
      </c>
      <c r="L224" s="7">
        <v>2.0</v>
      </c>
      <c r="M224" s="7">
        <v>2.0</v>
      </c>
      <c r="N224" s="7">
        <v>0.0</v>
      </c>
      <c r="O224" s="7">
        <v>0.0</v>
      </c>
      <c r="P224" s="7">
        <v>0.0</v>
      </c>
      <c r="Q224" s="7">
        <v>8.0</v>
      </c>
      <c r="R224" s="7">
        <v>1.0</v>
      </c>
      <c r="S224" s="8">
        <v>0.0</v>
      </c>
      <c r="T224" s="7">
        <v>0.07</v>
      </c>
      <c r="U224" s="7">
        <v>0.07</v>
      </c>
      <c r="V224" s="7">
        <v>0.0</v>
      </c>
      <c r="W224" s="7">
        <v>0.07</v>
      </c>
      <c r="X224" s="7" t="s">
        <v>729</v>
      </c>
      <c r="Y224" s="7" t="s">
        <v>695</v>
      </c>
      <c r="AA224" s="50"/>
      <c r="AB224" s="50"/>
      <c r="AC224" s="50"/>
    </row>
    <row r="225">
      <c r="A225" s="7" t="s">
        <v>350</v>
      </c>
      <c r="B225" s="7" t="s">
        <v>25</v>
      </c>
      <c r="C225" s="7" t="s">
        <v>55</v>
      </c>
      <c r="D225" s="7" t="s">
        <v>31</v>
      </c>
      <c r="E225" s="7">
        <v>20.0</v>
      </c>
      <c r="F225" s="7">
        <v>2003.0</v>
      </c>
      <c r="G225" s="7">
        <v>29.0</v>
      </c>
      <c r="H225" s="7">
        <v>19.0</v>
      </c>
      <c r="I225" s="25">
        <v>1706.0</v>
      </c>
      <c r="J225" s="7">
        <v>19.0</v>
      </c>
      <c r="K225" s="7">
        <v>13.0</v>
      </c>
      <c r="L225" s="7">
        <v>2.0</v>
      </c>
      <c r="M225" s="7">
        <v>15.0</v>
      </c>
      <c r="N225" s="7">
        <v>13.0</v>
      </c>
      <c r="O225" s="7">
        <v>0.0</v>
      </c>
      <c r="P225" s="7">
        <v>0.0</v>
      </c>
      <c r="Q225" s="7">
        <v>5.0</v>
      </c>
      <c r="R225" s="7">
        <v>0.0</v>
      </c>
      <c r="S225" s="8">
        <v>0.69</v>
      </c>
      <c r="T225" s="7">
        <v>0.11</v>
      </c>
      <c r="U225" s="7">
        <v>0.79</v>
      </c>
      <c r="V225" s="7">
        <v>0.69</v>
      </c>
      <c r="W225" s="7">
        <v>0.79</v>
      </c>
      <c r="X225" s="7" t="s">
        <v>673</v>
      </c>
      <c r="Y225" s="7" t="s">
        <v>668</v>
      </c>
      <c r="AA225" s="50"/>
      <c r="AB225" s="50"/>
      <c r="AC225" s="50"/>
    </row>
    <row r="226">
      <c r="A226" s="7" t="s">
        <v>352</v>
      </c>
      <c r="B226" s="7" t="s">
        <v>25</v>
      </c>
      <c r="C226" s="7" t="s">
        <v>26</v>
      </c>
      <c r="D226" s="7" t="s">
        <v>58</v>
      </c>
      <c r="E226" s="7">
        <v>25.0</v>
      </c>
      <c r="F226" s="7">
        <v>1998.0</v>
      </c>
      <c r="G226" s="7">
        <v>31.0</v>
      </c>
      <c r="H226" s="7">
        <v>29.0</v>
      </c>
      <c r="I226" s="25">
        <v>2517.0</v>
      </c>
      <c r="J226" s="7">
        <v>28.0</v>
      </c>
      <c r="K226" s="7">
        <v>0.0</v>
      </c>
      <c r="L226" s="7">
        <v>1.0</v>
      </c>
      <c r="M226" s="7">
        <v>1.0</v>
      </c>
      <c r="N226" s="7">
        <v>0.0</v>
      </c>
      <c r="O226" s="7">
        <v>0.0</v>
      </c>
      <c r="P226" s="7">
        <v>0.0</v>
      </c>
      <c r="Q226" s="7">
        <v>7.0</v>
      </c>
      <c r="R226" s="7">
        <v>0.0</v>
      </c>
      <c r="S226" s="8">
        <v>0.0</v>
      </c>
      <c r="T226" s="7">
        <v>0.04</v>
      </c>
      <c r="U226" s="7">
        <v>0.04</v>
      </c>
      <c r="V226" s="7">
        <v>0.0</v>
      </c>
      <c r="W226" s="7">
        <v>0.04</v>
      </c>
      <c r="X226" s="7" t="s">
        <v>683</v>
      </c>
      <c r="Y226" s="7" t="s">
        <v>671</v>
      </c>
      <c r="AA226" s="50"/>
      <c r="AB226" s="50"/>
      <c r="AC226" s="50"/>
    </row>
    <row r="227">
      <c r="A227" s="7" t="s">
        <v>354</v>
      </c>
      <c r="B227" s="7" t="s">
        <v>34</v>
      </c>
      <c r="C227" s="7" t="s">
        <v>87</v>
      </c>
      <c r="D227" s="7" t="s">
        <v>44</v>
      </c>
      <c r="E227" s="7">
        <v>28.0</v>
      </c>
      <c r="F227" s="7">
        <v>1995.0</v>
      </c>
      <c r="G227" s="7">
        <v>29.0</v>
      </c>
      <c r="H227" s="7">
        <v>28.0</v>
      </c>
      <c r="I227" s="25">
        <v>2328.0</v>
      </c>
      <c r="J227" s="7">
        <v>25.9</v>
      </c>
      <c r="K227" s="7">
        <v>3.0</v>
      </c>
      <c r="L227" s="7">
        <v>1.0</v>
      </c>
      <c r="M227" s="7">
        <v>4.0</v>
      </c>
      <c r="N227" s="7">
        <v>1.0</v>
      </c>
      <c r="O227" s="7">
        <v>2.0</v>
      </c>
      <c r="P227" s="7">
        <v>3.0</v>
      </c>
      <c r="Q227" s="7">
        <v>11.0</v>
      </c>
      <c r="R227" s="7">
        <v>0.0</v>
      </c>
      <c r="S227" s="8">
        <v>0.12</v>
      </c>
      <c r="T227" s="7">
        <v>0.04</v>
      </c>
      <c r="U227" s="7">
        <v>0.15</v>
      </c>
      <c r="V227" s="7">
        <v>0.04</v>
      </c>
      <c r="W227" s="7">
        <v>0.08</v>
      </c>
      <c r="X227" s="7" t="s">
        <v>810</v>
      </c>
      <c r="Y227" s="24" t="s">
        <v>701</v>
      </c>
      <c r="AA227" s="50"/>
      <c r="AB227" s="50"/>
      <c r="AC227" s="50"/>
    </row>
    <row r="228">
      <c r="A228" s="7" t="s">
        <v>356</v>
      </c>
      <c r="B228" s="7" t="s">
        <v>25</v>
      </c>
      <c r="C228" s="7" t="s">
        <v>26</v>
      </c>
      <c r="D228" s="7" t="s">
        <v>52</v>
      </c>
      <c r="E228" s="7">
        <v>23.0</v>
      </c>
      <c r="F228" s="7">
        <v>2001.0</v>
      </c>
      <c r="G228" s="7">
        <v>9.0</v>
      </c>
      <c r="H228" s="7">
        <v>6.0</v>
      </c>
      <c r="I228" s="7">
        <v>492.0</v>
      </c>
      <c r="J228" s="7">
        <v>5.5</v>
      </c>
      <c r="K228" s="7">
        <v>0.0</v>
      </c>
      <c r="L228" s="7">
        <v>0.0</v>
      </c>
      <c r="M228" s="7">
        <v>0.0</v>
      </c>
      <c r="N228" s="7">
        <v>0.0</v>
      </c>
      <c r="O228" s="7">
        <v>0.0</v>
      </c>
      <c r="P228" s="7">
        <v>0.0</v>
      </c>
      <c r="Q228" s="7">
        <v>0.0</v>
      </c>
      <c r="R228" s="7">
        <v>0.0</v>
      </c>
      <c r="S228" s="8">
        <v>0.0</v>
      </c>
      <c r="T228" s="7">
        <v>0.0</v>
      </c>
      <c r="U228" s="7">
        <v>0.0</v>
      </c>
      <c r="V228" s="7">
        <v>0.0</v>
      </c>
      <c r="W228" s="7">
        <v>0.0</v>
      </c>
      <c r="X228" s="7" t="s">
        <v>704</v>
      </c>
      <c r="Y228" s="24" t="s">
        <v>691</v>
      </c>
      <c r="AA228" s="50"/>
      <c r="AB228" s="50"/>
      <c r="AC228" s="50"/>
    </row>
    <row r="229">
      <c r="A229" s="7" t="s">
        <v>358</v>
      </c>
      <c r="B229" s="7" t="s">
        <v>359</v>
      </c>
      <c r="C229" s="7" t="s">
        <v>77</v>
      </c>
      <c r="D229" s="7" t="s">
        <v>27</v>
      </c>
      <c r="E229" s="7">
        <v>23.0</v>
      </c>
      <c r="F229" s="7">
        <v>2000.0</v>
      </c>
      <c r="G229" s="7">
        <v>12.0</v>
      </c>
      <c r="H229" s="7">
        <v>12.0</v>
      </c>
      <c r="I229" s="25">
        <v>1080.0</v>
      </c>
      <c r="J229" s="7">
        <v>12.0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>
        <v>0.0</v>
      </c>
      <c r="Q229" s="7">
        <v>0.0</v>
      </c>
      <c r="R229" s="7">
        <v>0.0</v>
      </c>
      <c r="S229" s="8">
        <v>0.0</v>
      </c>
      <c r="T229" s="7">
        <v>0.0</v>
      </c>
      <c r="U229" s="7">
        <v>0.0</v>
      </c>
      <c r="V229" s="7">
        <v>0.0</v>
      </c>
      <c r="W229" s="7">
        <v>0.0</v>
      </c>
      <c r="X229" s="7" t="s">
        <v>688</v>
      </c>
      <c r="Y229" s="7" t="s">
        <v>671</v>
      </c>
      <c r="AA229" s="50"/>
      <c r="AB229" s="50"/>
      <c r="AC229" s="50"/>
    </row>
    <row r="230">
      <c r="A230" s="7" t="s">
        <v>361</v>
      </c>
      <c r="B230" s="7" t="s">
        <v>362</v>
      </c>
      <c r="C230" s="7" t="s">
        <v>35</v>
      </c>
      <c r="D230" s="7" t="s">
        <v>98</v>
      </c>
      <c r="E230" s="7">
        <v>20.0</v>
      </c>
      <c r="F230" s="7">
        <v>2003.0</v>
      </c>
      <c r="G230" s="7">
        <v>4.0</v>
      </c>
      <c r="H230" s="7">
        <v>1.0</v>
      </c>
      <c r="I230" s="7">
        <v>164.0</v>
      </c>
      <c r="J230" s="7">
        <v>1.8</v>
      </c>
      <c r="K230" s="7">
        <v>0.0</v>
      </c>
      <c r="L230" s="7">
        <v>0.0</v>
      </c>
      <c r="M230" s="7">
        <v>0.0</v>
      </c>
      <c r="N230" s="7">
        <v>0.0</v>
      </c>
      <c r="O230" s="7">
        <v>0.0</v>
      </c>
      <c r="P230" s="7">
        <v>0.0</v>
      </c>
      <c r="Q230" s="7">
        <v>0.0</v>
      </c>
      <c r="R230" s="7">
        <v>0.0</v>
      </c>
      <c r="S230" s="8">
        <v>0.0</v>
      </c>
      <c r="T230" s="7">
        <v>0.0</v>
      </c>
      <c r="U230" s="7">
        <v>0.0</v>
      </c>
      <c r="V230" s="7">
        <v>0.0</v>
      </c>
      <c r="W230" s="7">
        <v>0.0</v>
      </c>
      <c r="X230" s="7" t="s">
        <v>810</v>
      </c>
      <c r="Y230" s="24" t="s">
        <v>703</v>
      </c>
      <c r="AA230" s="50"/>
      <c r="AB230" s="50"/>
      <c r="AC230" s="50"/>
    </row>
    <row r="231">
      <c r="A231" s="7" t="s">
        <v>364</v>
      </c>
      <c r="B231" s="7" t="s">
        <v>70</v>
      </c>
      <c r="C231" s="7" t="s">
        <v>55</v>
      </c>
      <c r="D231" s="7" t="s">
        <v>80</v>
      </c>
      <c r="E231" s="7">
        <v>19.0</v>
      </c>
      <c r="F231" s="7">
        <v>2004.0</v>
      </c>
      <c r="G231" s="7">
        <v>1.0</v>
      </c>
      <c r="H231" s="7">
        <v>0.0</v>
      </c>
      <c r="I231" s="7">
        <v>16.0</v>
      </c>
      <c r="J231" s="7">
        <v>0.2</v>
      </c>
      <c r="K231" s="7">
        <v>0.0</v>
      </c>
      <c r="L231" s="7">
        <v>0.0</v>
      </c>
      <c r="M231" s="7">
        <v>0.0</v>
      </c>
      <c r="N231" s="7">
        <v>0.0</v>
      </c>
      <c r="O231" s="7">
        <v>0.0</v>
      </c>
      <c r="P231" s="7">
        <v>0.0</v>
      </c>
      <c r="Q231" s="7">
        <v>1.0</v>
      </c>
      <c r="R231" s="7">
        <v>0.0</v>
      </c>
      <c r="S231" s="8">
        <v>0.0</v>
      </c>
      <c r="T231" s="7">
        <v>0.0</v>
      </c>
      <c r="U231" s="7">
        <v>0.0</v>
      </c>
      <c r="V231" s="7">
        <v>0.0</v>
      </c>
      <c r="W231" s="7">
        <v>0.0</v>
      </c>
      <c r="X231" s="7" t="s">
        <v>693</v>
      </c>
      <c r="Y231" s="24" t="s">
        <v>677</v>
      </c>
      <c r="AA231" s="50"/>
      <c r="AB231" s="50"/>
      <c r="AC231" s="50"/>
    </row>
    <row r="232">
      <c r="A232" s="7" t="s">
        <v>366</v>
      </c>
      <c r="B232" s="7" t="s">
        <v>25</v>
      </c>
      <c r="C232" s="7" t="s">
        <v>83</v>
      </c>
      <c r="D232" s="7" t="s">
        <v>31</v>
      </c>
      <c r="E232" s="7">
        <v>22.0</v>
      </c>
      <c r="F232" s="7">
        <v>2001.0</v>
      </c>
      <c r="G232" s="7">
        <v>35.0</v>
      </c>
      <c r="H232" s="7">
        <v>28.0</v>
      </c>
      <c r="I232" s="25">
        <v>2408.0</v>
      </c>
      <c r="J232" s="7">
        <v>26.8</v>
      </c>
      <c r="K232" s="7">
        <v>1.0</v>
      </c>
      <c r="L232" s="7">
        <v>0.0</v>
      </c>
      <c r="M232" s="7">
        <v>1.0</v>
      </c>
      <c r="N232" s="7">
        <v>1.0</v>
      </c>
      <c r="O232" s="7">
        <v>0.0</v>
      </c>
      <c r="P232" s="7">
        <v>0.0</v>
      </c>
      <c r="Q232" s="7">
        <v>8.0</v>
      </c>
      <c r="R232" s="7">
        <v>0.0</v>
      </c>
      <c r="S232" s="8">
        <v>0.04</v>
      </c>
      <c r="T232" s="7">
        <v>0.0</v>
      </c>
      <c r="U232" s="7">
        <v>0.04</v>
      </c>
      <c r="V232" s="7">
        <v>0.04</v>
      </c>
      <c r="W232" s="7">
        <v>0.04</v>
      </c>
      <c r="X232" s="7" t="s">
        <v>722</v>
      </c>
      <c r="Y232" s="7" t="s">
        <v>716</v>
      </c>
      <c r="AA232" s="50"/>
      <c r="AB232" s="50"/>
      <c r="AC232" s="50"/>
    </row>
    <row r="233">
      <c r="A233" s="7" t="s">
        <v>368</v>
      </c>
      <c r="B233" s="7" t="s">
        <v>34</v>
      </c>
      <c r="C233" s="7" t="s">
        <v>55</v>
      </c>
      <c r="D233" s="7" t="s">
        <v>62</v>
      </c>
      <c r="E233" s="7">
        <v>29.0</v>
      </c>
      <c r="F233" s="7">
        <v>1994.0</v>
      </c>
      <c r="G233" s="7">
        <v>4.0</v>
      </c>
      <c r="H233" s="7">
        <v>0.0</v>
      </c>
      <c r="I233" s="7">
        <v>23.0</v>
      </c>
      <c r="J233" s="7">
        <v>0.3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>
        <v>0.0</v>
      </c>
      <c r="Q233" s="7">
        <v>0.0</v>
      </c>
      <c r="R233" s="7">
        <v>0.0</v>
      </c>
      <c r="S233" s="8">
        <v>0.0</v>
      </c>
      <c r="T233" s="7">
        <v>0.0</v>
      </c>
      <c r="U233" s="7">
        <v>0.0</v>
      </c>
      <c r="V233" s="7">
        <v>0.0</v>
      </c>
      <c r="W233" s="7">
        <v>0.0</v>
      </c>
      <c r="X233" s="7" t="s">
        <v>810</v>
      </c>
      <c r="Y233" s="24" t="s">
        <v>703</v>
      </c>
      <c r="AA233" s="50"/>
      <c r="AB233" s="50"/>
      <c r="AC233" s="50"/>
    </row>
    <row r="234">
      <c r="A234" s="7" t="s">
        <v>370</v>
      </c>
      <c r="B234" s="7" t="s">
        <v>101</v>
      </c>
      <c r="C234" s="7" t="s">
        <v>77</v>
      </c>
      <c r="D234" s="7" t="s">
        <v>44</v>
      </c>
      <c r="E234" s="7">
        <v>24.0</v>
      </c>
      <c r="F234" s="7">
        <v>1999.0</v>
      </c>
      <c r="G234" s="7">
        <v>34.0</v>
      </c>
      <c r="H234" s="7">
        <v>34.0</v>
      </c>
      <c r="I234" s="25">
        <v>3060.0</v>
      </c>
      <c r="J234" s="7">
        <v>34.0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>
        <v>0.0</v>
      </c>
      <c r="Q234" s="7">
        <v>1.0</v>
      </c>
      <c r="R234" s="7">
        <v>0.0</v>
      </c>
      <c r="S234" s="8">
        <v>0.0</v>
      </c>
      <c r="T234" s="7">
        <v>0.0</v>
      </c>
      <c r="U234" s="7">
        <v>0.0</v>
      </c>
      <c r="V234" s="7">
        <v>0.0</v>
      </c>
      <c r="W234" s="7">
        <v>0.0</v>
      </c>
      <c r="X234" s="7" t="s">
        <v>810</v>
      </c>
      <c r="Y234" s="24" t="s">
        <v>706</v>
      </c>
      <c r="AA234" s="50"/>
      <c r="AB234" s="50"/>
      <c r="AC234" s="50"/>
    </row>
    <row r="235">
      <c r="A235" s="7" t="s">
        <v>372</v>
      </c>
      <c r="B235" s="7" t="s">
        <v>101</v>
      </c>
      <c r="C235" s="7" t="s">
        <v>35</v>
      </c>
      <c r="D235" s="7" t="s">
        <v>98</v>
      </c>
      <c r="E235" s="7">
        <v>22.0</v>
      </c>
      <c r="F235" s="7">
        <v>2001.0</v>
      </c>
      <c r="G235" s="7">
        <v>30.0</v>
      </c>
      <c r="H235" s="7">
        <v>26.0</v>
      </c>
      <c r="I235" s="25">
        <v>2301.0</v>
      </c>
      <c r="J235" s="7">
        <v>25.6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Q235" s="7">
        <v>7.0</v>
      </c>
      <c r="R235" s="7">
        <v>0.0</v>
      </c>
      <c r="S235" s="8">
        <v>0.0</v>
      </c>
      <c r="T235" s="7">
        <v>0.0</v>
      </c>
      <c r="U235" s="7">
        <v>0.0</v>
      </c>
      <c r="V235" s="7">
        <v>0.0</v>
      </c>
      <c r="W235" s="7">
        <v>0.0</v>
      </c>
      <c r="X235" s="7" t="s">
        <v>698</v>
      </c>
      <c r="Y235" s="24" t="s">
        <v>700</v>
      </c>
      <c r="AA235" s="50"/>
      <c r="AB235" s="50"/>
      <c r="AC235" s="50"/>
    </row>
    <row r="236">
      <c r="A236" s="7" t="s">
        <v>374</v>
      </c>
      <c r="B236" s="7" t="s">
        <v>101</v>
      </c>
      <c r="C236" s="7" t="s">
        <v>26</v>
      </c>
      <c r="D236" s="7" t="s">
        <v>98</v>
      </c>
      <c r="E236" s="7">
        <v>21.0</v>
      </c>
      <c r="F236" s="7">
        <v>2003.0</v>
      </c>
      <c r="G236" s="7">
        <v>1.0</v>
      </c>
      <c r="H236" s="7">
        <v>0.0</v>
      </c>
      <c r="I236" s="7">
        <v>6.0</v>
      </c>
      <c r="J236" s="7">
        <v>0.1</v>
      </c>
      <c r="K236" s="7">
        <v>0.0</v>
      </c>
      <c r="L236" s="7">
        <v>0.0</v>
      </c>
      <c r="M236" s="7">
        <v>0.0</v>
      </c>
      <c r="N236" s="7">
        <v>0.0</v>
      </c>
      <c r="O236" s="7">
        <v>0.0</v>
      </c>
      <c r="P236" s="7">
        <v>0.0</v>
      </c>
      <c r="Q236" s="7">
        <v>1.0</v>
      </c>
      <c r="R236" s="7">
        <v>0.0</v>
      </c>
      <c r="S236" s="8">
        <v>0.0</v>
      </c>
      <c r="T236" s="7">
        <v>0.0</v>
      </c>
      <c r="U236" s="7">
        <v>0.0</v>
      </c>
      <c r="V236" s="7">
        <v>0.0</v>
      </c>
      <c r="W236" s="7">
        <v>0.0</v>
      </c>
      <c r="X236" s="7" t="s">
        <v>690</v>
      </c>
      <c r="Y236" s="7" t="s">
        <v>711</v>
      </c>
      <c r="AA236" s="50"/>
      <c r="AB236" s="50"/>
      <c r="AC236" s="50"/>
    </row>
    <row r="237">
      <c r="A237" s="7" t="s">
        <v>376</v>
      </c>
      <c r="B237" s="7" t="s">
        <v>25</v>
      </c>
      <c r="C237" s="7" t="s">
        <v>30</v>
      </c>
      <c r="D237" s="7" t="s">
        <v>128</v>
      </c>
      <c r="E237" s="7">
        <v>20.0</v>
      </c>
      <c r="F237" s="7">
        <v>2003.0</v>
      </c>
      <c r="G237" s="7">
        <v>26.0</v>
      </c>
      <c r="H237" s="7">
        <v>7.0</v>
      </c>
      <c r="I237" s="7">
        <v>883.0</v>
      </c>
      <c r="J237" s="7">
        <v>9.8</v>
      </c>
      <c r="K237" s="7">
        <v>1.0</v>
      </c>
      <c r="L237" s="7">
        <v>0.0</v>
      </c>
      <c r="M237" s="7">
        <v>1.0</v>
      </c>
      <c r="N237" s="7">
        <v>1.0</v>
      </c>
      <c r="O237" s="7">
        <v>0.0</v>
      </c>
      <c r="P237" s="7">
        <v>0.0</v>
      </c>
      <c r="Q237" s="7">
        <v>3.0</v>
      </c>
      <c r="R237" s="7">
        <v>0.0</v>
      </c>
      <c r="S237" s="8">
        <v>0.1</v>
      </c>
      <c r="T237" s="7">
        <v>0.0</v>
      </c>
      <c r="U237" s="7">
        <v>0.1</v>
      </c>
      <c r="V237" s="7">
        <v>0.1</v>
      </c>
      <c r="W237" s="7">
        <v>0.1</v>
      </c>
      <c r="X237" s="7" t="s">
        <v>696</v>
      </c>
      <c r="Y237" s="24" t="s">
        <v>702</v>
      </c>
      <c r="AA237" s="50"/>
      <c r="AB237" s="50"/>
      <c r="AC237" s="50"/>
    </row>
    <row r="238">
      <c r="A238" s="7" t="s">
        <v>378</v>
      </c>
      <c r="B238" s="7" t="s">
        <v>25</v>
      </c>
      <c r="C238" s="7" t="s">
        <v>35</v>
      </c>
      <c r="D238" s="7" t="s">
        <v>58</v>
      </c>
      <c r="E238" s="7">
        <v>22.0</v>
      </c>
      <c r="F238" s="7">
        <v>2001.0</v>
      </c>
      <c r="G238" s="7">
        <v>33.0</v>
      </c>
      <c r="H238" s="7">
        <v>22.0</v>
      </c>
      <c r="I238" s="25">
        <v>2156.0</v>
      </c>
      <c r="J238" s="7">
        <v>24.0</v>
      </c>
      <c r="K238" s="7">
        <v>0.0</v>
      </c>
      <c r="L238" s="7">
        <v>0.0</v>
      </c>
      <c r="M238" s="7">
        <v>0.0</v>
      </c>
      <c r="N238" s="7">
        <v>0.0</v>
      </c>
      <c r="O238" s="7">
        <v>0.0</v>
      </c>
      <c r="P238" s="7">
        <v>0.0</v>
      </c>
      <c r="Q238" s="7">
        <v>3.0</v>
      </c>
      <c r="R238" s="7">
        <v>0.0</v>
      </c>
      <c r="S238" s="8">
        <v>0.0</v>
      </c>
      <c r="T238" s="7">
        <v>0.0</v>
      </c>
      <c r="U238" s="7">
        <v>0.0</v>
      </c>
      <c r="V238" s="7">
        <v>0.0</v>
      </c>
      <c r="W238" s="7">
        <v>0.0</v>
      </c>
      <c r="X238" s="7" t="s">
        <v>810</v>
      </c>
      <c r="Y238" s="24" t="s">
        <v>691</v>
      </c>
      <c r="AA238" s="50"/>
      <c r="AB238" s="50"/>
      <c r="AC238" s="50"/>
    </row>
    <row r="239">
      <c r="A239" s="7" t="s">
        <v>380</v>
      </c>
      <c r="B239" s="7" t="s">
        <v>25</v>
      </c>
      <c r="C239" s="7" t="s">
        <v>47</v>
      </c>
      <c r="D239" s="7" t="s">
        <v>62</v>
      </c>
      <c r="E239" s="7">
        <v>24.0</v>
      </c>
      <c r="F239" s="7">
        <v>1999.0</v>
      </c>
      <c r="G239" s="7">
        <v>30.0</v>
      </c>
      <c r="H239" s="7">
        <v>21.0</v>
      </c>
      <c r="I239" s="25">
        <v>1678.0</v>
      </c>
      <c r="J239" s="7">
        <v>18.6</v>
      </c>
      <c r="K239" s="7">
        <v>0.0</v>
      </c>
      <c r="L239" s="7">
        <v>4.0</v>
      </c>
      <c r="M239" s="7">
        <v>4.0</v>
      </c>
      <c r="N239" s="7">
        <v>0.0</v>
      </c>
      <c r="O239" s="7">
        <v>0.0</v>
      </c>
      <c r="P239" s="7">
        <v>0.0</v>
      </c>
      <c r="Q239" s="7">
        <v>4.0</v>
      </c>
      <c r="R239" s="7">
        <v>1.0</v>
      </c>
      <c r="S239" s="8">
        <v>0.0</v>
      </c>
      <c r="T239" s="7">
        <v>0.21</v>
      </c>
      <c r="U239" s="7">
        <v>0.21</v>
      </c>
      <c r="V239" s="7">
        <v>0.0</v>
      </c>
      <c r="W239" s="7">
        <v>0.21</v>
      </c>
      <c r="X239" s="7" t="s">
        <v>810</v>
      </c>
      <c r="Y239" s="24" t="s">
        <v>708</v>
      </c>
      <c r="AA239" s="50"/>
      <c r="AB239" s="50"/>
      <c r="AC239" s="50"/>
    </row>
    <row r="240">
      <c r="A240" s="7" t="s">
        <v>382</v>
      </c>
      <c r="B240" s="7" t="s">
        <v>25</v>
      </c>
      <c r="C240" s="7" t="s">
        <v>26</v>
      </c>
      <c r="D240" s="7" t="s">
        <v>58</v>
      </c>
      <c r="E240" s="7">
        <v>33.0</v>
      </c>
      <c r="F240" s="7">
        <v>1990.0</v>
      </c>
      <c r="G240" s="7">
        <v>2.0</v>
      </c>
      <c r="H240" s="7">
        <v>0.0</v>
      </c>
      <c r="I240" s="7">
        <v>18.0</v>
      </c>
      <c r="J240" s="7">
        <v>0.2</v>
      </c>
      <c r="K240" s="7">
        <v>0.0</v>
      </c>
      <c r="L240" s="7">
        <v>0.0</v>
      </c>
      <c r="M240" s="7">
        <v>0.0</v>
      </c>
      <c r="N240" s="7">
        <v>0.0</v>
      </c>
      <c r="O240" s="7">
        <v>0.0</v>
      </c>
      <c r="P240" s="7">
        <v>0.0</v>
      </c>
      <c r="Q240" s="7">
        <v>1.0</v>
      </c>
      <c r="R240" s="7">
        <v>0.0</v>
      </c>
      <c r="S240" s="8">
        <v>0.0</v>
      </c>
      <c r="T240" s="7">
        <v>0.0</v>
      </c>
      <c r="U240" s="7">
        <v>0.0</v>
      </c>
      <c r="V240" s="7">
        <v>0.0</v>
      </c>
      <c r="W240" s="7">
        <v>0.0</v>
      </c>
      <c r="X240" s="7" t="s">
        <v>727</v>
      </c>
      <c r="Y240" s="7" t="s">
        <v>687</v>
      </c>
      <c r="AA240" s="50"/>
      <c r="AB240" s="50"/>
      <c r="AC240" s="50"/>
    </row>
    <row r="241">
      <c r="A241" s="7" t="s">
        <v>384</v>
      </c>
      <c r="B241" s="7" t="s">
        <v>25</v>
      </c>
      <c r="C241" s="7" t="s">
        <v>47</v>
      </c>
      <c r="D241" s="7" t="s">
        <v>27</v>
      </c>
      <c r="E241" s="7">
        <v>21.0</v>
      </c>
      <c r="F241" s="7">
        <v>2002.0</v>
      </c>
      <c r="G241" s="7">
        <v>33.0</v>
      </c>
      <c r="H241" s="7">
        <v>20.0</v>
      </c>
      <c r="I241" s="25">
        <v>1875.0</v>
      </c>
      <c r="J241" s="7">
        <v>20.8</v>
      </c>
      <c r="K241" s="7">
        <v>0.0</v>
      </c>
      <c r="L241" s="7">
        <v>1.0</v>
      </c>
      <c r="M241" s="7">
        <v>1.0</v>
      </c>
      <c r="N241" s="7">
        <v>0.0</v>
      </c>
      <c r="O241" s="7">
        <v>0.0</v>
      </c>
      <c r="P241" s="7">
        <v>0.0</v>
      </c>
      <c r="Q241" s="7">
        <v>2.0</v>
      </c>
      <c r="R241" s="7">
        <v>0.0</v>
      </c>
      <c r="S241" s="8">
        <v>0.0</v>
      </c>
      <c r="T241" s="7">
        <v>0.05</v>
      </c>
      <c r="U241" s="7">
        <v>0.05</v>
      </c>
      <c r="V241" s="7">
        <v>0.0</v>
      </c>
      <c r="W241" s="7">
        <v>0.05</v>
      </c>
      <c r="X241" s="7" t="s">
        <v>676</v>
      </c>
      <c r="Y241" s="7" t="s">
        <v>707</v>
      </c>
      <c r="AA241" s="50"/>
      <c r="AB241" s="50"/>
      <c r="AC241" s="50"/>
    </row>
    <row r="242">
      <c r="A242" s="7" t="s">
        <v>386</v>
      </c>
      <c r="B242" s="7" t="s">
        <v>70</v>
      </c>
      <c r="C242" s="7" t="s">
        <v>35</v>
      </c>
      <c r="D242" s="7" t="s">
        <v>27</v>
      </c>
      <c r="E242" s="7">
        <v>23.0</v>
      </c>
      <c r="F242" s="7">
        <v>2000.0</v>
      </c>
      <c r="G242" s="7">
        <v>8.0</v>
      </c>
      <c r="H242" s="7">
        <v>4.0</v>
      </c>
      <c r="I242" s="7">
        <v>406.0</v>
      </c>
      <c r="J242" s="7">
        <v>4.5</v>
      </c>
      <c r="K242" s="7">
        <v>0.0</v>
      </c>
      <c r="L242" s="7">
        <v>0.0</v>
      </c>
      <c r="M242" s="7">
        <v>0.0</v>
      </c>
      <c r="N242" s="7">
        <v>0.0</v>
      </c>
      <c r="O242" s="7">
        <v>0.0</v>
      </c>
      <c r="P242" s="7">
        <v>0.0</v>
      </c>
      <c r="Q242" s="7">
        <v>0.0</v>
      </c>
      <c r="R242" s="7">
        <v>0.0</v>
      </c>
      <c r="S242" s="8">
        <v>0.0</v>
      </c>
      <c r="T242" s="7">
        <v>0.0</v>
      </c>
      <c r="U242" s="7">
        <v>0.0</v>
      </c>
      <c r="V242" s="7">
        <v>0.0</v>
      </c>
      <c r="W242" s="7">
        <v>0.0</v>
      </c>
      <c r="X242" s="7" t="s">
        <v>723</v>
      </c>
      <c r="Y242" s="7" t="s">
        <v>695</v>
      </c>
      <c r="AA242" s="50"/>
      <c r="AB242" s="50"/>
      <c r="AC242" s="50"/>
    </row>
    <row r="243">
      <c r="A243" s="7" t="s">
        <v>388</v>
      </c>
      <c r="B243" s="7" t="s">
        <v>25</v>
      </c>
      <c r="C243" s="7" t="s">
        <v>35</v>
      </c>
      <c r="D243" s="7" t="s">
        <v>62</v>
      </c>
      <c r="E243" s="7">
        <v>25.0</v>
      </c>
      <c r="F243" s="7">
        <v>1998.0</v>
      </c>
      <c r="G243" s="7">
        <v>35.0</v>
      </c>
      <c r="H243" s="7">
        <v>35.0</v>
      </c>
      <c r="I243" s="25">
        <v>3111.0</v>
      </c>
      <c r="J243" s="7">
        <v>34.6</v>
      </c>
      <c r="K243" s="7">
        <v>1.0</v>
      </c>
      <c r="L243" s="7">
        <v>0.0</v>
      </c>
      <c r="M243" s="7">
        <v>1.0</v>
      </c>
      <c r="N243" s="7">
        <v>1.0</v>
      </c>
      <c r="O243" s="7">
        <v>0.0</v>
      </c>
      <c r="P243" s="7">
        <v>0.0</v>
      </c>
      <c r="Q243" s="7">
        <v>4.0</v>
      </c>
      <c r="R243" s="7">
        <v>0.0</v>
      </c>
      <c r="S243" s="8">
        <v>0.03</v>
      </c>
      <c r="T243" s="7">
        <v>0.0</v>
      </c>
      <c r="U243" s="7">
        <v>0.03</v>
      </c>
      <c r="V243" s="7">
        <v>0.03</v>
      </c>
      <c r="W243" s="7">
        <v>0.03</v>
      </c>
      <c r="X243" s="7" t="s">
        <v>712</v>
      </c>
      <c r="Y243" s="7" t="s">
        <v>668</v>
      </c>
      <c r="AA243" s="50"/>
      <c r="AB243" s="50"/>
      <c r="AC243" s="50"/>
    </row>
    <row r="244">
      <c r="A244" s="7" t="s">
        <v>390</v>
      </c>
      <c r="B244" s="7" t="s">
        <v>25</v>
      </c>
      <c r="C244" s="7" t="s">
        <v>55</v>
      </c>
      <c r="D244" s="7" t="s">
        <v>36</v>
      </c>
      <c r="E244" s="7">
        <v>18.0</v>
      </c>
      <c r="F244" s="7">
        <v>2005.0</v>
      </c>
      <c r="G244" s="7">
        <v>15.0</v>
      </c>
      <c r="H244" s="7">
        <v>0.0</v>
      </c>
      <c r="I244" s="7">
        <v>231.0</v>
      </c>
      <c r="J244" s="7">
        <v>2.6</v>
      </c>
      <c r="K244" s="7">
        <v>0.0</v>
      </c>
      <c r="L244" s="7">
        <v>0.0</v>
      </c>
      <c r="M244" s="7">
        <v>0.0</v>
      </c>
      <c r="N244" s="7">
        <v>0.0</v>
      </c>
      <c r="O244" s="7">
        <v>0.0</v>
      </c>
      <c r="P244" s="7">
        <v>0.0</v>
      </c>
      <c r="Q244" s="7">
        <v>1.0</v>
      </c>
      <c r="R244" s="7">
        <v>0.0</v>
      </c>
      <c r="S244" s="8">
        <v>0.0</v>
      </c>
      <c r="T244" s="7">
        <v>0.0</v>
      </c>
      <c r="U244" s="7">
        <v>0.0</v>
      </c>
      <c r="V244" s="7">
        <v>0.0</v>
      </c>
      <c r="W244" s="7">
        <v>0.0</v>
      </c>
      <c r="X244" s="7" t="s">
        <v>690</v>
      </c>
      <c r="Y244" s="24" t="s">
        <v>700</v>
      </c>
      <c r="AA244" s="50"/>
      <c r="AB244" s="50"/>
      <c r="AC244" s="50"/>
    </row>
    <row r="245">
      <c r="A245" s="7" t="s">
        <v>392</v>
      </c>
      <c r="B245" s="7" t="s">
        <v>393</v>
      </c>
      <c r="C245" s="7" t="s">
        <v>87</v>
      </c>
      <c r="D245" s="7" t="s">
        <v>80</v>
      </c>
      <c r="E245" s="7">
        <v>24.0</v>
      </c>
      <c r="F245" s="7">
        <v>2000.0</v>
      </c>
      <c r="G245" s="7">
        <v>14.0</v>
      </c>
      <c r="H245" s="7">
        <v>9.0</v>
      </c>
      <c r="I245" s="7">
        <v>836.0</v>
      </c>
      <c r="J245" s="7">
        <v>9.3</v>
      </c>
      <c r="K245" s="7">
        <v>0.0</v>
      </c>
      <c r="L245" s="7">
        <v>0.0</v>
      </c>
      <c r="M245" s="7">
        <v>0.0</v>
      </c>
      <c r="N245" s="7">
        <v>0.0</v>
      </c>
      <c r="O245" s="7">
        <v>0.0</v>
      </c>
      <c r="P245" s="7">
        <v>0.0</v>
      </c>
      <c r="Q245" s="7">
        <v>3.0</v>
      </c>
      <c r="R245" s="7">
        <v>0.0</v>
      </c>
      <c r="S245" s="8">
        <v>0.0</v>
      </c>
      <c r="T245" s="7">
        <v>0.0</v>
      </c>
      <c r="U245" s="7">
        <v>0.0</v>
      </c>
      <c r="V245" s="7">
        <v>0.0</v>
      </c>
      <c r="W245" s="7">
        <v>0.0</v>
      </c>
      <c r="X245" s="7" t="s">
        <v>688</v>
      </c>
      <c r="Y245" s="24" t="s">
        <v>708</v>
      </c>
      <c r="AA245" s="50"/>
      <c r="AB245" s="50"/>
      <c r="AC245" s="50"/>
    </row>
    <row r="246">
      <c r="A246" s="7" t="s">
        <v>395</v>
      </c>
      <c r="B246" s="7" t="s">
        <v>25</v>
      </c>
      <c r="C246" s="7" t="s">
        <v>26</v>
      </c>
      <c r="D246" s="7" t="s">
        <v>62</v>
      </c>
      <c r="E246" s="7">
        <v>17.0</v>
      </c>
      <c r="F246" s="7">
        <v>2007.0</v>
      </c>
      <c r="G246" s="7">
        <v>1.0</v>
      </c>
      <c r="H246" s="7">
        <v>0.0</v>
      </c>
      <c r="I246" s="7">
        <v>1.0</v>
      </c>
      <c r="J246" s="7">
        <v>0.0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>
        <v>0.0</v>
      </c>
      <c r="Q246" s="7">
        <v>0.0</v>
      </c>
      <c r="R246" s="7">
        <v>0.0</v>
      </c>
      <c r="S246" s="8">
        <v>0.0</v>
      </c>
      <c r="T246" s="7">
        <v>0.0</v>
      </c>
      <c r="U246" s="7">
        <v>0.0</v>
      </c>
      <c r="V246" s="7">
        <v>0.0</v>
      </c>
      <c r="W246" s="7">
        <v>0.0</v>
      </c>
      <c r="X246" s="7" t="s">
        <v>718</v>
      </c>
      <c r="Y246" s="24" t="s">
        <v>677</v>
      </c>
      <c r="AA246" s="50"/>
      <c r="AB246" s="50"/>
      <c r="AC246" s="50"/>
    </row>
    <row r="247">
      <c r="A247" s="7" t="s">
        <v>397</v>
      </c>
      <c r="B247" s="7" t="s">
        <v>25</v>
      </c>
      <c r="C247" s="7" t="s">
        <v>26</v>
      </c>
      <c r="D247" s="7" t="s">
        <v>128</v>
      </c>
      <c r="E247" s="7">
        <v>16.0</v>
      </c>
      <c r="F247" s="7">
        <v>2008.0</v>
      </c>
      <c r="G247" s="7">
        <v>5.0</v>
      </c>
      <c r="H247" s="7">
        <v>0.0</v>
      </c>
      <c r="I247" s="7">
        <v>39.0</v>
      </c>
      <c r="J247" s="7">
        <v>0.4</v>
      </c>
      <c r="K247" s="7">
        <v>0.0</v>
      </c>
      <c r="L247" s="7">
        <v>0.0</v>
      </c>
      <c r="M247" s="7">
        <v>0.0</v>
      </c>
      <c r="N247" s="7">
        <v>0.0</v>
      </c>
      <c r="O247" s="7">
        <v>0.0</v>
      </c>
      <c r="P247" s="7">
        <v>0.0</v>
      </c>
      <c r="Q247" s="7">
        <v>1.0</v>
      </c>
      <c r="R247" s="7">
        <v>0.0</v>
      </c>
      <c r="S247" s="8">
        <v>0.0</v>
      </c>
      <c r="T247" s="7">
        <v>0.0</v>
      </c>
      <c r="U247" s="7">
        <v>0.0</v>
      </c>
      <c r="V247" s="7">
        <v>0.0</v>
      </c>
      <c r="W247" s="7">
        <v>0.0</v>
      </c>
      <c r="X247" s="7" t="s">
        <v>673</v>
      </c>
      <c r="Y247" s="7" t="s">
        <v>695</v>
      </c>
      <c r="AA247" s="50"/>
      <c r="AB247" s="50"/>
      <c r="AC247" s="50"/>
    </row>
    <row r="248">
      <c r="A248" s="7" t="s">
        <v>399</v>
      </c>
      <c r="B248" s="7" t="s">
        <v>25</v>
      </c>
      <c r="C248" s="7" t="s">
        <v>35</v>
      </c>
      <c r="D248" s="7" t="s">
        <v>31</v>
      </c>
      <c r="E248" s="7">
        <v>31.0</v>
      </c>
      <c r="F248" s="7">
        <v>1992.0</v>
      </c>
      <c r="G248" s="7">
        <v>18.0</v>
      </c>
      <c r="H248" s="7">
        <v>15.0</v>
      </c>
      <c r="I248" s="25">
        <v>1360.0</v>
      </c>
      <c r="J248" s="7">
        <v>15.1</v>
      </c>
      <c r="K248" s="7">
        <v>0.0</v>
      </c>
      <c r="L248" s="7">
        <v>0.0</v>
      </c>
      <c r="M248" s="7">
        <v>0.0</v>
      </c>
      <c r="N248" s="7">
        <v>0.0</v>
      </c>
      <c r="O248" s="7">
        <v>0.0</v>
      </c>
      <c r="P248" s="7">
        <v>0.0</v>
      </c>
      <c r="Q248" s="7">
        <v>5.0</v>
      </c>
      <c r="R248" s="7">
        <v>1.0</v>
      </c>
      <c r="S248" s="8">
        <v>0.0</v>
      </c>
      <c r="T248" s="7">
        <v>0.0</v>
      </c>
      <c r="U248" s="7">
        <v>0.0</v>
      </c>
      <c r="V248" s="7">
        <v>0.0</v>
      </c>
      <c r="W248" s="7">
        <v>0.0</v>
      </c>
      <c r="X248" s="7" t="s">
        <v>683</v>
      </c>
      <c r="Y248" s="7" t="s">
        <v>686</v>
      </c>
      <c r="AA248" s="50"/>
      <c r="AB248" s="50"/>
      <c r="AC248" s="50"/>
    </row>
    <row r="249">
      <c r="A249" s="7" t="s">
        <v>401</v>
      </c>
      <c r="B249" s="7" t="s">
        <v>25</v>
      </c>
      <c r="C249" s="7" t="s">
        <v>77</v>
      </c>
      <c r="D249" s="7" t="s">
        <v>31</v>
      </c>
      <c r="E249" s="7">
        <v>31.0</v>
      </c>
      <c r="F249" s="7">
        <v>1993.0</v>
      </c>
      <c r="G249" s="7">
        <v>1.0</v>
      </c>
      <c r="H249" s="7">
        <v>1.0</v>
      </c>
      <c r="I249" s="7">
        <v>90.0</v>
      </c>
      <c r="J249" s="7">
        <v>1.0</v>
      </c>
      <c r="K249" s="7">
        <v>0.0</v>
      </c>
      <c r="L249" s="7">
        <v>0.0</v>
      </c>
      <c r="M249" s="7">
        <v>0.0</v>
      </c>
      <c r="N249" s="7">
        <v>0.0</v>
      </c>
      <c r="O249" s="7">
        <v>0.0</v>
      </c>
      <c r="P249" s="7">
        <v>0.0</v>
      </c>
      <c r="Q249" s="7">
        <v>1.0</v>
      </c>
      <c r="R249" s="7">
        <v>0.0</v>
      </c>
      <c r="S249" s="8">
        <v>0.0</v>
      </c>
      <c r="T249" s="7">
        <v>0.0</v>
      </c>
      <c r="U249" s="7">
        <v>0.0</v>
      </c>
      <c r="V249" s="7">
        <v>0.0</v>
      </c>
      <c r="W249" s="7">
        <v>0.0</v>
      </c>
      <c r="X249" s="7" t="s">
        <v>685</v>
      </c>
      <c r="Y249" s="24" t="s">
        <v>697</v>
      </c>
      <c r="AA249" s="50"/>
      <c r="AB249" s="50"/>
      <c r="AC249" s="50"/>
    </row>
    <row r="250">
      <c r="A250" s="7" t="s">
        <v>403</v>
      </c>
      <c r="B250" s="7" t="s">
        <v>25</v>
      </c>
      <c r="C250" s="7" t="s">
        <v>83</v>
      </c>
      <c r="D250" s="7" t="s">
        <v>44</v>
      </c>
      <c r="E250" s="7">
        <v>20.0</v>
      </c>
      <c r="F250" s="7">
        <v>2003.0</v>
      </c>
      <c r="G250" s="7">
        <v>7.0</v>
      </c>
      <c r="H250" s="7">
        <v>6.0</v>
      </c>
      <c r="I250" s="7">
        <v>528.0</v>
      </c>
      <c r="J250" s="7">
        <v>5.9</v>
      </c>
      <c r="K250" s="7">
        <v>0.0</v>
      </c>
      <c r="L250" s="7">
        <v>0.0</v>
      </c>
      <c r="M250" s="7">
        <v>0.0</v>
      </c>
      <c r="N250" s="7">
        <v>0.0</v>
      </c>
      <c r="O250" s="7">
        <v>0.0</v>
      </c>
      <c r="P250" s="7">
        <v>0.0</v>
      </c>
      <c r="Q250" s="7">
        <v>4.0</v>
      </c>
      <c r="R250" s="7">
        <v>1.0</v>
      </c>
      <c r="S250" s="8">
        <v>0.0</v>
      </c>
      <c r="T250" s="7">
        <v>0.0</v>
      </c>
      <c r="U250" s="7">
        <v>0.0</v>
      </c>
      <c r="V250" s="7">
        <v>0.0</v>
      </c>
      <c r="W250" s="7">
        <v>0.0</v>
      </c>
      <c r="X250" s="7" t="s">
        <v>810</v>
      </c>
      <c r="Y250" s="24" t="s">
        <v>702</v>
      </c>
      <c r="AA250" s="50"/>
      <c r="AB250" s="50"/>
      <c r="AC250" s="50"/>
    </row>
    <row r="251">
      <c r="A251" s="7" t="s">
        <v>405</v>
      </c>
      <c r="B251" s="7" t="s">
        <v>25</v>
      </c>
      <c r="C251" s="7" t="s">
        <v>55</v>
      </c>
      <c r="D251" s="7" t="s">
        <v>62</v>
      </c>
      <c r="E251" s="7">
        <v>21.0</v>
      </c>
      <c r="F251" s="7">
        <v>2002.0</v>
      </c>
      <c r="G251" s="7">
        <v>9.0</v>
      </c>
      <c r="H251" s="7">
        <v>0.0</v>
      </c>
      <c r="I251" s="7">
        <v>90.0</v>
      </c>
      <c r="J251" s="7">
        <v>1.0</v>
      </c>
      <c r="K251" s="7">
        <v>0.0</v>
      </c>
      <c r="L251" s="7">
        <v>0.0</v>
      </c>
      <c r="M251" s="7">
        <v>0.0</v>
      </c>
      <c r="N251" s="7">
        <v>0.0</v>
      </c>
      <c r="O251" s="7">
        <v>0.0</v>
      </c>
      <c r="P251" s="7">
        <v>0.0</v>
      </c>
      <c r="Q251" s="7">
        <v>0.0</v>
      </c>
      <c r="R251" s="7">
        <v>0.0</v>
      </c>
      <c r="S251" s="8">
        <v>0.0</v>
      </c>
      <c r="T251" s="7">
        <v>0.0</v>
      </c>
      <c r="U251" s="7">
        <v>0.0</v>
      </c>
      <c r="V251" s="7">
        <v>0.0</v>
      </c>
      <c r="W251" s="7">
        <v>0.0</v>
      </c>
      <c r="X251" s="7" t="s">
        <v>685</v>
      </c>
      <c r="Y251" s="24" t="s">
        <v>706</v>
      </c>
      <c r="AA251" s="50"/>
      <c r="AB251" s="50"/>
      <c r="AC251" s="50"/>
    </row>
    <row r="252">
      <c r="A252" s="7" t="s">
        <v>407</v>
      </c>
      <c r="B252" s="7" t="s">
        <v>250</v>
      </c>
      <c r="C252" s="7" t="s">
        <v>77</v>
      </c>
      <c r="D252" s="7" t="s">
        <v>31</v>
      </c>
      <c r="E252" s="7">
        <v>26.0</v>
      </c>
      <c r="F252" s="7">
        <v>1997.0</v>
      </c>
      <c r="G252" s="7">
        <v>35.0</v>
      </c>
      <c r="H252" s="7">
        <v>35.0</v>
      </c>
      <c r="I252" s="25">
        <v>3150.0</v>
      </c>
      <c r="J252" s="7">
        <v>35.0</v>
      </c>
      <c r="K252" s="7">
        <v>0.0</v>
      </c>
      <c r="L252" s="7">
        <v>0.0</v>
      </c>
      <c r="M252" s="7">
        <v>0.0</v>
      </c>
      <c r="N252" s="7">
        <v>0.0</v>
      </c>
      <c r="O252" s="7">
        <v>0.0</v>
      </c>
      <c r="P252" s="7">
        <v>0.0</v>
      </c>
      <c r="Q252" s="7">
        <v>4.0</v>
      </c>
      <c r="R252" s="7">
        <v>0.0</v>
      </c>
      <c r="S252" s="8">
        <v>0.0</v>
      </c>
      <c r="T252" s="7">
        <v>0.0</v>
      </c>
      <c r="U252" s="7">
        <v>0.0</v>
      </c>
      <c r="V252" s="7">
        <v>0.0</v>
      </c>
      <c r="W252" s="7">
        <v>0.0</v>
      </c>
      <c r="X252" s="7" t="s">
        <v>693</v>
      </c>
      <c r="Y252" s="7" t="s">
        <v>716</v>
      </c>
      <c r="AA252" s="50"/>
      <c r="AB252" s="50"/>
      <c r="AC252" s="50"/>
    </row>
    <row r="253">
      <c r="A253" s="7" t="s">
        <v>409</v>
      </c>
      <c r="B253" s="7" t="s">
        <v>25</v>
      </c>
      <c r="C253" s="7" t="s">
        <v>35</v>
      </c>
      <c r="D253" s="7" t="s">
        <v>58</v>
      </c>
      <c r="E253" s="7">
        <v>18.0</v>
      </c>
      <c r="F253" s="7">
        <v>2005.0</v>
      </c>
      <c r="G253" s="7">
        <v>2.0</v>
      </c>
      <c r="H253" s="7">
        <v>1.0</v>
      </c>
      <c r="I253" s="7">
        <v>60.0</v>
      </c>
      <c r="J253" s="7">
        <v>0.7</v>
      </c>
      <c r="K253" s="7">
        <v>0.0</v>
      </c>
      <c r="L253" s="7">
        <v>0.0</v>
      </c>
      <c r="M253" s="7">
        <v>0.0</v>
      </c>
      <c r="N253" s="7">
        <v>0.0</v>
      </c>
      <c r="O253" s="7">
        <v>0.0</v>
      </c>
      <c r="P253" s="7">
        <v>0.0</v>
      </c>
      <c r="Q253" s="7">
        <v>0.0</v>
      </c>
      <c r="R253" s="7">
        <v>0.0</v>
      </c>
      <c r="S253" s="8">
        <v>0.0</v>
      </c>
      <c r="T253" s="7">
        <v>0.0</v>
      </c>
      <c r="U253" s="7">
        <v>0.0</v>
      </c>
      <c r="V253" s="7">
        <v>0.0</v>
      </c>
      <c r="W253" s="7">
        <v>0.0</v>
      </c>
      <c r="X253" s="7" t="s">
        <v>712</v>
      </c>
      <c r="Y253" s="24" t="s">
        <v>691</v>
      </c>
      <c r="AA253" s="50"/>
      <c r="AB253" s="50"/>
      <c r="AC253" s="50"/>
    </row>
    <row r="254">
      <c r="A254" s="7" t="s">
        <v>411</v>
      </c>
      <c r="B254" s="7" t="s">
        <v>70</v>
      </c>
      <c r="C254" s="7" t="s">
        <v>47</v>
      </c>
      <c r="D254" s="7" t="s">
        <v>58</v>
      </c>
      <c r="E254" s="7">
        <v>24.0</v>
      </c>
      <c r="F254" s="7">
        <v>1999.0</v>
      </c>
      <c r="G254" s="7">
        <v>31.0</v>
      </c>
      <c r="H254" s="7">
        <v>22.0</v>
      </c>
      <c r="I254" s="25">
        <v>1982.0</v>
      </c>
      <c r="J254" s="7">
        <v>22.0</v>
      </c>
      <c r="K254" s="7">
        <v>2.0</v>
      </c>
      <c r="L254" s="7">
        <v>1.0</v>
      </c>
      <c r="M254" s="7">
        <v>3.0</v>
      </c>
      <c r="N254" s="7">
        <v>2.0</v>
      </c>
      <c r="O254" s="7">
        <v>0.0</v>
      </c>
      <c r="P254" s="7">
        <v>0.0</v>
      </c>
      <c r="Q254" s="7">
        <v>5.0</v>
      </c>
      <c r="R254" s="7">
        <v>0.0</v>
      </c>
      <c r="S254" s="8">
        <v>0.09</v>
      </c>
      <c r="T254" s="7">
        <v>0.05</v>
      </c>
      <c r="U254" s="7">
        <v>0.14</v>
      </c>
      <c r="V254" s="7">
        <v>0.09</v>
      </c>
      <c r="W254" s="7">
        <v>0.14</v>
      </c>
      <c r="X254" s="7" t="s">
        <v>690</v>
      </c>
      <c r="Y254" s="7" t="s">
        <v>689</v>
      </c>
      <c r="AA254" s="50"/>
      <c r="AB254" s="50"/>
      <c r="AC254" s="50"/>
    </row>
    <row r="255">
      <c r="A255" s="7" t="s">
        <v>413</v>
      </c>
      <c r="B255" s="7" t="s">
        <v>70</v>
      </c>
      <c r="C255" s="7" t="s">
        <v>35</v>
      </c>
      <c r="D255" s="7" t="s">
        <v>44</v>
      </c>
      <c r="E255" s="7">
        <v>27.0</v>
      </c>
      <c r="F255" s="7">
        <v>1996.0</v>
      </c>
      <c r="G255" s="7">
        <v>9.0</v>
      </c>
      <c r="H255" s="7">
        <v>8.0</v>
      </c>
      <c r="I255" s="7">
        <v>732.0</v>
      </c>
      <c r="J255" s="7">
        <v>8.1</v>
      </c>
      <c r="K255" s="7">
        <v>0.0</v>
      </c>
      <c r="L255" s="7">
        <v>0.0</v>
      </c>
      <c r="M255" s="7">
        <v>0.0</v>
      </c>
      <c r="N255" s="7">
        <v>0.0</v>
      </c>
      <c r="O255" s="7">
        <v>0.0</v>
      </c>
      <c r="P255" s="7">
        <v>0.0</v>
      </c>
      <c r="Q255" s="7">
        <v>1.0</v>
      </c>
      <c r="R255" s="7">
        <v>0.0</v>
      </c>
      <c r="S255" s="8">
        <v>0.0</v>
      </c>
      <c r="T255" s="7">
        <v>0.0</v>
      </c>
      <c r="U255" s="7">
        <v>0.0</v>
      </c>
      <c r="V255" s="7">
        <v>0.0</v>
      </c>
      <c r="W255" s="7">
        <v>0.0</v>
      </c>
      <c r="X255" s="7" t="s">
        <v>688</v>
      </c>
      <c r="Y255" s="7" t="s">
        <v>671</v>
      </c>
      <c r="AA255" s="50"/>
      <c r="AB255" s="50"/>
      <c r="AC255" s="50"/>
    </row>
    <row r="256">
      <c r="A256" s="7" t="s">
        <v>415</v>
      </c>
      <c r="B256" s="7" t="s">
        <v>416</v>
      </c>
      <c r="C256" s="7" t="s">
        <v>35</v>
      </c>
      <c r="D256" s="7" t="s">
        <v>80</v>
      </c>
      <c r="E256" s="7">
        <v>23.0</v>
      </c>
      <c r="F256" s="7">
        <v>2000.0</v>
      </c>
      <c r="G256" s="7">
        <v>5.0</v>
      </c>
      <c r="H256" s="7">
        <v>3.0</v>
      </c>
      <c r="I256" s="7">
        <v>353.0</v>
      </c>
      <c r="J256" s="7">
        <v>3.9</v>
      </c>
      <c r="K256" s="7">
        <v>0.0</v>
      </c>
      <c r="L256" s="7">
        <v>0.0</v>
      </c>
      <c r="M256" s="7">
        <v>0.0</v>
      </c>
      <c r="N256" s="7">
        <v>0.0</v>
      </c>
      <c r="O256" s="7">
        <v>0.0</v>
      </c>
      <c r="P256" s="7">
        <v>0.0</v>
      </c>
      <c r="Q256" s="7">
        <v>2.0</v>
      </c>
      <c r="R256" s="7">
        <v>0.0</v>
      </c>
      <c r="S256" s="8">
        <v>0.0</v>
      </c>
      <c r="T256" s="7">
        <v>0.0</v>
      </c>
      <c r="U256" s="7">
        <v>0.0</v>
      </c>
      <c r="V256" s="7">
        <v>0.0</v>
      </c>
      <c r="W256" s="7">
        <v>0.0</v>
      </c>
      <c r="X256" s="7" t="s">
        <v>810</v>
      </c>
      <c r="Y256" s="24" t="s">
        <v>708</v>
      </c>
      <c r="AA256" s="50"/>
      <c r="AB256" s="50"/>
      <c r="AC256" s="50"/>
    </row>
    <row r="257">
      <c r="A257" s="7" t="s">
        <v>418</v>
      </c>
      <c r="B257" s="7" t="s">
        <v>34</v>
      </c>
      <c r="C257" s="7" t="s">
        <v>77</v>
      </c>
      <c r="D257" s="7" t="s">
        <v>98</v>
      </c>
      <c r="E257" s="7">
        <v>25.0</v>
      </c>
      <c r="F257" s="7">
        <v>1998.0</v>
      </c>
      <c r="G257" s="7">
        <v>6.0</v>
      </c>
      <c r="H257" s="7">
        <v>6.0</v>
      </c>
      <c r="I257" s="7">
        <v>540.0</v>
      </c>
      <c r="J257" s="7">
        <v>6.0</v>
      </c>
      <c r="K257" s="7">
        <v>0.0</v>
      </c>
      <c r="L257" s="7">
        <v>0.0</v>
      </c>
      <c r="M257" s="7">
        <v>0.0</v>
      </c>
      <c r="N257" s="7">
        <v>0.0</v>
      </c>
      <c r="O257" s="7">
        <v>0.0</v>
      </c>
      <c r="P257" s="7">
        <v>0.0</v>
      </c>
      <c r="Q257" s="7">
        <v>0.0</v>
      </c>
      <c r="R257" s="7">
        <v>0.0</v>
      </c>
      <c r="S257" s="8">
        <v>0.0</v>
      </c>
      <c r="T257" s="7">
        <v>0.0</v>
      </c>
      <c r="U257" s="7">
        <v>0.0</v>
      </c>
      <c r="V257" s="7">
        <v>0.0</v>
      </c>
      <c r="W257" s="7">
        <v>0.0</v>
      </c>
      <c r="X257" s="7" t="s">
        <v>693</v>
      </c>
      <c r="Y257" s="7" t="s">
        <v>721</v>
      </c>
      <c r="AA257" s="50"/>
      <c r="AB257" s="50"/>
      <c r="AC257" s="50"/>
    </row>
    <row r="258">
      <c r="A258" s="7" t="s">
        <v>420</v>
      </c>
      <c r="B258" s="7" t="s">
        <v>43</v>
      </c>
      <c r="C258" s="7" t="s">
        <v>77</v>
      </c>
      <c r="D258" s="7" t="s">
        <v>36</v>
      </c>
      <c r="E258" s="7">
        <v>27.0</v>
      </c>
      <c r="F258" s="7">
        <v>1996.0</v>
      </c>
      <c r="G258" s="7">
        <v>12.0</v>
      </c>
      <c r="H258" s="7">
        <v>12.0</v>
      </c>
      <c r="I258" s="25">
        <v>1035.0</v>
      </c>
      <c r="J258" s="7">
        <v>11.5</v>
      </c>
      <c r="K258" s="7">
        <v>0.0</v>
      </c>
      <c r="L258" s="7">
        <v>0.0</v>
      </c>
      <c r="M258" s="7">
        <v>0.0</v>
      </c>
      <c r="N258" s="7">
        <v>0.0</v>
      </c>
      <c r="O258" s="7">
        <v>0.0</v>
      </c>
      <c r="P258" s="7">
        <v>0.0</v>
      </c>
      <c r="Q258" s="7">
        <v>3.0</v>
      </c>
      <c r="R258" s="7">
        <v>0.0</v>
      </c>
      <c r="S258" s="8">
        <v>0.0</v>
      </c>
      <c r="T258" s="7">
        <v>0.0</v>
      </c>
      <c r="U258" s="7">
        <v>0.0</v>
      </c>
      <c r="V258" s="7">
        <v>0.0</v>
      </c>
      <c r="W258" s="7">
        <v>0.0</v>
      </c>
      <c r="X258" s="7" t="s">
        <v>810</v>
      </c>
      <c r="Y258" s="24" t="s">
        <v>702</v>
      </c>
      <c r="AA258" s="50"/>
      <c r="AB258" s="50"/>
      <c r="AC258" s="50"/>
    </row>
    <row r="259">
      <c r="A259" s="7" t="s">
        <v>422</v>
      </c>
      <c r="B259" s="7" t="s">
        <v>25</v>
      </c>
      <c r="C259" s="7" t="s">
        <v>83</v>
      </c>
      <c r="D259" s="7" t="s">
        <v>36</v>
      </c>
      <c r="E259" s="7">
        <v>24.0</v>
      </c>
      <c r="F259" s="7">
        <v>1999.0</v>
      </c>
      <c r="G259" s="7">
        <v>30.0</v>
      </c>
      <c r="H259" s="7">
        <v>28.0</v>
      </c>
      <c r="I259" s="25">
        <v>2351.0</v>
      </c>
      <c r="J259" s="7">
        <v>26.1</v>
      </c>
      <c r="K259" s="7">
        <v>0.0</v>
      </c>
      <c r="L259" s="7">
        <v>1.0</v>
      </c>
      <c r="M259" s="7">
        <v>1.0</v>
      </c>
      <c r="N259" s="7">
        <v>0.0</v>
      </c>
      <c r="O259" s="7">
        <v>0.0</v>
      </c>
      <c r="P259" s="7">
        <v>0.0</v>
      </c>
      <c r="Q259" s="7">
        <v>7.0</v>
      </c>
      <c r="R259" s="7">
        <v>2.0</v>
      </c>
      <c r="S259" s="8">
        <v>0.0</v>
      </c>
      <c r="T259" s="7">
        <v>0.04</v>
      </c>
      <c r="U259" s="7">
        <v>0.04</v>
      </c>
      <c r="V259" s="7">
        <v>0.0</v>
      </c>
      <c r="W259" s="7">
        <v>0.04</v>
      </c>
      <c r="X259" s="7" t="s">
        <v>715</v>
      </c>
      <c r="Y259" s="7" t="s">
        <v>728</v>
      </c>
      <c r="AA259" s="50"/>
      <c r="AB259" s="50"/>
      <c r="AC259" s="50"/>
    </row>
    <row r="260">
      <c r="A260" s="7" t="s">
        <v>424</v>
      </c>
      <c r="B260" s="7" t="s">
        <v>34</v>
      </c>
      <c r="C260" s="7" t="s">
        <v>35</v>
      </c>
      <c r="D260" s="7" t="s">
        <v>44</v>
      </c>
      <c r="E260" s="7">
        <v>20.0</v>
      </c>
      <c r="F260" s="7">
        <v>2003.0</v>
      </c>
      <c r="G260" s="7">
        <v>10.0</v>
      </c>
      <c r="H260" s="7">
        <v>8.0</v>
      </c>
      <c r="I260" s="7">
        <v>727.0</v>
      </c>
      <c r="J260" s="7">
        <v>8.1</v>
      </c>
      <c r="K260" s="7">
        <v>0.0</v>
      </c>
      <c r="L260" s="7">
        <v>1.0</v>
      </c>
      <c r="M260" s="7">
        <v>1.0</v>
      </c>
      <c r="N260" s="7">
        <v>0.0</v>
      </c>
      <c r="O260" s="7">
        <v>0.0</v>
      </c>
      <c r="P260" s="7">
        <v>0.0</v>
      </c>
      <c r="Q260" s="7">
        <v>0.0</v>
      </c>
      <c r="R260" s="7">
        <v>0.0</v>
      </c>
      <c r="S260" s="8">
        <v>0.0</v>
      </c>
      <c r="T260" s="7">
        <v>0.12</v>
      </c>
      <c r="U260" s="7">
        <v>0.12</v>
      </c>
      <c r="V260" s="7">
        <v>0.0</v>
      </c>
      <c r="W260" s="7">
        <v>0.12</v>
      </c>
      <c r="X260" s="7" t="s">
        <v>810</v>
      </c>
      <c r="Y260" s="24" t="s">
        <v>691</v>
      </c>
      <c r="AA260" s="50"/>
      <c r="AB260" s="50"/>
      <c r="AC260" s="50"/>
    </row>
    <row r="261">
      <c r="A261" s="7" t="s">
        <v>426</v>
      </c>
      <c r="B261" s="7" t="s">
        <v>25</v>
      </c>
      <c r="C261" s="7" t="s">
        <v>35</v>
      </c>
      <c r="D261" s="7" t="s">
        <v>80</v>
      </c>
      <c r="E261" s="7">
        <v>16.0</v>
      </c>
      <c r="F261" s="7">
        <v>2007.0</v>
      </c>
      <c r="G261" s="7">
        <v>2.0</v>
      </c>
      <c r="H261" s="7">
        <v>0.0</v>
      </c>
      <c r="I261" s="7">
        <v>31.0</v>
      </c>
      <c r="J261" s="7">
        <v>0.3</v>
      </c>
      <c r="K261" s="7">
        <v>0.0</v>
      </c>
      <c r="L261" s="7">
        <v>0.0</v>
      </c>
      <c r="M261" s="7">
        <v>0.0</v>
      </c>
      <c r="N261" s="7">
        <v>0.0</v>
      </c>
      <c r="O261" s="7">
        <v>0.0</v>
      </c>
      <c r="P261" s="7">
        <v>0.0</v>
      </c>
      <c r="Q261" s="7">
        <v>0.0</v>
      </c>
      <c r="R261" s="7">
        <v>0.0</v>
      </c>
      <c r="S261" s="8">
        <v>0.0</v>
      </c>
      <c r="T261" s="7">
        <v>0.0</v>
      </c>
      <c r="U261" s="7">
        <v>0.0</v>
      </c>
      <c r="V261" s="7">
        <v>0.0</v>
      </c>
      <c r="W261" s="7">
        <v>0.0</v>
      </c>
      <c r="X261" s="7" t="s">
        <v>688</v>
      </c>
      <c r="Y261" s="24" t="s">
        <v>677</v>
      </c>
      <c r="AA261" s="50"/>
      <c r="AB261" s="50"/>
      <c r="AC261" s="50"/>
    </row>
    <row r="262">
      <c r="A262" s="7" t="s">
        <v>428</v>
      </c>
      <c r="B262" s="7" t="s">
        <v>25</v>
      </c>
      <c r="C262" s="7" t="s">
        <v>30</v>
      </c>
      <c r="D262" s="7" t="s">
        <v>128</v>
      </c>
      <c r="E262" s="7">
        <v>19.0</v>
      </c>
      <c r="F262" s="7">
        <v>2004.0</v>
      </c>
      <c r="G262" s="7">
        <v>11.0</v>
      </c>
      <c r="H262" s="7">
        <v>4.0</v>
      </c>
      <c r="I262" s="7">
        <v>464.0</v>
      </c>
      <c r="J262" s="7">
        <v>5.2</v>
      </c>
      <c r="K262" s="7">
        <v>2.0</v>
      </c>
      <c r="L262" s="7">
        <v>0.0</v>
      </c>
      <c r="M262" s="7">
        <v>2.0</v>
      </c>
      <c r="N262" s="7">
        <v>2.0</v>
      </c>
      <c r="O262" s="7">
        <v>0.0</v>
      </c>
      <c r="P262" s="7">
        <v>0.0</v>
      </c>
      <c r="Q262" s="7">
        <v>3.0</v>
      </c>
      <c r="R262" s="7">
        <v>1.0</v>
      </c>
      <c r="S262" s="8">
        <v>0.39</v>
      </c>
      <c r="T262" s="7">
        <v>0.0</v>
      </c>
      <c r="U262" s="7">
        <v>0.39</v>
      </c>
      <c r="V262" s="7">
        <v>0.39</v>
      </c>
      <c r="W262" s="7">
        <v>0.39</v>
      </c>
      <c r="X262" s="7" t="s">
        <v>810</v>
      </c>
      <c r="Y262" s="24" t="s">
        <v>691</v>
      </c>
      <c r="AA262" s="50"/>
      <c r="AB262" s="50"/>
      <c r="AC262" s="50"/>
    </row>
    <row r="263">
      <c r="A263" s="7" t="s">
        <v>430</v>
      </c>
      <c r="B263" s="7" t="s">
        <v>25</v>
      </c>
      <c r="C263" s="7" t="s">
        <v>35</v>
      </c>
      <c r="D263" s="7" t="s">
        <v>27</v>
      </c>
      <c r="E263" s="7">
        <v>21.0</v>
      </c>
      <c r="F263" s="7">
        <v>2002.0</v>
      </c>
      <c r="G263" s="7">
        <v>28.0</v>
      </c>
      <c r="H263" s="7">
        <v>25.0</v>
      </c>
      <c r="I263" s="25">
        <v>2205.0</v>
      </c>
      <c r="J263" s="7">
        <v>24.5</v>
      </c>
      <c r="K263" s="7">
        <v>3.0</v>
      </c>
      <c r="L263" s="7">
        <v>0.0</v>
      </c>
      <c r="M263" s="7">
        <v>3.0</v>
      </c>
      <c r="N263" s="7">
        <v>3.0</v>
      </c>
      <c r="O263" s="7">
        <v>0.0</v>
      </c>
      <c r="P263" s="7">
        <v>0.0</v>
      </c>
      <c r="Q263" s="7">
        <v>4.0</v>
      </c>
      <c r="R263" s="7">
        <v>0.0</v>
      </c>
      <c r="S263" s="8">
        <v>0.12</v>
      </c>
      <c r="T263" s="7">
        <v>0.0</v>
      </c>
      <c r="U263" s="7">
        <v>0.12</v>
      </c>
      <c r="V263" s="7">
        <v>0.12</v>
      </c>
      <c r="W263" s="7">
        <v>0.12</v>
      </c>
      <c r="X263" s="7" t="s">
        <v>685</v>
      </c>
      <c r="Y263" s="7" t="s">
        <v>707</v>
      </c>
      <c r="AA263" s="50"/>
      <c r="AB263" s="50"/>
      <c r="AC263" s="50"/>
    </row>
    <row r="264">
      <c r="A264" s="7" t="s">
        <v>432</v>
      </c>
      <c r="B264" s="7" t="s">
        <v>34</v>
      </c>
      <c r="C264" s="7" t="s">
        <v>26</v>
      </c>
      <c r="D264" s="7" t="s">
        <v>98</v>
      </c>
      <c r="E264" s="7">
        <v>21.0</v>
      </c>
      <c r="F264" s="7">
        <v>2002.0</v>
      </c>
      <c r="G264" s="7">
        <v>17.0</v>
      </c>
      <c r="H264" s="7">
        <v>14.0</v>
      </c>
      <c r="I264" s="25">
        <v>1114.0</v>
      </c>
      <c r="J264" s="7">
        <v>12.4</v>
      </c>
      <c r="K264" s="7">
        <v>6.0</v>
      </c>
      <c r="L264" s="7">
        <v>1.0</v>
      </c>
      <c r="M264" s="7">
        <v>7.0</v>
      </c>
      <c r="N264" s="7">
        <v>6.0</v>
      </c>
      <c r="O264" s="7">
        <v>0.0</v>
      </c>
      <c r="P264" s="7">
        <v>0.0</v>
      </c>
      <c r="Q264" s="7">
        <v>3.0</v>
      </c>
      <c r="R264" s="7">
        <v>0.0</v>
      </c>
      <c r="S264" s="8">
        <v>0.48</v>
      </c>
      <c r="T264" s="7">
        <v>0.08</v>
      </c>
      <c r="U264" s="7">
        <v>0.57</v>
      </c>
      <c r="V264" s="7">
        <v>0.48</v>
      </c>
      <c r="W264" s="7">
        <v>0.57</v>
      </c>
      <c r="X264" s="7" t="s">
        <v>810</v>
      </c>
      <c r="Y264" s="24" t="s">
        <v>703</v>
      </c>
      <c r="AA264" s="50"/>
      <c r="AB264" s="50"/>
      <c r="AC264" s="50"/>
    </row>
    <row r="265">
      <c r="A265" s="7" t="s">
        <v>434</v>
      </c>
      <c r="B265" s="7" t="s">
        <v>70</v>
      </c>
      <c r="C265" s="7" t="s">
        <v>30</v>
      </c>
      <c r="D265" s="7" t="s">
        <v>31</v>
      </c>
      <c r="E265" s="7">
        <v>31.0</v>
      </c>
      <c r="F265" s="7">
        <v>1992.0</v>
      </c>
      <c r="G265" s="7">
        <v>10.0</v>
      </c>
      <c r="H265" s="7">
        <v>5.0</v>
      </c>
      <c r="I265" s="7">
        <v>427.0</v>
      </c>
      <c r="J265" s="7">
        <v>4.7</v>
      </c>
      <c r="K265" s="7">
        <v>1.0</v>
      </c>
      <c r="L265" s="7">
        <v>0.0</v>
      </c>
      <c r="M265" s="7">
        <v>1.0</v>
      </c>
      <c r="N265" s="7">
        <v>1.0</v>
      </c>
      <c r="O265" s="7">
        <v>0.0</v>
      </c>
      <c r="P265" s="7">
        <v>0.0</v>
      </c>
      <c r="Q265" s="7">
        <v>1.0</v>
      </c>
      <c r="R265" s="7">
        <v>0.0</v>
      </c>
      <c r="S265" s="8">
        <v>0.21</v>
      </c>
      <c r="T265" s="7">
        <v>0.0</v>
      </c>
      <c r="U265" s="7">
        <v>0.21</v>
      </c>
      <c r="V265" s="7">
        <v>0.21</v>
      </c>
      <c r="W265" s="7">
        <v>0.21</v>
      </c>
      <c r="X265" s="7" t="s">
        <v>729</v>
      </c>
      <c r="Y265" s="24" t="s">
        <v>701</v>
      </c>
      <c r="AA265" s="50"/>
      <c r="AB265" s="50"/>
      <c r="AC265" s="50"/>
    </row>
    <row r="266">
      <c r="A266" s="7" t="s">
        <v>436</v>
      </c>
      <c r="B266" s="7" t="s">
        <v>437</v>
      </c>
      <c r="C266" s="7" t="s">
        <v>77</v>
      </c>
      <c r="D266" s="7" t="s">
        <v>27</v>
      </c>
      <c r="E266" s="7">
        <v>21.0</v>
      </c>
      <c r="F266" s="7">
        <v>2002.0</v>
      </c>
      <c r="G266" s="7">
        <v>4.0</v>
      </c>
      <c r="H266" s="7">
        <v>4.0</v>
      </c>
      <c r="I266" s="7">
        <v>360.0</v>
      </c>
      <c r="J266" s="7">
        <v>4.0</v>
      </c>
      <c r="K266" s="7">
        <v>0.0</v>
      </c>
      <c r="L266" s="7">
        <v>0.0</v>
      </c>
      <c r="M266" s="7">
        <v>0.0</v>
      </c>
      <c r="N266" s="7">
        <v>0.0</v>
      </c>
      <c r="O266" s="7">
        <v>0.0</v>
      </c>
      <c r="P266" s="7">
        <v>0.0</v>
      </c>
      <c r="Q266" s="7">
        <v>2.0</v>
      </c>
      <c r="R266" s="7">
        <v>0.0</v>
      </c>
      <c r="S266" s="8">
        <v>0.0</v>
      </c>
      <c r="T266" s="7">
        <v>0.0</v>
      </c>
      <c r="U266" s="7">
        <v>0.0</v>
      </c>
      <c r="V266" s="7">
        <v>0.0</v>
      </c>
      <c r="W266" s="7">
        <v>0.0</v>
      </c>
      <c r="X266" s="7" t="s">
        <v>685</v>
      </c>
      <c r="Y266" s="7" t="s">
        <v>716</v>
      </c>
      <c r="AA266" s="50"/>
      <c r="AB266" s="50"/>
      <c r="AC266" s="50"/>
    </row>
    <row r="267">
      <c r="A267" s="7" t="s">
        <v>439</v>
      </c>
      <c r="B267" s="7" t="s">
        <v>25</v>
      </c>
      <c r="C267" s="7" t="s">
        <v>35</v>
      </c>
      <c r="D267" s="7" t="s">
        <v>52</v>
      </c>
      <c r="E267" s="7">
        <v>32.0</v>
      </c>
      <c r="F267" s="7">
        <v>1991.0</v>
      </c>
      <c r="G267" s="7">
        <v>32.0</v>
      </c>
      <c r="H267" s="7">
        <v>32.0</v>
      </c>
      <c r="I267" s="25">
        <v>2766.0</v>
      </c>
      <c r="J267" s="7">
        <v>30.7</v>
      </c>
      <c r="K267" s="7">
        <v>1.0</v>
      </c>
      <c r="L267" s="7">
        <v>2.0</v>
      </c>
      <c r="M267" s="7">
        <v>3.0</v>
      </c>
      <c r="N267" s="7">
        <v>1.0</v>
      </c>
      <c r="O267" s="7">
        <v>0.0</v>
      </c>
      <c r="P267" s="7">
        <v>0.0</v>
      </c>
      <c r="Q267" s="7">
        <v>10.0</v>
      </c>
      <c r="R267" s="7">
        <v>0.0</v>
      </c>
      <c r="S267" s="8">
        <v>0.03</v>
      </c>
      <c r="T267" s="7">
        <v>0.07</v>
      </c>
      <c r="U267" s="7">
        <v>0.1</v>
      </c>
      <c r="V267" s="7">
        <v>0.03</v>
      </c>
      <c r="W267" s="7">
        <v>0.1</v>
      </c>
      <c r="X267" s="7" t="s">
        <v>717</v>
      </c>
      <c r="Y267" s="7" t="s">
        <v>716</v>
      </c>
      <c r="AA267" s="50"/>
      <c r="AB267" s="50"/>
      <c r="AC267" s="50"/>
    </row>
    <row r="268">
      <c r="A268" s="7" t="s">
        <v>441</v>
      </c>
      <c r="B268" s="7" t="s">
        <v>25</v>
      </c>
      <c r="C268" s="7" t="s">
        <v>26</v>
      </c>
      <c r="D268" s="7" t="s">
        <v>58</v>
      </c>
      <c r="E268" s="7">
        <v>26.0</v>
      </c>
      <c r="F268" s="7">
        <v>1997.0</v>
      </c>
      <c r="G268" s="7">
        <v>31.0</v>
      </c>
      <c r="H268" s="7">
        <v>31.0</v>
      </c>
      <c r="I268" s="25">
        <v>2510.0</v>
      </c>
      <c r="J268" s="7">
        <v>27.9</v>
      </c>
      <c r="K268" s="7">
        <v>2.0</v>
      </c>
      <c r="L268" s="7">
        <v>1.0</v>
      </c>
      <c r="M268" s="7">
        <v>3.0</v>
      </c>
      <c r="N268" s="7">
        <v>2.0</v>
      </c>
      <c r="O268" s="7">
        <v>0.0</v>
      </c>
      <c r="P268" s="7">
        <v>0.0</v>
      </c>
      <c r="Q268" s="7">
        <v>15.0</v>
      </c>
      <c r="R268" s="7">
        <v>0.0</v>
      </c>
      <c r="S268" s="8">
        <v>0.07</v>
      </c>
      <c r="T268" s="7">
        <v>0.04</v>
      </c>
      <c r="U268" s="7">
        <v>0.11</v>
      </c>
      <c r="V268" s="7">
        <v>0.07</v>
      </c>
      <c r="W268" s="7">
        <v>0.11</v>
      </c>
      <c r="X268" s="7" t="s">
        <v>719</v>
      </c>
      <c r="Y268" s="7" t="s">
        <v>707</v>
      </c>
      <c r="AA268" s="50"/>
      <c r="AB268" s="50"/>
      <c r="AC268" s="50"/>
    </row>
    <row r="269">
      <c r="A269" s="7" t="s">
        <v>443</v>
      </c>
      <c r="B269" s="7"/>
      <c r="C269" s="7" t="s">
        <v>55</v>
      </c>
      <c r="D269" s="7" t="s">
        <v>58</v>
      </c>
      <c r="G269" s="7">
        <v>1.0</v>
      </c>
      <c r="H269" s="7">
        <v>0.0</v>
      </c>
      <c r="I269" s="7">
        <v>4.0</v>
      </c>
      <c r="J269" s="7">
        <v>0.0</v>
      </c>
      <c r="K269" s="7">
        <v>0.0</v>
      </c>
      <c r="L269" s="7">
        <v>0.0</v>
      </c>
      <c r="M269" s="7">
        <v>0.0</v>
      </c>
      <c r="N269" s="7">
        <v>0.0</v>
      </c>
      <c r="O269" s="7">
        <v>0.0</v>
      </c>
      <c r="P269" s="7">
        <v>0.0</v>
      </c>
      <c r="Q269" s="7">
        <v>0.0</v>
      </c>
      <c r="R269" s="7">
        <v>0.0</v>
      </c>
      <c r="S269" s="8">
        <v>0.0</v>
      </c>
      <c r="T269" s="7">
        <v>0.0</v>
      </c>
      <c r="U269" s="7">
        <v>0.0</v>
      </c>
      <c r="V269" s="7">
        <v>0.0</v>
      </c>
      <c r="W269" s="7">
        <v>0.0</v>
      </c>
      <c r="X269" s="7" t="s">
        <v>719</v>
      </c>
      <c r="Y269" s="7" t="s">
        <v>711</v>
      </c>
      <c r="AA269" s="50"/>
      <c r="AB269" s="50"/>
      <c r="AC269" s="50"/>
    </row>
    <row r="270">
      <c r="A270" s="7" t="s">
        <v>445</v>
      </c>
      <c r="B270" s="7" t="s">
        <v>446</v>
      </c>
      <c r="C270" s="7" t="s">
        <v>26</v>
      </c>
      <c r="D270" s="7" t="s">
        <v>31</v>
      </c>
      <c r="E270" s="7">
        <v>24.0</v>
      </c>
      <c r="F270" s="7">
        <v>1999.0</v>
      </c>
      <c r="G270" s="7">
        <v>25.0</v>
      </c>
      <c r="H270" s="7">
        <v>16.0</v>
      </c>
      <c r="I270" s="25">
        <v>1604.0</v>
      </c>
      <c r="J270" s="7">
        <v>17.8</v>
      </c>
      <c r="K270" s="7">
        <v>1.0</v>
      </c>
      <c r="L270" s="7">
        <v>2.0</v>
      </c>
      <c r="M270" s="7">
        <v>3.0</v>
      </c>
      <c r="N270" s="7">
        <v>1.0</v>
      </c>
      <c r="O270" s="7">
        <v>0.0</v>
      </c>
      <c r="P270" s="7">
        <v>0.0</v>
      </c>
      <c r="Q270" s="7">
        <v>6.0</v>
      </c>
      <c r="R270" s="7">
        <v>0.0</v>
      </c>
      <c r="S270" s="8">
        <v>0.06</v>
      </c>
      <c r="T270" s="7">
        <v>0.11</v>
      </c>
      <c r="U270" s="7">
        <v>0.17</v>
      </c>
      <c r="V270" s="7">
        <v>0.06</v>
      </c>
      <c r="W270" s="7">
        <v>0.17</v>
      </c>
      <c r="X270" s="7" t="s">
        <v>810</v>
      </c>
      <c r="Y270" s="24" t="s">
        <v>702</v>
      </c>
      <c r="AA270" s="50"/>
      <c r="AB270" s="50"/>
      <c r="AC270" s="50"/>
    </row>
    <row r="271">
      <c r="A271" s="7" t="s">
        <v>448</v>
      </c>
      <c r="B271" s="7" t="s">
        <v>449</v>
      </c>
      <c r="C271" s="7" t="s">
        <v>26</v>
      </c>
      <c r="D271" s="7" t="s">
        <v>44</v>
      </c>
      <c r="E271" s="7">
        <v>17.0</v>
      </c>
      <c r="F271" s="7">
        <v>2006.0</v>
      </c>
      <c r="G271" s="7">
        <v>1.0</v>
      </c>
      <c r="H271" s="7">
        <v>0.0</v>
      </c>
      <c r="I271" s="7">
        <v>11.0</v>
      </c>
      <c r="J271" s="7">
        <v>0.1</v>
      </c>
      <c r="K271" s="7">
        <v>0.0</v>
      </c>
      <c r="L271" s="7">
        <v>0.0</v>
      </c>
      <c r="M271" s="7">
        <v>0.0</v>
      </c>
      <c r="N271" s="7">
        <v>0.0</v>
      </c>
      <c r="O271" s="7">
        <v>0.0</v>
      </c>
      <c r="P271" s="7">
        <v>0.0</v>
      </c>
      <c r="Q271" s="7">
        <v>0.0</v>
      </c>
      <c r="R271" s="7">
        <v>0.0</v>
      </c>
      <c r="S271" s="8">
        <v>0.0</v>
      </c>
      <c r="T271" s="7">
        <v>0.0</v>
      </c>
      <c r="U271" s="7">
        <v>0.0</v>
      </c>
      <c r="V271" s="7">
        <v>0.0</v>
      </c>
      <c r="W271" s="7">
        <v>0.0</v>
      </c>
      <c r="X271" s="7" t="s">
        <v>810</v>
      </c>
      <c r="Y271" s="24" t="s">
        <v>697</v>
      </c>
      <c r="AA271" s="50"/>
      <c r="AB271" s="50"/>
      <c r="AC271" s="50"/>
    </row>
    <row r="272">
      <c r="A272" s="7" t="s">
        <v>451</v>
      </c>
      <c r="B272" s="7" t="s">
        <v>446</v>
      </c>
      <c r="C272" s="7" t="s">
        <v>87</v>
      </c>
      <c r="D272" s="7" t="s">
        <v>44</v>
      </c>
      <c r="E272" s="7">
        <v>26.0</v>
      </c>
      <c r="F272" s="7">
        <v>1997.0</v>
      </c>
      <c r="G272" s="7">
        <v>20.0</v>
      </c>
      <c r="H272" s="7">
        <v>14.0</v>
      </c>
      <c r="I272" s="25">
        <v>1203.0</v>
      </c>
      <c r="J272" s="7">
        <v>13.4</v>
      </c>
      <c r="K272" s="7">
        <v>0.0</v>
      </c>
      <c r="L272" s="7">
        <v>0.0</v>
      </c>
      <c r="M272" s="7">
        <v>0.0</v>
      </c>
      <c r="N272" s="7">
        <v>0.0</v>
      </c>
      <c r="O272" s="7">
        <v>0.0</v>
      </c>
      <c r="P272" s="7">
        <v>0.0</v>
      </c>
      <c r="Q272" s="7">
        <v>4.0</v>
      </c>
      <c r="R272" s="7">
        <v>0.0</v>
      </c>
      <c r="S272" s="8">
        <v>0.0</v>
      </c>
      <c r="T272" s="7">
        <v>0.0</v>
      </c>
      <c r="U272" s="7">
        <v>0.0</v>
      </c>
      <c r="V272" s="7">
        <v>0.0</v>
      </c>
      <c r="W272" s="7">
        <v>0.0</v>
      </c>
      <c r="X272" s="7" t="s">
        <v>727</v>
      </c>
      <c r="Y272" s="7" t="s">
        <v>707</v>
      </c>
      <c r="AA272" s="50"/>
      <c r="AB272" s="50"/>
      <c r="AC272" s="50"/>
    </row>
    <row r="273">
      <c r="A273" s="7" t="s">
        <v>453</v>
      </c>
      <c r="B273" s="7" t="s">
        <v>25</v>
      </c>
      <c r="C273" s="7" t="s">
        <v>30</v>
      </c>
      <c r="D273" s="7" t="s">
        <v>27</v>
      </c>
      <c r="E273" s="7">
        <v>16.0</v>
      </c>
      <c r="F273" s="7">
        <v>2007.0</v>
      </c>
      <c r="G273" s="7">
        <v>31.0</v>
      </c>
      <c r="H273" s="7">
        <v>14.0</v>
      </c>
      <c r="I273" s="25">
        <v>1471.0</v>
      </c>
      <c r="J273" s="7">
        <v>16.3</v>
      </c>
      <c r="K273" s="7">
        <v>6.0</v>
      </c>
      <c r="L273" s="7">
        <v>1.0</v>
      </c>
      <c r="M273" s="7">
        <v>7.0</v>
      </c>
      <c r="N273" s="7">
        <v>6.0</v>
      </c>
      <c r="O273" s="7">
        <v>0.0</v>
      </c>
      <c r="P273" s="7">
        <v>0.0</v>
      </c>
      <c r="Q273" s="7">
        <v>3.0</v>
      </c>
      <c r="R273" s="7">
        <v>0.0</v>
      </c>
      <c r="S273" s="8">
        <v>0.37</v>
      </c>
      <c r="T273" s="7">
        <v>0.06</v>
      </c>
      <c r="U273" s="7">
        <v>0.43</v>
      </c>
      <c r="V273" s="7">
        <v>0.37</v>
      </c>
      <c r="W273" s="7">
        <v>0.43</v>
      </c>
      <c r="X273" s="7" t="s">
        <v>670</v>
      </c>
      <c r="Y273" s="7" t="s">
        <v>687</v>
      </c>
      <c r="AA273" s="50"/>
      <c r="AB273" s="50"/>
      <c r="AC273" s="50"/>
    </row>
    <row r="274">
      <c r="A274" s="7" t="s">
        <v>455</v>
      </c>
      <c r="B274" s="7" t="s">
        <v>25</v>
      </c>
      <c r="C274" s="7" t="s">
        <v>26</v>
      </c>
      <c r="D274" s="7" t="s">
        <v>31</v>
      </c>
      <c r="E274" s="7">
        <v>16.0</v>
      </c>
      <c r="F274" s="7">
        <v>2007.0</v>
      </c>
      <c r="G274" s="7">
        <v>1.0</v>
      </c>
      <c r="H274" s="7">
        <v>0.0</v>
      </c>
      <c r="I274" s="7">
        <v>12.0</v>
      </c>
      <c r="J274" s="7">
        <v>0.1</v>
      </c>
      <c r="K274" s="7">
        <v>0.0</v>
      </c>
      <c r="L274" s="7">
        <v>0.0</v>
      </c>
      <c r="M274" s="7">
        <v>0.0</v>
      </c>
      <c r="N274" s="7">
        <v>0.0</v>
      </c>
      <c r="O274" s="7">
        <v>0.0</v>
      </c>
      <c r="P274" s="7">
        <v>0.0</v>
      </c>
      <c r="Q274" s="7">
        <v>0.0</v>
      </c>
      <c r="R274" s="7">
        <v>0.0</v>
      </c>
      <c r="S274" s="8">
        <v>0.0</v>
      </c>
      <c r="T274" s="7">
        <v>0.0</v>
      </c>
      <c r="U274" s="7">
        <v>0.0</v>
      </c>
      <c r="V274" s="7">
        <v>0.0</v>
      </c>
      <c r="W274" s="7">
        <v>0.0</v>
      </c>
      <c r="X274" s="7" t="s">
        <v>720</v>
      </c>
      <c r="Y274" s="7" t="s">
        <v>684</v>
      </c>
      <c r="AA274" s="50"/>
      <c r="AB274" s="50"/>
      <c r="AC274" s="50"/>
    </row>
    <row r="275">
      <c r="A275" s="7" t="s">
        <v>457</v>
      </c>
      <c r="B275" s="7" t="s">
        <v>25</v>
      </c>
      <c r="C275" s="7" t="s">
        <v>26</v>
      </c>
      <c r="D275" s="7" t="s">
        <v>36</v>
      </c>
      <c r="E275" s="7">
        <v>20.0</v>
      </c>
      <c r="F275" s="7">
        <v>2004.0</v>
      </c>
      <c r="G275" s="7">
        <v>9.0</v>
      </c>
      <c r="H275" s="7">
        <v>4.0</v>
      </c>
      <c r="I275" s="7">
        <v>440.0</v>
      </c>
      <c r="J275" s="7">
        <v>4.9</v>
      </c>
      <c r="K275" s="7">
        <v>0.0</v>
      </c>
      <c r="L275" s="7">
        <v>0.0</v>
      </c>
      <c r="M275" s="7">
        <v>0.0</v>
      </c>
      <c r="N275" s="7">
        <v>0.0</v>
      </c>
      <c r="O275" s="7">
        <v>0.0</v>
      </c>
      <c r="P275" s="7">
        <v>0.0</v>
      </c>
      <c r="Q275" s="7">
        <v>2.0</v>
      </c>
      <c r="R275" s="7">
        <v>0.0</v>
      </c>
      <c r="S275" s="8">
        <v>0.0</v>
      </c>
      <c r="T275" s="7">
        <v>0.0</v>
      </c>
      <c r="U275" s="7">
        <v>0.0</v>
      </c>
      <c r="V275" s="7">
        <v>0.0</v>
      </c>
      <c r="W275" s="7">
        <v>0.0</v>
      </c>
      <c r="X275" s="7" t="s">
        <v>685</v>
      </c>
      <c r="Y275" s="24" t="s">
        <v>677</v>
      </c>
      <c r="AA275" s="50"/>
      <c r="AB275" s="50"/>
      <c r="AC275" s="50"/>
    </row>
    <row r="276">
      <c r="A276" s="7" t="s">
        <v>459</v>
      </c>
      <c r="B276" s="7" t="s">
        <v>70</v>
      </c>
      <c r="C276" s="7" t="s">
        <v>30</v>
      </c>
      <c r="D276" s="7" t="s">
        <v>58</v>
      </c>
      <c r="E276" s="7">
        <v>26.0</v>
      </c>
      <c r="F276" s="7">
        <v>1997.0</v>
      </c>
      <c r="G276" s="7">
        <v>30.0</v>
      </c>
      <c r="H276" s="7">
        <v>18.0</v>
      </c>
      <c r="I276" s="25">
        <v>1510.0</v>
      </c>
      <c r="J276" s="7">
        <v>16.8</v>
      </c>
      <c r="K276" s="7">
        <v>2.0</v>
      </c>
      <c r="L276" s="7">
        <v>2.0</v>
      </c>
      <c r="M276" s="7">
        <v>4.0</v>
      </c>
      <c r="N276" s="7">
        <v>2.0</v>
      </c>
      <c r="O276" s="7">
        <v>0.0</v>
      </c>
      <c r="P276" s="7">
        <v>0.0</v>
      </c>
      <c r="Q276" s="7">
        <v>5.0</v>
      </c>
      <c r="R276" s="7">
        <v>1.0</v>
      </c>
      <c r="S276" s="8">
        <v>0.12</v>
      </c>
      <c r="T276" s="7">
        <v>0.12</v>
      </c>
      <c r="U276" s="7">
        <v>0.24</v>
      </c>
      <c r="V276" s="7">
        <v>0.12</v>
      </c>
      <c r="W276" s="7">
        <v>0.24</v>
      </c>
      <c r="X276" s="7" t="s">
        <v>720</v>
      </c>
      <c r="Y276" s="7" t="s">
        <v>695</v>
      </c>
      <c r="AA276" s="50"/>
      <c r="AB276" s="50"/>
      <c r="AC276" s="50"/>
    </row>
    <row r="277">
      <c r="A277" s="7" t="s">
        <v>461</v>
      </c>
      <c r="B277" s="7" t="s">
        <v>25</v>
      </c>
      <c r="C277" s="7" t="s">
        <v>87</v>
      </c>
      <c r="D277" s="7" t="s">
        <v>62</v>
      </c>
      <c r="E277" s="7">
        <v>25.0</v>
      </c>
      <c r="F277" s="7">
        <v>1998.0</v>
      </c>
      <c r="G277" s="7">
        <v>17.0</v>
      </c>
      <c r="H277" s="7">
        <v>9.0</v>
      </c>
      <c r="I277" s="7">
        <v>872.0</v>
      </c>
      <c r="J277" s="7">
        <v>9.7</v>
      </c>
      <c r="K277" s="7">
        <v>3.0</v>
      </c>
      <c r="L277" s="7">
        <v>1.0</v>
      </c>
      <c r="M277" s="7">
        <v>4.0</v>
      </c>
      <c r="N277" s="7">
        <v>3.0</v>
      </c>
      <c r="O277" s="7">
        <v>0.0</v>
      </c>
      <c r="P277" s="7">
        <v>0.0</v>
      </c>
      <c r="Q277" s="7">
        <v>2.0</v>
      </c>
      <c r="R277" s="7">
        <v>0.0</v>
      </c>
      <c r="S277" s="8">
        <v>0.31</v>
      </c>
      <c r="T277" s="7">
        <v>0.1</v>
      </c>
      <c r="U277" s="7">
        <v>0.41</v>
      </c>
      <c r="V277" s="7">
        <v>0.31</v>
      </c>
      <c r="W277" s="7">
        <v>0.41</v>
      </c>
      <c r="X277" s="7" t="s">
        <v>685</v>
      </c>
      <c r="Y277" s="24" t="s">
        <v>700</v>
      </c>
      <c r="AA277" s="50"/>
      <c r="AB277" s="50"/>
      <c r="AC277" s="50"/>
    </row>
    <row r="278">
      <c r="A278" s="7" t="s">
        <v>463</v>
      </c>
      <c r="B278" s="7"/>
      <c r="C278" s="7" t="s">
        <v>55</v>
      </c>
      <c r="D278" s="7" t="s">
        <v>31</v>
      </c>
      <c r="G278" s="7">
        <v>1.0</v>
      </c>
      <c r="H278" s="7">
        <v>0.0</v>
      </c>
      <c r="I278" s="7">
        <v>23.0</v>
      </c>
      <c r="J278" s="7">
        <v>0.3</v>
      </c>
      <c r="K278" s="7">
        <v>0.0</v>
      </c>
      <c r="L278" s="7">
        <v>0.0</v>
      </c>
      <c r="M278" s="7">
        <v>0.0</v>
      </c>
      <c r="N278" s="7">
        <v>0.0</v>
      </c>
      <c r="O278" s="7">
        <v>0.0</v>
      </c>
      <c r="P278" s="7">
        <v>0.0</v>
      </c>
      <c r="Q278" s="7">
        <v>0.0</v>
      </c>
      <c r="R278" s="7">
        <v>0.0</v>
      </c>
      <c r="S278" s="8">
        <v>0.0</v>
      </c>
      <c r="T278" s="7">
        <v>0.0</v>
      </c>
      <c r="U278" s="7">
        <v>0.0</v>
      </c>
      <c r="V278" s="7">
        <v>0.0</v>
      </c>
      <c r="W278" s="7">
        <v>0.0</v>
      </c>
      <c r="X278" s="7" t="s">
        <v>730</v>
      </c>
      <c r="Y278" s="24" t="s">
        <v>703</v>
      </c>
      <c r="AA278" s="50"/>
      <c r="AB278" s="50"/>
      <c r="AC278" s="50"/>
    </row>
    <row r="279">
      <c r="A279" s="7" t="s">
        <v>465</v>
      </c>
      <c r="B279" s="7" t="s">
        <v>65</v>
      </c>
      <c r="C279" s="7" t="s">
        <v>55</v>
      </c>
      <c r="D279" s="7" t="s">
        <v>128</v>
      </c>
      <c r="E279" s="7">
        <v>23.0</v>
      </c>
      <c r="F279" s="7">
        <v>2000.0</v>
      </c>
      <c r="G279" s="7">
        <v>14.0</v>
      </c>
      <c r="H279" s="7">
        <v>14.0</v>
      </c>
      <c r="I279" s="25">
        <v>1009.0</v>
      </c>
      <c r="J279" s="7">
        <v>11.2</v>
      </c>
      <c r="K279" s="7">
        <v>4.0</v>
      </c>
      <c r="L279" s="7">
        <v>3.0</v>
      </c>
      <c r="M279" s="7">
        <v>7.0</v>
      </c>
      <c r="N279" s="7">
        <v>4.0</v>
      </c>
      <c r="O279" s="7">
        <v>0.0</v>
      </c>
      <c r="P279" s="7">
        <v>0.0</v>
      </c>
      <c r="Q279" s="7">
        <v>0.0</v>
      </c>
      <c r="R279" s="7">
        <v>0.0</v>
      </c>
      <c r="S279" s="8">
        <v>0.36</v>
      </c>
      <c r="T279" s="7">
        <v>0.27</v>
      </c>
      <c r="U279" s="7">
        <v>0.62</v>
      </c>
      <c r="V279" s="7">
        <v>0.36</v>
      </c>
      <c r="W279" s="7">
        <v>0.62</v>
      </c>
      <c r="X279" s="7" t="s">
        <v>715</v>
      </c>
      <c r="Y279" s="7" t="s">
        <v>668</v>
      </c>
      <c r="AA279" s="50"/>
      <c r="AB279" s="50"/>
      <c r="AC279" s="50"/>
    </row>
    <row r="280">
      <c r="A280" s="7" t="s">
        <v>467</v>
      </c>
      <c r="B280" s="7" t="s">
        <v>25</v>
      </c>
      <c r="C280" s="7" t="s">
        <v>35</v>
      </c>
      <c r="D280" s="7" t="s">
        <v>80</v>
      </c>
      <c r="E280" s="7">
        <v>20.0</v>
      </c>
      <c r="F280" s="7">
        <v>2003.0</v>
      </c>
      <c r="G280" s="7">
        <v>19.0</v>
      </c>
      <c r="H280" s="7">
        <v>16.0</v>
      </c>
      <c r="I280" s="25">
        <v>1275.0</v>
      </c>
      <c r="J280" s="7">
        <v>14.2</v>
      </c>
      <c r="K280" s="7">
        <v>0.0</v>
      </c>
      <c r="L280" s="7">
        <v>0.0</v>
      </c>
      <c r="M280" s="7">
        <v>0.0</v>
      </c>
      <c r="N280" s="7">
        <v>0.0</v>
      </c>
      <c r="O280" s="7">
        <v>0.0</v>
      </c>
      <c r="P280" s="7">
        <v>0.0</v>
      </c>
      <c r="Q280" s="7">
        <v>5.0</v>
      </c>
      <c r="R280" s="7">
        <v>0.0</v>
      </c>
      <c r="S280" s="8">
        <v>0.0</v>
      </c>
      <c r="T280" s="7">
        <v>0.0</v>
      </c>
      <c r="U280" s="7">
        <v>0.0</v>
      </c>
      <c r="V280" s="7">
        <v>0.0</v>
      </c>
      <c r="W280" s="7">
        <v>0.0</v>
      </c>
      <c r="X280" s="7" t="s">
        <v>670</v>
      </c>
      <c r="Y280" s="7" t="s">
        <v>726</v>
      </c>
      <c r="AA280" s="50"/>
      <c r="AB280" s="50"/>
      <c r="AC280" s="50"/>
    </row>
    <row r="281">
      <c r="A281" s="7" t="s">
        <v>469</v>
      </c>
      <c r="B281" s="7" t="s">
        <v>97</v>
      </c>
      <c r="C281" s="7" t="s">
        <v>47</v>
      </c>
      <c r="D281" s="7" t="s">
        <v>52</v>
      </c>
      <c r="E281" s="7">
        <v>29.0</v>
      </c>
      <c r="F281" s="7">
        <v>1994.0</v>
      </c>
      <c r="G281" s="7">
        <v>31.0</v>
      </c>
      <c r="H281" s="7">
        <v>27.0</v>
      </c>
      <c r="I281" s="25">
        <v>2404.0</v>
      </c>
      <c r="J281" s="7">
        <v>26.7</v>
      </c>
      <c r="K281" s="7">
        <v>5.0</v>
      </c>
      <c r="L281" s="7">
        <v>5.0</v>
      </c>
      <c r="M281" s="7">
        <v>10.0</v>
      </c>
      <c r="N281" s="7">
        <v>5.0</v>
      </c>
      <c r="O281" s="7">
        <v>0.0</v>
      </c>
      <c r="P281" s="7">
        <v>0.0</v>
      </c>
      <c r="Q281" s="7">
        <v>4.0</v>
      </c>
      <c r="R281" s="7">
        <v>0.0</v>
      </c>
      <c r="S281" s="8">
        <v>0.19</v>
      </c>
      <c r="T281" s="7">
        <v>0.19</v>
      </c>
      <c r="U281" s="7">
        <v>0.37</v>
      </c>
      <c r="V281" s="7">
        <v>0.19</v>
      </c>
      <c r="W281" s="7">
        <v>0.37</v>
      </c>
      <c r="X281" s="7" t="s">
        <v>678</v>
      </c>
      <c r="Y281" s="7" t="s">
        <v>731</v>
      </c>
      <c r="AA281" s="50"/>
      <c r="AB281" s="50"/>
      <c r="AC281" s="50"/>
    </row>
    <row r="282">
      <c r="A282" s="7" t="s">
        <v>471</v>
      </c>
      <c r="B282" s="7" t="s">
        <v>446</v>
      </c>
      <c r="C282" s="7" t="s">
        <v>35</v>
      </c>
      <c r="D282" s="7" t="s">
        <v>44</v>
      </c>
      <c r="E282" s="7">
        <v>26.0</v>
      </c>
      <c r="F282" s="7">
        <v>1997.0</v>
      </c>
      <c r="G282" s="7">
        <v>8.0</v>
      </c>
      <c r="H282" s="7">
        <v>7.0</v>
      </c>
      <c r="I282" s="7">
        <v>642.0</v>
      </c>
      <c r="J282" s="7">
        <v>7.1</v>
      </c>
      <c r="K282" s="7">
        <v>0.0</v>
      </c>
      <c r="L282" s="7">
        <v>0.0</v>
      </c>
      <c r="M282" s="7">
        <v>0.0</v>
      </c>
      <c r="N282" s="7">
        <v>0.0</v>
      </c>
      <c r="O282" s="7">
        <v>0.0</v>
      </c>
      <c r="P282" s="7">
        <v>0.0</v>
      </c>
      <c r="Q282" s="7">
        <v>0.0</v>
      </c>
      <c r="R282" s="7">
        <v>0.0</v>
      </c>
      <c r="S282" s="8">
        <v>0.0</v>
      </c>
      <c r="T282" s="7">
        <v>0.0</v>
      </c>
      <c r="U282" s="7">
        <v>0.0</v>
      </c>
      <c r="V282" s="7">
        <v>0.0</v>
      </c>
      <c r="W282" s="7">
        <v>0.0</v>
      </c>
      <c r="X282" s="7" t="s">
        <v>810</v>
      </c>
      <c r="Y282" s="24" t="s">
        <v>702</v>
      </c>
      <c r="AA282" s="50"/>
      <c r="AB282" s="50"/>
      <c r="AC282" s="50"/>
    </row>
    <row r="283">
      <c r="A283" s="7" t="s">
        <v>473</v>
      </c>
      <c r="B283" s="7" t="s">
        <v>25</v>
      </c>
      <c r="C283" s="7" t="s">
        <v>55</v>
      </c>
      <c r="D283" s="7" t="s">
        <v>27</v>
      </c>
      <c r="E283" s="7">
        <v>15.0</v>
      </c>
      <c r="F283" s="7">
        <v>2008.0</v>
      </c>
      <c r="G283" s="7">
        <v>1.0</v>
      </c>
      <c r="H283" s="7">
        <v>0.0</v>
      </c>
      <c r="I283" s="7">
        <v>2.0</v>
      </c>
      <c r="J283" s="7">
        <v>0.0</v>
      </c>
      <c r="K283" s="7">
        <v>0.0</v>
      </c>
      <c r="L283" s="7">
        <v>0.0</v>
      </c>
      <c r="M283" s="7">
        <v>0.0</v>
      </c>
      <c r="N283" s="7">
        <v>0.0</v>
      </c>
      <c r="O283" s="7">
        <v>0.0</v>
      </c>
      <c r="P283" s="7">
        <v>0.0</v>
      </c>
      <c r="Q283" s="7">
        <v>0.0</v>
      </c>
      <c r="R283" s="7">
        <v>0.0</v>
      </c>
      <c r="S283" s="8">
        <v>0.0</v>
      </c>
      <c r="T283" s="7">
        <v>0.0</v>
      </c>
      <c r="U283" s="7">
        <v>0.0</v>
      </c>
      <c r="V283" s="7">
        <v>0.0</v>
      </c>
      <c r="W283" s="7">
        <v>0.0</v>
      </c>
      <c r="X283" s="7" t="s">
        <v>705</v>
      </c>
      <c r="Y283" s="24" t="s">
        <v>708</v>
      </c>
      <c r="AA283" s="50"/>
      <c r="AB283" s="50"/>
      <c r="AC283" s="50"/>
    </row>
    <row r="284">
      <c r="A284" s="7" t="s">
        <v>475</v>
      </c>
      <c r="B284" s="7" t="s">
        <v>65</v>
      </c>
      <c r="C284" s="7" t="s">
        <v>35</v>
      </c>
      <c r="D284" s="7" t="s">
        <v>128</v>
      </c>
      <c r="E284" s="7">
        <v>24.0</v>
      </c>
      <c r="F284" s="7">
        <v>1999.0</v>
      </c>
      <c r="G284" s="7">
        <v>14.0</v>
      </c>
      <c r="H284" s="7">
        <v>14.0</v>
      </c>
      <c r="I284" s="25">
        <v>1241.0</v>
      </c>
      <c r="J284" s="7">
        <v>13.8</v>
      </c>
      <c r="K284" s="7">
        <v>0.0</v>
      </c>
      <c r="L284" s="7">
        <v>2.0</v>
      </c>
      <c r="M284" s="7">
        <v>2.0</v>
      </c>
      <c r="N284" s="7">
        <v>0.0</v>
      </c>
      <c r="O284" s="7">
        <v>0.0</v>
      </c>
      <c r="P284" s="7">
        <v>0.0</v>
      </c>
      <c r="Q284" s="7">
        <v>7.0</v>
      </c>
      <c r="R284" s="7">
        <v>0.0</v>
      </c>
      <c r="S284" s="8">
        <v>0.0</v>
      </c>
      <c r="T284" s="7">
        <v>0.15</v>
      </c>
      <c r="U284" s="7">
        <v>0.15</v>
      </c>
      <c r="V284" s="7">
        <v>0.0</v>
      </c>
      <c r="W284" s="7">
        <v>0.15</v>
      </c>
      <c r="X284" s="7" t="s">
        <v>725</v>
      </c>
      <c r="Y284" s="7" t="s">
        <v>671</v>
      </c>
      <c r="AA284" s="50"/>
      <c r="AB284" s="50"/>
      <c r="AC284" s="50"/>
    </row>
    <row r="285">
      <c r="A285" s="7" t="s">
        <v>477</v>
      </c>
      <c r="B285" s="7" t="s">
        <v>25</v>
      </c>
      <c r="C285" s="7" t="s">
        <v>26</v>
      </c>
      <c r="D285" s="7" t="s">
        <v>31</v>
      </c>
      <c r="E285" s="7">
        <v>24.0</v>
      </c>
      <c r="F285" s="7">
        <v>1999.0</v>
      </c>
      <c r="G285" s="7">
        <v>22.0</v>
      </c>
      <c r="H285" s="7">
        <v>14.0</v>
      </c>
      <c r="I285" s="25">
        <v>1404.0</v>
      </c>
      <c r="J285" s="7">
        <v>15.6</v>
      </c>
      <c r="K285" s="7">
        <v>2.0</v>
      </c>
      <c r="L285" s="7">
        <v>3.0</v>
      </c>
      <c r="M285" s="7">
        <v>5.0</v>
      </c>
      <c r="N285" s="7">
        <v>2.0</v>
      </c>
      <c r="O285" s="7">
        <v>0.0</v>
      </c>
      <c r="P285" s="7">
        <v>0.0</v>
      </c>
      <c r="Q285" s="7">
        <v>2.0</v>
      </c>
      <c r="R285" s="7">
        <v>0.0</v>
      </c>
      <c r="S285" s="8">
        <v>0.13</v>
      </c>
      <c r="T285" s="7">
        <v>0.19</v>
      </c>
      <c r="U285" s="7">
        <v>0.32</v>
      </c>
      <c r="V285" s="7">
        <v>0.13</v>
      </c>
      <c r="W285" s="7">
        <v>0.32</v>
      </c>
      <c r="X285" s="7" t="s">
        <v>678</v>
      </c>
      <c r="Y285" s="7" t="s">
        <v>732</v>
      </c>
      <c r="AA285" s="50"/>
      <c r="AB285" s="50"/>
      <c r="AC285" s="50"/>
    </row>
    <row r="286">
      <c r="A286" s="7" t="s">
        <v>479</v>
      </c>
      <c r="B286" s="7" t="s">
        <v>25</v>
      </c>
      <c r="C286" s="7" t="s">
        <v>26</v>
      </c>
      <c r="D286" s="7" t="s">
        <v>128</v>
      </c>
      <c r="E286" s="7">
        <v>23.0</v>
      </c>
      <c r="F286" s="7">
        <v>2000.0</v>
      </c>
      <c r="G286" s="7">
        <v>35.0</v>
      </c>
      <c r="H286" s="7">
        <v>35.0</v>
      </c>
      <c r="I286" s="25">
        <v>3124.0</v>
      </c>
      <c r="J286" s="7">
        <v>34.7</v>
      </c>
      <c r="K286" s="7">
        <v>1.0</v>
      </c>
      <c r="L286" s="7">
        <v>1.0</v>
      </c>
      <c r="M286" s="7">
        <v>2.0</v>
      </c>
      <c r="N286" s="7">
        <v>1.0</v>
      </c>
      <c r="O286" s="7">
        <v>0.0</v>
      </c>
      <c r="P286" s="7">
        <v>0.0</v>
      </c>
      <c r="Q286" s="7">
        <v>13.0</v>
      </c>
      <c r="R286" s="7">
        <v>0.0</v>
      </c>
      <c r="S286" s="8">
        <v>0.03</v>
      </c>
      <c r="T286" s="7">
        <v>0.03</v>
      </c>
      <c r="U286" s="7">
        <v>0.06</v>
      </c>
      <c r="V286" s="7">
        <v>0.03</v>
      </c>
      <c r="W286" s="7">
        <v>0.06</v>
      </c>
      <c r="X286" s="7" t="s">
        <v>810</v>
      </c>
      <c r="Y286" s="24" t="s">
        <v>691</v>
      </c>
      <c r="AA286" s="50"/>
      <c r="AB286" s="50"/>
      <c r="AC286" s="50"/>
    </row>
    <row r="287">
      <c r="A287" s="7" t="s">
        <v>481</v>
      </c>
      <c r="B287" s="7" t="s">
        <v>25</v>
      </c>
      <c r="C287" s="7" t="s">
        <v>26</v>
      </c>
      <c r="D287" s="7" t="s">
        <v>98</v>
      </c>
      <c r="E287" s="7">
        <v>24.0</v>
      </c>
      <c r="F287" s="7">
        <v>2000.0</v>
      </c>
      <c r="G287" s="7">
        <v>19.0</v>
      </c>
      <c r="H287" s="7">
        <v>6.0</v>
      </c>
      <c r="I287" s="7">
        <v>689.0</v>
      </c>
      <c r="J287" s="7">
        <v>7.7</v>
      </c>
      <c r="K287" s="7">
        <v>1.0</v>
      </c>
      <c r="L287" s="7">
        <v>0.0</v>
      </c>
      <c r="M287" s="7">
        <v>1.0</v>
      </c>
      <c r="N287" s="7">
        <v>1.0</v>
      </c>
      <c r="O287" s="7">
        <v>0.0</v>
      </c>
      <c r="P287" s="7">
        <v>0.0</v>
      </c>
      <c r="Q287" s="7">
        <v>7.0</v>
      </c>
      <c r="R287" s="7">
        <v>0.0</v>
      </c>
      <c r="S287" s="8">
        <v>0.13</v>
      </c>
      <c r="T287" s="7">
        <v>0.0</v>
      </c>
      <c r="U287" s="7">
        <v>0.13</v>
      </c>
      <c r="V287" s="7">
        <v>0.13</v>
      </c>
      <c r="W287" s="7">
        <v>0.13</v>
      </c>
      <c r="X287" s="7" t="s">
        <v>718</v>
      </c>
      <c r="Y287" s="24" t="s">
        <v>702</v>
      </c>
      <c r="AA287" s="50"/>
      <c r="AB287" s="50"/>
      <c r="AC287" s="50"/>
    </row>
    <row r="288">
      <c r="A288" s="7" t="s">
        <v>483</v>
      </c>
      <c r="B288" s="7" t="s">
        <v>25</v>
      </c>
      <c r="C288" s="7" t="s">
        <v>26</v>
      </c>
      <c r="D288" s="7" t="s">
        <v>44</v>
      </c>
      <c r="E288" s="7">
        <v>17.0</v>
      </c>
      <c r="F288" s="7">
        <v>2006.0</v>
      </c>
      <c r="G288" s="7">
        <v>5.0</v>
      </c>
      <c r="H288" s="7">
        <v>0.0</v>
      </c>
      <c r="I288" s="7">
        <v>49.0</v>
      </c>
      <c r="J288" s="7">
        <v>0.5</v>
      </c>
      <c r="K288" s="7">
        <v>0.0</v>
      </c>
      <c r="L288" s="7">
        <v>0.0</v>
      </c>
      <c r="M288" s="7">
        <v>0.0</v>
      </c>
      <c r="N288" s="7">
        <v>0.0</v>
      </c>
      <c r="O288" s="7">
        <v>0.0</v>
      </c>
      <c r="P288" s="7">
        <v>0.0</v>
      </c>
      <c r="Q288" s="7">
        <v>1.0</v>
      </c>
      <c r="R288" s="7">
        <v>0.0</v>
      </c>
      <c r="S288" s="8">
        <v>0.0</v>
      </c>
      <c r="T288" s="7">
        <v>0.0</v>
      </c>
      <c r="U288" s="7">
        <v>0.0</v>
      </c>
      <c r="V288" s="7">
        <v>0.0</v>
      </c>
      <c r="W288" s="7">
        <v>0.0</v>
      </c>
      <c r="X288" s="7" t="s">
        <v>693</v>
      </c>
      <c r="Y288" s="7" t="s">
        <v>731</v>
      </c>
      <c r="AA288" s="50"/>
      <c r="AB288" s="50"/>
      <c r="AC288" s="50"/>
    </row>
    <row r="289">
      <c r="A289" s="7" t="s">
        <v>485</v>
      </c>
      <c r="B289" s="7" t="s">
        <v>65</v>
      </c>
      <c r="C289" s="7" t="s">
        <v>55</v>
      </c>
      <c r="D289" s="7" t="s">
        <v>80</v>
      </c>
      <c r="E289" s="7">
        <v>19.0</v>
      </c>
      <c r="F289" s="7">
        <v>2004.0</v>
      </c>
      <c r="G289" s="7">
        <v>7.0</v>
      </c>
      <c r="H289" s="7">
        <v>0.0</v>
      </c>
      <c r="I289" s="7">
        <v>106.0</v>
      </c>
      <c r="J289" s="7">
        <v>1.2</v>
      </c>
      <c r="K289" s="7">
        <v>0.0</v>
      </c>
      <c r="L289" s="7">
        <v>0.0</v>
      </c>
      <c r="M289" s="7">
        <v>0.0</v>
      </c>
      <c r="N289" s="7">
        <v>0.0</v>
      </c>
      <c r="O289" s="7">
        <v>0.0</v>
      </c>
      <c r="P289" s="7">
        <v>0.0</v>
      </c>
      <c r="Q289" s="7">
        <v>1.0</v>
      </c>
      <c r="R289" s="7">
        <v>0.0</v>
      </c>
      <c r="S289" s="8">
        <v>0.0</v>
      </c>
      <c r="T289" s="7">
        <v>0.0</v>
      </c>
      <c r="U289" s="7">
        <v>0.0</v>
      </c>
      <c r="V289" s="7">
        <v>0.0</v>
      </c>
      <c r="W289" s="7">
        <v>0.0</v>
      </c>
      <c r="X289" s="7" t="s">
        <v>720</v>
      </c>
      <c r="Y289" s="24" t="s">
        <v>701</v>
      </c>
      <c r="AA289" s="50"/>
      <c r="AB289" s="50"/>
      <c r="AC289" s="50"/>
    </row>
    <row r="290">
      <c r="A290" s="7" t="s">
        <v>487</v>
      </c>
      <c r="B290" s="7" t="s">
        <v>97</v>
      </c>
      <c r="C290" s="7" t="s">
        <v>26</v>
      </c>
      <c r="D290" s="7" t="s">
        <v>36</v>
      </c>
      <c r="E290" s="7">
        <v>18.0</v>
      </c>
      <c r="F290" s="7">
        <v>2005.0</v>
      </c>
      <c r="G290" s="7">
        <v>18.0</v>
      </c>
      <c r="H290" s="7">
        <v>15.0</v>
      </c>
      <c r="I290" s="25">
        <v>1282.0</v>
      </c>
      <c r="J290" s="7">
        <v>14.2</v>
      </c>
      <c r="K290" s="7">
        <v>1.0</v>
      </c>
      <c r="L290" s="7">
        <v>1.0</v>
      </c>
      <c r="M290" s="7">
        <v>2.0</v>
      </c>
      <c r="N290" s="7">
        <v>1.0</v>
      </c>
      <c r="O290" s="7">
        <v>0.0</v>
      </c>
      <c r="P290" s="7">
        <v>0.0</v>
      </c>
      <c r="Q290" s="7">
        <v>5.0</v>
      </c>
      <c r="R290" s="7">
        <v>0.0</v>
      </c>
      <c r="S290" s="8">
        <v>0.07</v>
      </c>
      <c r="T290" s="7">
        <v>0.07</v>
      </c>
      <c r="U290" s="7">
        <v>0.14</v>
      </c>
      <c r="V290" s="7">
        <v>0.07</v>
      </c>
      <c r="W290" s="7">
        <v>0.14</v>
      </c>
      <c r="X290" s="7" t="s">
        <v>729</v>
      </c>
      <c r="Y290" s="7" t="s">
        <v>684</v>
      </c>
      <c r="AA290" s="50"/>
      <c r="AB290" s="50"/>
      <c r="AC290" s="50"/>
    </row>
    <row r="291">
      <c r="A291" s="7" t="s">
        <v>489</v>
      </c>
      <c r="B291" s="7" t="s">
        <v>157</v>
      </c>
      <c r="C291" s="7" t="s">
        <v>35</v>
      </c>
      <c r="D291" s="7" t="s">
        <v>128</v>
      </c>
      <c r="E291" s="7">
        <v>21.0</v>
      </c>
      <c r="F291" s="7">
        <v>2002.0</v>
      </c>
      <c r="G291" s="7">
        <v>35.0</v>
      </c>
      <c r="H291" s="7">
        <v>35.0</v>
      </c>
      <c r="I291" s="25">
        <v>3090.0</v>
      </c>
      <c r="J291" s="7">
        <v>34.3</v>
      </c>
      <c r="K291" s="7">
        <v>0.0</v>
      </c>
      <c r="L291" s="7">
        <v>2.0</v>
      </c>
      <c r="M291" s="7">
        <v>2.0</v>
      </c>
      <c r="N291" s="7">
        <v>0.0</v>
      </c>
      <c r="O291" s="7">
        <v>0.0</v>
      </c>
      <c r="P291" s="7">
        <v>0.0</v>
      </c>
      <c r="Q291" s="7">
        <v>8.0</v>
      </c>
      <c r="R291" s="7">
        <v>0.0</v>
      </c>
      <c r="S291" s="8">
        <v>0.0</v>
      </c>
      <c r="T291" s="7">
        <v>0.06</v>
      </c>
      <c r="U291" s="7">
        <v>0.06</v>
      </c>
      <c r="V291" s="7">
        <v>0.0</v>
      </c>
      <c r="W291" s="7">
        <v>0.06</v>
      </c>
      <c r="X291" s="7" t="s">
        <v>698</v>
      </c>
      <c r="Y291" s="7" t="s">
        <v>716</v>
      </c>
      <c r="AA291" s="50"/>
      <c r="AB291" s="50"/>
      <c r="AC291" s="50"/>
    </row>
    <row r="292">
      <c r="A292" s="7" t="s">
        <v>491</v>
      </c>
      <c r="B292" s="7" t="s">
        <v>25</v>
      </c>
      <c r="C292" s="7" t="s">
        <v>26</v>
      </c>
      <c r="D292" s="7" t="s">
        <v>128</v>
      </c>
      <c r="E292" s="7">
        <v>17.0</v>
      </c>
      <c r="F292" s="7">
        <v>2006.0</v>
      </c>
      <c r="G292" s="7">
        <v>22.0</v>
      </c>
      <c r="H292" s="7">
        <v>2.0</v>
      </c>
      <c r="I292" s="7">
        <v>593.0</v>
      </c>
      <c r="J292" s="7">
        <v>6.6</v>
      </c>
      <c r="K292" s="7">
        <v>0.0</v>
      </c>
      <c r="L292" s="7">
        <v>0.0</v>
      </c>
      <c r="M292" s="7">
        <v>0.0</v>
      </c>
      <c r="N292" s="7">
        <v>0.0</v>
      </c>
      <c r="O292" s="7">
        <v>0.0</v>
      </c>
      <c r="P292" s="7">
        <v>0.0</v>
      </c>
      <c r="Q292" s="7">
        <v>2.0</v>
      </c>
      <c r="R292" s="7">
        <v>0.0</v>
      </c>
      <c r="S292" s="8">
        <v>0.0</v>
      </c>
      <c r="T292" s="7">
        <v>0.0</v>
      </c>
      <c r="U292" s="7">
        <v>0.0</v>
      </c>
      <c r="V292" s="7">
        <v>0.0</v>
      </c>
      <c r="W292" s="7">
        <v>0.0</v>
      </c>
      <c r="X292" s="7" t="s">
        <v>673</v>
      </c>
      <c r="Y292" s="7" t="s">
        <v>711</v>
      </c>
      <c r="AA292" s="50"/>
      <c r="AB292" s="50"/>
      <c r="AC292" s="50"/>
    </row>
    <row r="293">
      <c r="A293" s="7" t="s">
        <v>493</v>
      </c>
      <c r="B293" s="7" t="s">
        <v>25</v>
      </c>
      <c r="C293" s="7" t="s">
        <v>35</v>
      </c>
      <c r="D293" s="7" t="s">
        <v>58</v>
      </c>
      <c r="E293" s="7">
        <v>30.0</v>
      </c>
      <c r="F293" s="7">
        <v>1993.0</v>
      </c>
      <c r="G293" s="7">
        <v>31.0</v>
      </c>
      <c r="H293" s="7">
        <v>31.0</v>
      </c>
      <c r="I293" s="25">
        <v>2762.0</v>
      </c>
      <c r="J293" s="7">
        <v>30.7</v>
      </c>
      <c r="K293" s="7">
        <v>0.0</v>
      </c>
      <c r="L293" s="7">
        <v>1.0</v>
      </c>
      <c r="M293" s="7">
        <v>1.0</v>
      </c>
      <c r="N293" s="7">
        <v>0.0</v>
      </c>
      <c r="O293" s="7">
        <v>0.0</v>
      </c>
      <c r="P293" s="7">
        <v>0.0</v>
      </c>
      <c r="Q293" s="7">
        <v>12.0</v>
      </c>
      <c r="R293" s="7">
        <v>1.0</v>
      </c>
      <c r="S293" s="8">
        <v>0.0</v>
      </c>
      <c r="T293" s="7">
        <v>0.03</v>
      </c>
      <c r="U293" s="7">
        <v>0.03</v>
      </c>
      <c r="V293" s="7">
        <v>0.0</v>
      </c>
      <c r="W293" s="7">
        <v>0.03</v>
      </c>
      <c r="X293" s="7" t="s">
        <v>688</v>
      </c>
      <c r="Y293" s="7" t="s">
        <v>687</v>
      </c>
      <c r="AA293" s="50"/>
      <c r="AB293" s="50"/>
      <c r="AC293" s="50"/>
    </row>
    <row r="294">
      <c r="A294" s="7" t="s">
        <v>495</v>
      </c>
      <c r="B294" s="7" t="s">
        <v>25</v>
      </c>
      <c r="C294" s="7" t="s">
        <v>35</v>
      </c>
      <c r="D294" s="7" t="s">
        <v>44</v>
      </c>
      <c r="E294" s="7">
        <v>25.0</v>
      </c>
      <c r="F294" s="7">
        <v>1998.0</v>
      </c>
      <c r="G294" s="7">
        <v>33.0</v>
      </c>
      <c r="H294" s="7">
        <v>31.0</v>
      </c>
      <c r="I294" s="25">
        <v>2769.0</v>
      </c>
      <c r="J294" s="7">
        <v>30.8</v>
      </c>
      <c r="K294" s="7">
        <v>0.0</v>
      </c>
      <c r="L294" s="7">
        <v>1.0</v>
      </c>
      <c r="M294" s="7">
        <v>1.0</v>
      </c>
      <c r="N294" s="7">
        <v>0.0</v>
      </c>
      <c r="O294" s="7">
        <v>0.0</v>
      </c>
      <c r="P294" s="7">
        <v>0.0</v>
      </c>
      <c r="Q294" s="7">
        <v>9.0</v>
      </c>
      <c r="R294" s="7">
        <v>0.0</v>
      </c>
      <c r="S294" s="8">
        <v>0.0</v>
      </c>
      <c r="T294" s="7">
        <v>0.03</v>
      </c>
      <c r="U294" s="7">
        <v>0.03</v>
      </c>
      <c r="V294" s="7">
        <v>0.0</v>
      </c>
      <c r="W294" s="7">
        <v>0.03</v>
      </c>
      <c r="X294" s="7" t="s">
        <v>688</v>
      </c>
      <c r="Y294" s="7" t="s">
        <v>695</v>
      </c>
      <c r="AA294" s="50"/>
      <c r="AB294" s="50"/>
      <c r="AC294" s="50"/>
    </row>
    <row r="295">
      <c r="A295" s="7" t="s">
        <v>497</v>
      </c>
      <c r="B295" s="7" t="s">
        <v>25</v>
      </c>
      <c r="C295" s="7" t="s">
        <v>55</v>
      </c>
      <c r="D295" s="7" t="s">
        <v>98</v>
      </c>
      <c r="E295" s="7">
        <v>35.0</v>
      </c>
      <c r="F295" s="7">
        <v>1988.0</v>
      </c>
      <c r="G295" s="7">
        <v>36.0</v>
      </c>
      <c r="H295" s="7">
        <v>36.0</v>
      </c>
      <c r="I295" s="25">
        <v>3230.0</v>
      </c>
      <c r="J295" s="7">
        <v>35.9</v>
      </c>
      <c r="K295" s="7">
        <v>14.0</v>
      </c>
      <c r="L295" s="7">
        <v>2.0</v>
      </c>
      <c r="M295" s="7">
        <v>16.0</v>
      </c>
      <c r="N295" s="7">
        <v>12.0</v>
      </c>
      <c r="O295" s="7">
        <v>2.0</v>
      </c>
      <c r="P295" s="7">
        <v>3.0</v>
      </c>
      <c r="Q295" s="7">
        <v>1.0</v>
      </c>
      <c r="R295" s="7">
        <v>0.0</v>
      </c>
      <c r="S295" s="8">
        <v>0.39</v>
      </c>
      <c r="T295" s="7">
        <v>0.06</v>
      </c>
      <c r="U295" s="7">
        <v>0.45</v>
      </c>
      <c r="V295" s="7">
        <v>0.33</v>
      </c>
      <c r="W295" s="7">
        <v>0.39</v>
      </c>
      <c r="X295" s="7" t="s">
        <v>693</v>
      </c>
      <c r="Y295" s="7" t="s">
        <v>716</v>
      </c>
      <c r="AA295" s="50"/>
      <c r="AB295" s="50"/>
      <c r="AC295" s="50"/>
    </row>
    <row r="296">
      <c r="A296" s="7" t="s">
        <v>499</v>
      </c>
      <c r="B296" s="7" t="s">
        <v>43</v>
      </c>
      <c r="C296" s="7" t="s">
        <v>30</v>
      </c>
      <c r="D296" s="7" t="s">
        <v>62</v>
      </c>
      <c r="E296" s="7">
        <v>25.0</v>
      </c>
      <c r="F296" s="7">
        <v>1998.0</v>
      </c>
      <c r="G296" s="7">
        <v>32.0</v>
      </c>
      <c r="H296" s="7">
        <v>18.0</v>
      </c>
      <c r="I296" s="25">
        <v>1723.0</v>
      </c>
      <c r="J296" s="7">
        <v>19.1</v>
      </c>
      <c r="K296" s="7">
        <v>4.0</v>
      </c>
      <c r="L296" s="7">
        <v>3.0</v>
      </c>
      <c r="M296" s="7">
        <v>7.0</v>
      </c>
      <c r="N296" s="7">
        <v>4.0</v>
      </c>
      <c r="O296" s="7">
        <v>0.0</v>
      </c>
      <c r="P296" s="7">
        <v>0.0</v>
      </c>
      <c r="Q296" s="7">
        <v>4.0</v>
      </c>
      <c r="R296" s="7">
        <v>0.0</v>
      </c>
      <c r="S296" s="8">
        <v>0.21</v>
      </c>
      <c r="T296" s="7">
        <v>0.16</v>
      </c>
      <c r="U296" s="7">
        <v>0.37</v>
      </c>
      <c r="V296" s="7">
        <v>0.21</v>
      </c>
      <c r="W296" s="7">
        <v>0.37</v>
      </c>
      <c r="X296" s="7" t="s">
        <v>810</v>
      </c>
      <c r="Y296" s="24" t="s">
        <v>700</v>
      </c>
      <c r="AA296" s="50"/>
      <c r="AB296" s="50"/>
      <c r="AC296" s="50"/>
    </row>
    <row r="297">
      <c r="A297" s="7" t="s">
        <v>501</v>
      </c>
      <c r="B297" s="7" t="s">
        <v>25</v>
      </c>
      <c r="C297" s="7" t="s">
        <v>55</v>
      </c>
      <c r="D297" s="7" t="s">
        <v>52</v>
      </c>
      <c r="E297" s="7">
        <v>32.0</v>
      </c>
      <c r="F297" s="7">
        <v>1991.0</v>
      </c>
      <c r="G297" s="7">
        <v>30.0</v>
      </c>
      <c r="H297" s="7">
        <v>27.0</v>
      </c>
      <c r="I297" s="25">
        <v>2352.0</v>
      </c>
      <c r="J297" s="7">
        <v>26.1</v>
      </c>
      <c r="K297" s="7">
        <v>14.0</v>
      </c>
      <c r="L297" s="7">
        <v>3.0</v>
      </c>
      <c r="M297" s="7">
        <v>17.0</v>
      </c>
      <c r="N297" s="7">
        <v>11.0</v>
      </c>
      <c r="O297" s="7">
        <v>3.0</v>
      </c>
      <c r="P297" s="7">
        <v>3.0</v>
      </c>
      <c r="Q297" s="7">
        <v>6.0</v>
      </c>
      <c r="R297" s="7">
        <v>0.0</v>
      </c>
      <c r="S297" s="8">
        <v>0.54</v>
      </c>
      <c r="T297" s="7">
        <v>0.11</v>
      </c>
      <c r="U297" s="7">
        <v>0.65</v>
      </c>
      <c r="V297" s="7">
        <v>0.42</v>
      </c>
      <c r="W297" s="7">
        <v>0.54</v>
      </c>
      <c r="X297" s="7" t="s">
        <v>685</v>
      </c>
      <c r="Y297" s="7" t="s">
        <v>668</v>
      </c>
      <c r="AA297" s="50"/>
      <c r="AB297" s="50"/>
      <c r="AC297" s="50"/>
    </row>
    <row r="298">
      <c r="A298" s="7" t="s">
        <v>503</v>
      </c>
      <c r="B298" s="7" t="s">
        <v>25</v>
      </c>
      <c r="C298" s="7" t="s">
        <v>26</v>
      </c>
      <c r="D298" s="7" t="s">
        <v>52</v>
      </c>
      <c r="E298" s="7">
        <v>31.0</v>
      </c>
      <c r="F298" s="7">
        <v>1992.0</v>
      </c>
      <c r="G298" s="7">
        <v>13.0</v>
      </c>
      <c r="H298" s="7">
        <v>3.0</v>
      </c>
      <c r="I298" s="7">
        <v>502.0</v>
      </c>
      <c r="J298" s="7">
        <v>5.6</v>
      </c>
      <c r="K298" s="7">
        <v>0.0</v>
      </c>
      <c r="L298" s="7">
        <v>1.0</v>
      </c>
      <c r="M298" s="7">
        <v>1.0</v>
      </c>
      <c r="N298" s="7">
        <v>0.0</v>
      </c>
      <c r="O298" s="7">
        <v>0.0</v>
      </c>
      <c r="P298" s="7">
        <v>0.0</v>
      </c>
      <c r="Q298" s="7">
        <v>0.0</v>
      </c>
      <c r="R298" s="7">
        <v>0.0</v>
      </c>
      <c r="S298" s="8">
        <v>0.0</v>
      </c>
      <c r="T298" s="7">
        <v>0.18</v>
      </c>
      <c r="U298" s="7">
        <v>0.18</v>
      </c>
      <c r="V298" s="7">
        <v>0.0</v>
      </c>
      <c r="W298" s="7">
        <v>0.18</v>
      </c>
      <c r="X298" s="7" t="s">
        <v>690</v>
      </c>
      <c r="Y298" s="7" t="s">
        <v>671</v>
      </c>
      <c r="AA298" s="50"/>
      <c r="AB298" s="50"/>
      <c r="AC298" s="50"/>
    </row>
    <row r="299">
      <c r="A299" s="7" t="s">
        <v>505</v>
      </c>
      <c r="B299" s="7" t="s">
        <v>25</v>
      </c>
      <c r="C299" s="7" t="s">
        <v>26</v>
      </c>
      <c r="D299" s="7" t="s">
        <v>80</v>
      </c>
      <c r="E299" s="7">
        <v>25.0</v>
      </c>
      <c r="F299" s="7">
        <v>1998.0</v>
      </c>
      <c r="G299" s="7">
        <v>19.0</v>
      </c>
      <c r="H299" s="7">
        <v>15.0</v>
      </c>
      <c r="I299" s="25">
        <v>1137.0</v>
      </c>
      <c r="J299" s="7">
        <v>12.6</v>
      </c>
      <c r="K299" s="7">
        <v>0.0</v>
      </c>
      <c r="L299" s="7">
        <v>1.0</v>
      </c>
      <c r="M299" s="7">
        <v>1.0</v>
      </c>
      <c r="N299" s="7">
        <v>0.0</v>
      </c>
      <c r="O299" s="7">
        <v>0.0</v>
      </c>
      <c r="P299" s="7">
        <v>0.0</v>
      </c>
      <c r="Q299" s="7">
        <v>6.0</v>
      </c>
      <c r="R299" s="7">
        <v>0.0</v>
      </c>
      <c r="S299" s="8">
        <v>0.0</v>
      </c>
      <c r="T299" s="7">
        <v>0.08</v>
      </c>
      <c r="U299" s="7">
        <v>0.08</v>
      </c>
      <c r="V299" s="7">
        <v>0.0</v>
      </c>
      <c r="W299" s="7">
        <v>0.08</v>
      </c>
      <c r="X299" s="7" t="s">
        <v>709</v>
      </c>
      <c r="Y299" s="7" t="s">
        <v>668</v>
      </c>
      <c r="AA299" s="50"/>
      <c r="AB299" s="50"/>
      <c r="AC299" s="50"/>
    </row>
    <row r="300">
      <c r="A300" s="7" t="s">
        <v>507</v>
      </c>
      <c r="B300" s="7" t="s">
        <v>70</v>
      </c>
      <c r="C300" s="7" t="s">
        <v>26</v>
      </c>
      <c r="D300" s="7" t="s">
        <v>52</v>
      </c>
      <c r="E300" s="7">
        <v>27.0</v>
      </c>
      <c r="F300" s="7">
        <v>1996.0</v>
      </c>
      <c r="G300" s="7">
        <v>36.0</v>
      </c>
      <c r="H300" s="7">
        <v>35.0</v>
      </c>
      <c r="I300" s="25">
        <v>2979.0</v>
      </c>
      <c r="J300" s="7">
        <v>33.1</v>
      </c>
      <c r="K300" s="7">
        <v>3.0</v>
      </c>
      <c r="L300" s="7">
        <v>5.0</v>
      </c>
      <c r="M300" s="7">
        <v>8.0</v>
      </c>
      <c r="N300" s="7">
        <v>3.0</v>
      </c>
      <c r="O300" s="7">
        <v>0.0</v>
      </c>
      <c r="P300" s="7">
        <v>0.0</v>
      </c>
      <c r="Q300" s="7">
        <v>6.0</v>
      </c>
      <c r="R300" s="7">
        <v>0.0</v>
      </c>
      <c r="S300" s="8">
        <v>0.09</v>
      </c>
      <c r="T300" s="7">
        <v>0.15</v>
      </c>
      <c r="U300" s="7">
        <v>0.24</v>
      </c>
      <c r="V300" s="7">
        <v>0.09</v>
      </c>
      <c r="W300" s="7">
        <v>0.24</v>
      </c>
      <c r="X300" s="7" t="s">
        <v>682</v>
      </c>
      <c r="Y300" s="7" t="s">
        <v>689</v>
      </c>
      <c r="AA300" s="50"/>
      <c r="AB300" s="50"/>
      <c r="AC300" s="50"/>
    </row>
    <row r="301">
      <c r="A301" s="7" t="s">
        <v>509</v>
      </c>
      <c r="B301" s="7" t="s">
        <v>510</v>
      </c>
      <c r="C301" s="7" t="s">
        <v>35</v>
      </c>
      <c r="D301" s="7" t="s">
        <v>31</v>
      </c>
      <c r="E301" s="7">
        <v>31.0</v>
      </c>
      <c r="F301" s="7">
        <v>1992.0</v>
      </c>
      <c r="G301" s="7">
        <v>33.0</v>
      </c>
      <c r="H301" s="7">
        <v>31.0</v>
      </c>
      <c r="I301" s="25">
        <v>2818.0</v>
      </c>
      <c r="J301" s="7">
        <v>31.3</v>
      </c>
      <c r="K301" s="7">
        <v>1.0</v>
      </c>
      <c r="L301" s="7">
        <v>0.0</v>
      </c>
      <c r="M301" s="7">
        <v>1.0</v>
      </c>
      <c r="N301" s="7">
        <v>1.0</v>
      </c>
      <c r="O301" s="7">
        <v>0.0</v>
      </c>
      <c r="P301" s="7">
        <v>0.0</v>
      </c>
      <c r="Q301" s="7">
        <v>10.0</v>
      </c>
      <c r="R301" s="7">
        <v>1.0</v>
      </c>
      <c r="S301" s="8">
        <v>0.03</v>
      </c>
      <c r="T301" s="7">
        <v>0.0</v>
      </c>
      <c r="U301" s="7">
        <v>0.03</v>
      </c>
      <c r="V301" s="7">
        <v>0.03</v>
      </c>
      <c r="W301" s="7">
        <v>0.03</v>
      </c>
      <c r="X301" s="7" t="s">
        <v>690</v>
      </c>
      <c r="Y301" s="7" t="s">
        <v>695</v>
      </c>
      <c r="AA301" s="50"/>
      <c r="AB301" s="50"/>
      <c r="AC301" s="50"/>
    </row>
    <row r="302">
      <c r="A302" s="7" t="s">
        <v>512</v>
      </c>
      <c r="B302" s="7" t="s">
        <v>34</v>
      </c>
      <c r="C302" s="7" t="s">
        <v>47</v>
      </c>
      <c r="D302" s="7" t="s">
        <v>58</v>
      </c>
      <c r="E302" s="7">
        <v>23.0</v>
      </c>
      <c r="F302" s="7">
        <v>2001.0</v>
      </c>
      <c r="G302" s="7">
        <v>10.0</v>
      </c>
      <c r="H302" s="7">
        <v>7.0</v>
      </c>
      <c r="I302" s="7">
        <v>573.0</v>
      </c>
      <c r="J302" s="7">
        <v>6.4</v>
      </c>
      <c r="K302" s="7">
        <v>2.0</v>
      </c>
      <c r="L302" s="7">
        <v>0.0</v>
      </c>
      <c r="M302" s="7">
        <v>2.0</v>
      </c>
      <c r="N302" s="7">
        <v>2.0</v>
      </c>
      <c r="O302" s="7">
        <v>0.0</v>
      </c>
      <c r="P302" s="7">
        <v>0.0</v>
      </c>
      <c r="Q302" s="7">
        <v>0.0</v>
      </c>
      <c r="R302" s="7">
        <v>0.0</v>
      </c>
      <c r="S302" s="8">
        <v>0.31</v>
      </c>
      <c r="T302" s="7">
        <v>0.0</v>
      </c>
      <c r="U302" s="7">
        <v>0.31</v>
      </c>
      <c r="V302" s="7">
        <v>0.31</v>
      </c>
      <c r="W302" s="7">
        <v>0.31</v>
      </c>
      <c r="X302" s="7" t="s">
        <v>678</v>
      </c>
      <c r="Y302" s="24" t="s">
        <v>677</v>
      </c>
      <c r="AA302" s="50"/>
      <c r="AB302" s="50"/>
      <c r="AC302" s="50"/>
    </row>
    <row r="303">
      <c r="A303" s="7" t="s">
        <v>514</v>
      </c>
      <c r="B303" s="7" t="s">
        <v>34</v>
      </c>
      <c r="C303" s="7" t="s">
        <v>35</v>
      </c>
      <c r="D303" s="7" t="s">
        <v>128</v>
      </c>
      <c r="E303" s="7">
        <v>23.0</v>
      </c>
      <c r="F303" s="7">
        <v>2000.0</v>
      </c>
      <c r="G303" s="7">
        <v>36.0</v>
      </c>
      <c r="H303" s="7">
        <v>36.0</v>
      </c>
      <c r="I303" s="25">
        <v>3220.0</v>
      </c>
      <c r="J303" s="7">
        <v>35.8</v>
      </c>
      <c r="K303" s="7">
        <v>2.0</v>
      </c>
      <c r="L303" s="7">
        <v>1.0</v>
      </c>
      <c r="M303" s="7">
        <v>3.0</v>
      </c>
      <c r="N303" s="7">
        <v>2.0</v>
      </c>
      <c r="O303" s="7">
        <v>0.0</v>
      </c>
      <c r="P303" s="7">
        <v>0.0</v>
      </c>
      <c r="Q303" s="7">
        <v>7.0</v>
      </c>
      <c r="R303" s="7">
        <v>0.0</v>
      </c>
      <c r="S303" s="8">
        <v>0.06</v>
      </c>
      <c r="T303" s="7">
        <v>0.03</v>
      </c>
      <c r="U303" s="7">
        <v>0.08</v>
      </c>
      <c r="V303" s="7">
        <v>0.06</v>
      </c>
      <c r="W303" s="7">
        <v>0.08</v>
      </c>
      <c r="X303" s="7" t="s">
        <v>729</v>
      </c>
      <c r="Y303" s="7" t="s">
        <v>707</v>
      </c>
      <c r="AA303" s="50"/>
      <c r="AB303" s="50"/>
      <c r="AC303" s="50"/>
    </row>
    <row r="304">
      <c r="A304" s="7" t="s">
        <v>516</v>
      </c>
      <c r="B304" s="7" t="s">
        <v>25</v>
      </c>
      <c r="C304" s="7" t="s">
        <v>83</v>
      </c>
      <c r="D304" s="7" t="s">
        <v>62</v>
      </c>
      <c r="E304" s="7">
        <v>27.0</v>
      </c>
      <c r="F304" s="7">
        <v>1996.0</v>
      </c>
      <c r="G304" s="7">
        <v>13.0</v>
      </c>
      <c r="H304" s="7">
        <v>8.0</v>
      </c>
      <c r="I304" s="7">
        <v>660.0</v>
      </c>
      <c r="J304" s="7">
        <v>7.3</v>
      </c>
      <c r="K304" s="7">
        <v>0.0</v>
      </c>
      <c r="L304" s="7">
        <v>1.0</v>
      </c>
      <c r="M304" s="7">
        <v>1.0</v>
      </c>
      <c r="N304" s="7">
        <v>0.0</v>
      </c>
      <c r="O304" s="7">
        <v>0.0</v>
      </c>
      <c r="P304" s="7">
        <v>0.0</v>
      </c>
      <c r="Q304" s="7">
        <v>0.0</v>
      </c>
      <c r="R304" s="7">
        <v>0.0</v>
      </c>
      <c r="S304" s="8">
        <v>0.0</v>
      </c>
      <c r="T304" s="7">
        <v>0.14</v>
      </c>
      <c r="U304" s="7">
        <v>0.14</v>
      </c>
      <c r="V304" s="7">
        <v>0.0</v>
      </c>
      <c r="W304" s="7">
        <v>0.14</v>
      </c>
      <c r="X304" s="7" t="s">
        <v>704</v>
      </c>
      <c r="Y304" s="7" t="s">
        <v>695</v>
      </c>
      <c r="AA304" s="50"/>
      <c r="AB304" s="50"/>
      <c r="AC304" s="50"/>
    </row>
    <row r="305">
      <c r="A305" s="7" t="s">
        <v>518</v>
      </c>
      <c r="B305" s="7" t="s">
        <v>393</v>
      </c>
      <c r="C305" s="7" t="s">
        <v>47</v>
      </c>
      <c r="D305" s="7" t="s">
        <v>128</v>
      </c>
      <c r="E305" s="7">
        <v>23.0</v>
      </c>
      <c r="F305" s="7">
        <v>2001.0</v>
      </c>
      <c r="G305" s="7">
        <v>11.0</v>
      </c>
      <c r="H305" s="7">
        <v>2.0</v>
      </c>
      <c r="I305" s="7">
        <v>345.0</v>
      </c>
      <c r="J305" s="7">
        <v>3.8</v>
      </c>
      <c r="K305" s="7">
        <v>0.0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Q305" s="7">
        <v>2.0</v>
      </c>
      <c r="R305" s="7">
        <v>0.0</v>
      </c>
      <c r="S305" s="8">
        <v>0.0</v>
      </c>
      <c r="T305" s="7">
        <v>0.0</v>
      </c>
      <c r="U305" s="7">
        <v>0.0</v>
      </c>
      <c r="V305" s="7">
        <v>0.0</v>
      </c>
      <c r="W305" s="7">
        <v>0.0</v>
      </c>
      <c r="X305" s="7" t="s">
        <v>678</v>
      </c>
      <c r="Y305" s="7" t="s">
        <v>695</v>
      </c>
      <c r="AA305" s="50"/>
      <c r="AB305" s="50"/>
      <c r="AC305" s="50"/>
    </row>
    <row r="306">
      <c r="A306" s="7" t="s">
        <v>520</v>
      </c>
      <c r="B306" s="7" t="s">
        <v>25</v>
      </c>
      <c r="C306" s="7" t="s">
        <v>26</v>
      </c>
      <c r="D306" s="7" t="s">
        <v>44</v>
      </c>
      <c r="E306" s="7">
        <v>17.0</v>
      </c>
      <c r="F306" s="7">
        <v>2006.0</v>
      </c>
      <c r="G306" s="7">
        <v>1.0</v>
      </c>
      <c r="H306" s="7">
        <v>0.0</v>
      </c>
      <c r="I306" s="7">
        <v>26.0</v>
      </c>
      <c r="J306" s="7">
        <v>0.3</v>
      </c>
      <c r="K306" s="7">
        <v>0.0</v>
      </c>
      <c r="L306" s="7">
        <v>0.0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0.0</v>
      </c>
      <c r="S306" s="8">
        <v>0.0</v>
      </c>
      <c r="T306" s="7">
        <v>0.0</v>
      </c>
      <c r="U306" s="7">
        <v>0.0</v>
      </c>
      <c r="V306" s="7">
        <v>0.0</v>
      </c>
      <c r="W306" s="7">
        <v>0.0</v>
      </c>
      <c r="X306" s="7" t="s">
        <v>810</v>
      </c>
      <c r="Y306" s="24" t="s">
        <v>700</v>
      </c>
      <c r="AA306" s="50"/>
      <c r="AB306" s="50"/>
      <c r="AC306" s="50"/>
    </row>
    <row r="307">
      <c r="A307" s="7" t="s">
        <v>522</v>
      </c>
      <c r="B307" s="7" t="s">
        <v>34</v>
      </c>
      <c r="C307" s="7" t="s">
        <v>77</v>
      </c>
      <c r="D307" s="7" t="s">
        <v>128</v>
      </c>
      <c r="E307" s="7">
        <v>39.0</v>
      </c>
      <c r="F307" s="7">
        <v>1984.0</v>
      </c>
      <c r="G307" s="7">
        <v>1.0</v>
      </c>
      <c r="H307" s="7">
        <v>0.0</v>
      </c>
      <c r="I307" s="7">
        <v>9.0</v>
      </c>
      <c r="J307" s="7">
        <v>0.1</v>
      </c>
      <c r="K307" s="7">
        <v>0.0</v>
      </c>
      <c r="L307" s="7">
        <v>0.0</v>
      </c>
      <c r="M307" s="7">
        <v>0.0</v>
      </c>
      <c r="N307" s="7">
        <v>0.0</v>
      </c>
      <c r="O307" s="7">
        <v>0.0</v>
      </c>
      <c r="P307" s="7">
        <v>0.0</v>
      </c>
      <c r="Q307" s="7">
        <v>0.0</v>
      </c>
      <c r="R307" s="7">
        <v>0.0</v>
      </c>
      <c r="S307" s="8">
        <v>0.0</v>
      </c>
      <c r="T307" s="7">
        <v>0.0</v>
      </c>
      <c r="U307" s="7">
        <v>0.0</v>
      </c>
      <c r="V307" s="7">
        <v>0.0</v>
      </c>
      <c r="W307" s="7">
        <v>0.0</v>
      </c>
      <c r="X307" s="7" t="s">
        <v>719</v>
      </c>
      <c r="Y307" s="7" t="s">
        <v>668</v>
      </c>
      <c r="AA307" s="50"/>
      <c r="AB307" s="50"/>
      <c r="AC307" s="50"/>
    </row>
    <row r="308">
      <c r="A308" s="7" t="s">
        <v>524</v>
      </c>
      <c r="B308" s="7" t="s">
        <v>25</v>
      </c>
      <c r="C308" s="7" t="s">
        <v>47</v>
      </c>
      <c r="D308" s="7" t="s">
        <v>31</v>
      </c>
      <c r="E308" s="7">
        <v>32.0</v>
      </c>
      <c r="F308" s="7">
        <v>1991.0</v>
      </c>
      <c r="G308" s="7">
        <v>14.0</v>
      </c>
      <c r="H308" s="7">
        <v>6.0</v>
      </c>
      <c r="I308" s="7">
        <v>561.0</v>
      </c>
      <c r="J308" s="7">
        <v>6.2</v>
      </c>
      <c r="K308" s="7">
        <v>1.0</v>
      </c>
      <c r="L308" s="7">
        <v>0.0</v>
      </c>
      <c r="M308" s="7">
        <v>1.0</v>
      </c>
      <c r="N308" s="7">
        <v>1.0</v>
      </c>
      <c r="O308" s="7">
        <v>0.0</v>
      </c>
      <c r="P308" s="7">
        <v>0.0</v>
      </c>
      <c r="Q308" s="7">
        <v>2.0</v>
      </c>
      <c r="R308" s="7">
        <v>0.0</v>
      </c>
      <c r="S308" s="8">
        <v>0.16</v>
      </c>
      <c r="T308" s="7">
        <v>0.0</v>
      </c>
      <c r="U308" s="7">
        <v>0.16</v>
      </c>
      <c r="V308" s="7">
        <v>0.16</v>
      </c>
      <c r="W308" s="7">
        <v>0.16</v>
      </c>
      <c r="X308" s="7" t="s">
        <v>688</v>
      </c>
      <c r="Y308" s="24" t="s">
        <v>697</v>
      </c>
      <c r="AA308" s="50"/>
      <c r="AB308" s="50"/>
      <c r="AC308" s="50"/>
    </row>
    <row r="309">
      <c r="A309" s="7" t="s">
        <v>526</v>
      </c>
      <c r="B309" s="7" t="s">
        <v>25</v>
      </c>
      <c r="C309" s="7" t="s">
        <v>35</v>
      </c>
      <c r="D309" s="7" t="s">
        <v>44</v>
      </c>
      <c r="E309" s="7">
        <v>29.0</v>
      </c>
      <c r="F309" s="7">
        <v>1994.0</v>
      </c>
      <c r="G309" s="7">
        <v>1.0</v>
      </c>
      <c r="H309" s="7">
        <v>1.0</v>
      </c>
      <c r="I309" s="7">
        <v>33.0</v>
      </c>
      <c r="J309" s="7">
        <v>0.4</v>
      </c>
      <c r="K309" s="7">
        <v>0.0</v>
      </c>
      <c r="L309" s="7">
        <v>0.0</v>
      </c>
      <c r="M309" s="7">
        <v>0.0</v>
      </c>
      <c r="N309" s="7">
        <v>0.0</v>
      </c>
      <c r="O309" s="7">
        <v>0.0</v>
      </c>
      <c r="P309" s="7">
        <v>0.0</v>
      </c>
      <c r="Q309" s="7">
        <v>0.0</v>
      </c>
      <c r="R309" s="7">
        <v>0.0</v>
      </c>
      <c r="S309" s="8">
        <v>0.0</v>
      </c>
      <c r="T309" s="7">
        <v>0.0</v>
      </c>
      <c r="U309" s="7">
        <v>0.0</v>
      </c>
      <c r="V309" s="7">
        <v>0.0</v>
      </c>
      <c r="W309" s="7">
        <v>0.0</v>
      </c>
      <c r="X309" s="7" t="s">
        <v>685</v>
      </c>
      <c r="Y309" s="7" t="s">
        <v>687</v>
      </c>
      <c r="AA309" s="50"/>
      <c r="AB309" s="50"/>
      <c r="AC309" s="50"/>
    </row>
    <row r="310">
      <c r="A310" s="7" t="s">
        <v>528</v>
      </c>
      <c r="B310" s="7" t="s">
        <v>25</v>
      </c>
      <c r="C310" s="7" t="s">
        <v>35</v>
      </c>
      <c r="D310" s="7" t="s">
        <v>62</v>
      </c>
      <c r="E310" s="7">
        <v>25.0</v>
      </c>
      <c r="F310" s="7">
        <v>1998.0</v>
      </c>
      <c r="G310" s="7">
        <v>28.0</v>
      </c>
      <c r="H310" s="7">
        <v>22.0</v>
      </c>
      <c r="I310" s="25">
        <v>1949.0</v>
      </c>
      <c r="J310" s="7">
        <v>21.7</v>
      </c>
      <c r="K310" s="7">
        <v>2.0</v>
      </c>
      <c r="L310" s="7">
        <v>1.0</v>
      </c>
      <c r="M310" s="7">
        <v>3.0</v>
      </c>
      <c r="N310" s="7">
        <v>2.0</v>
      </c>
      <c r="O310" s="7">
        <v>0.0</v>
      </c>
      <c r="P310" s="7">
        <v>0.0</v>
      </c>
      <c r="Q310" s="7">
        <v>5.0</v>
      </c>
      <c r="R310" s="7">
        <v>0.0</v>
      </c>
      <c r="S310" s="8">
        <v>0.09</v>
      </c>
      <c r="T310" s="7">
        <v>0.05</v>
      </c>
      <c r="U310" s="7">
        <v>0.14</v>
      </c>
      <c r="V310" s="7">
        <v>0.09</v>
      </c>
      <c r="W310" s="7">
        <v>0.14</v>
      </c>
      <c r="X310" s="7" t="s">
        <v>810</v>
      </c>
      <c r="Y310" s="24" t="s">
        <v>677</v>
      </c>
      <c r="AA310" s="50"/>
      <c r="AB310" s="50"/>
      <c r="AC310" s="50"/>
    </row>
    <row r="311">
      <c r="A311" s="7" t="s">
        <v>530</v>
      </c>
      <c r="B311" s="7" t="s">
        <v>25</v>
      </c>
      <c r="C311" s="7" t="s">
        <v>26</v>
      </c>
      <c r="D311" s="7" t="s">
        <v>80</v>
      </c>
      <c r="E311" s="7">
        <v>31.0</v>
      </c>
      <c r="F311" s="7">
        <v>1992.0</v>
      </c>
      <c r="G311" s="7">
        <v>30.0</v>
      </c>
      <c r="H311" s="7">
        <v>28.0</v>
      </c>
      <c r="I311" s="25">
        <v>2232.0</v>
      </c>
      <c r="J311" s="7">
        <v>24.8</v>
      </c>
      <c r="K311" s="7">
        <v>4.0</v>
      </c>
      <c r="L311" s="7">
        <v>1.0</v>
      </c>
      <c r="M311" s="7">
        <v>5.0</v>
      </c>
      <c r="N311" s="7">
        <v>3.0</v>
      </c>
      <c r="O311" s="7">
        <v>1.0</v>
      </c>
      <c r="P311" s="7">
        <v>1.0</v>
      </c>
      <c r="Q311" s="7">
        <v>8.0</v>
      </c>
      <c r="R311" s="7">
        <v>0.0</v>
      </c>
      <c r="S311" s="8">
        <v>0.16</v>
      </c>
      <c r="T311" s="7">
        <v>0.04</v>
      </c>
      <c r="U311" s="7">
        <v>0.2</v>
      </c>
      <c r="V311" s="7">
        <v>0.12</v>
      </c>
      <c r="W311" s="7">
        <v>0.16</v>
      </c>
      <c r="X311" s="7" t="s">
        <v>810</v>
      </c>
      <c r="Y311" s="24" t="s">
        <v>697</v>
      </c>
      <c r="AA311" s="50"/>
      <c r="AB311" s="50"/>
      <c r="AC311" s="50"/>
    </row>
    <row r="312">
      <c r="A312" s="7" t="s">
        <v>532</v>
      </c>
      <c r="B312" s="7" t="s">
        <v>25</v>
      </c>
      <c r="C312" s="7" t="s">
        <v>35</v>
      </c>
      <c r="D312" s="7" t="s">
        <v>98</v>
      </c>
      <c r="E312" s="7">
        <v>25.0</v>
      </c>
      <c r="F312" s="7">
        <v>1998.0</v>
      </c>
      <c r="G312" s="7">
        <v>20.0</v>
      </c>
      <c r="H312" s="7">
        <v>14.0</v>
      </c>
      <c r="I312" s="25">
        <v>1269.0</v>
      </c>
      <c r="J312" s="7">
        <v>14.1</v>
      </c>
      <c r="K312" s="7">
        <v>1.0</v>
      </c>
      <c r="L312" s="7">
        <v>1.0</v>
      </c>
      <c r="M312" s="7">
        <v>2.0</v>
      </c>
      <c r="N312" s="7">
        <v>1.0</v>
      </c>
      <c r="O312" s="7">
        <v>0.0</v>
      </c>
      <c r="P312" s="7">
        <v>0.0</v>
      </c>
      <c r="Q312" s="7">
        <v>4.0</v>
      </c>
      <c r="R312" s="7">
        <v>0.0</v>
      </c>
      <c r="S312" s="8">
        <v>0.07</v>
      </c>
      <c r="T312" s="7">
        <v>0.07</v>
      </c>
      <c r="U312" s="7">
        <v>0.14</v>
      </c>
      <c r="V312" s="7">
        <v>0.07</v>
      </c>
      <c r="W312" s="7">
        <v>0.14</v>
      </c>
      <c r="X312" s="7" t="s">
        <v>698</v>
      </c>
      <c r="Y312" s="24" t="s">
        <v>697</v>
      </c>
      <c r="AA312" s="50"/>
      <c r="AB312" s="50"/>
      <c r="AC312" s="50"/>
    </row>
    <row r="313">
      <c r="A313" s="7" t="s">
        <v>534</v>
      </c>
      <c r="B313" s="7" t="s">
        <v>25</v>
      </c>
      <c r="C313" s="7" t="s">
        <v>47</v>
      </c>
      <c r="D313" s="7" t="s">
        <v>80</v>
      </c>
      <c r="E313" s="7">
        <v>20.0</v>
      </c>
      <c r="F313" s="7">
        <v>2003.0</v>
      </c>
      <c r="G313" s="7">
        <v>19.0</v>
      </c>
      <c r="H313" s="7">
        <v>7.0</v>
      </c>
      <c r="I313" s="7">
        <v>623.0</v>
      </c>
      <c r="J313" s="7">
        <v>6.9</v>
      </c>
      <c r="K313" s="7">
        <v>0.0</v>
      </c>
      <c r="L313" s="7">
        <v>1.0</v>
      </c>
      <c r="M313" s="7">
        <v>1.0</v>
      </c>
      <c r="N313" s="7">
        <v>0.0</v>
      </c>
      <c r="O313" s="7">
        <v>0.0</v>
      </c>
      <c r="P313" s="7">
        <v>0.0</v>
      </c>
      <c r="Q313" s="7">
        <v>1.0</v>
      </c>
      <c r="R313" s="7">
        <v>0.0</v>
      </c>
      <c r="S313" s="8">
        <v>0.0</v>
      </c>
      <c r="T313" s="7">
        <v>0.14</v>
      </c>
      <c r="U313" s="7">
        <v>0.14</v>
      </c>
      <c r="V313" s="7">
        <v>0.0</v>
      </c>
      <c r="W313" s="7">
        <v>0.14</v>
      </c>
      <c r="X313" s="7" t="s">
        <v>715</v>
      </c>
      <c r="Y313" s="7" t="s">
        <v>733</v>
      </c>
      <c r="AA313" s="50"/>
      <c r="AB313" s="50"/>
      <c r="AC313" s="50"/>
    </row>
    <row r="314">
      <c r="A314" s="7" t="s">
        <v>536</v>
      </c>
      <c r="B314" s="7" t="s">
        <v>34</v>
      </c>
      <c r="C314" s="7" t="s">
        <v>87</v>
      </c>
      <c r="D314" s="7" t="s">
        <v>27</v>
      </c>
      <c r="E314" s="7">
        <v>24.0</v>
      </c>
      <c r="F314" s="7">
        <v>1999.0</v>
      </c>
      <c r="G314" s="7">
        <v>19.0</v>
      </c>
      <c r="H314" s="7">
        <v>5.0</v>
      </c>
      <c r="I314" s="7">
        <v>564.0</v>
      </c>
      <c r="J314" s="7">
        <v>6.3</v>
      </c>
      <c r="K314" s="7">
        <v>1.0</v>
      </c>
      <c r="L314" s="7">
        <v>1.0</v>
      </c>
      <c r="M314" s="7">
        <v>2.0</v>
      </c>
      <c r="N314" s="7">
        <v>1.0</v>
      </c>
      <c r="O314" s="7">
        <v>0.0</v>
      </c>
      <c r="P314" s="7">
        <v>0.0</v>
      </c>
      <c r="Q314" s="7">
        <v>3.0</v>
      </c>
      <c r="R314" s="7">
        <v>0.0</v>
      </c>
      <c r="S314" s="8">
        <v>0.16</v>
      </c>
      <c r="T314" s="7">
        <v>0.16</v>
      </c>
      <c r="U314" s="7">
        <v>0.32</v>
      </c>
      <c r="V314" s="7">
        <v>0.16</v>
      </c>
      <c r="W314" s="7">
        <v>0.32</v>
      </c>
      <c r="X314" s="7" t="s">
        <v>698</v>
      </c>
      <c r="Y314" s="7" t="s">
        <v>668</v>
      </c>
      <c r="AA314" s="50"/>
      <c r="AB314" s="50"/>
      <c r="AC314" s="50"/>
    </row>
    <row r="315">
      <c r="A315" s="7" t="s">
        <v>538</v>
      </c>
      <c r="B315" s="7" t="s">
        <v>25</v>
      </c>
      <c r="C315" s="7" t="s">
        <v>26</v>
      </c>
      <c r="D315" s="7" t="s">
        <v>98</v>
      </c>
      <c r="E315" s="7">
        <v>17.0</v>
      </c>
      <c r="F315" s="7">
        <v>2006.0</v>
      </c>
      <c r="G315" s="7">
        <v>7.0</v>
      </c>
      <c r="H315" s="7">
        <v>0.0</v>
      </c>
      <c r="I315" s="7">
        <v>90.0</v>
      </c>
      <c r="J315" s="7">
        <v>1.0</v>
      </c>
      <c r="K315" s="7">
        <v>0.0</v>
      </c>
      <c r="L315" s="7">
        <v>0.0</v>
      </c>
      <c r="M315" s="7">
        <v>0.0</v>
      </c>
      <c r="N315" s="7">
        <v>0.0</v>
      </c>
      <c r="O315" s="7">
        <v>0.0</v>
      </c>
      <c r="P315" s="7">
        <v>0.0</v>
      </c>
      <c r="Q315" s="7">
        <v>0.0</v>
      </c>
      <c r="R315" s="7">
        <v>0.0</v>
      </c>
      <c r="S315" s="8">
        <v>0.0</v>
      </c>
      <c r="T315" s="7">
        <v>0.0</v>
      </c>
      <c r="U315" s="7">
        <v>0.0</v>
      </c>
      <c r="V315" s="7">
        <v>0.0</v>
      </c>
      <c r="W315" s="7">
        <v>0.0</v>
      </c>
      <c r="X315" s="7" t="s">
        <v>673</v>
      </c>
      <c r="Y315" s="24" t="s">
        <v>708</v>
      </c>
      <c r="AA315" s="50"/>
      <c r="AB315" s="50"/>
      <c r="AC315" s="50"/>
    </row>
    <row r="316">
      <c r="A316" s="7" t="s">
        <v>540</v>
      </c>
      <c r="B316" s="7" t="s">
        <v>25</v>
      </c>
      <c r="C316" s="7" t="s">
        <v>83</v>
      </c>
      <c r="D316" s="7" t="s">
        <v>52</v>
      </c>
      <c r="E316" s="7">
        <v>21.0</v>
      </c>
      <c r="F316" s="7">
        <v>2002.0</v>
      </c>
      <c r="G316" s="7">
        <v>30.0</v>
      </c>
      <c r="H316" s="7">
        <v>25.0</v>
      </c>
      <c r="I316" s="25">
        <v>2163.0</v>
      </c>
      <c r="J316" s="7">
        <v>24.0</v>
      </c>
      <c r="K316" s="7">
        <v>2.0</v>
      </c>
      <c r="L316" s="7">
        <v>0.0</v>
      </c>
      <c r="M316" s="7">
        <v>2.0</v>
      </c>
      <c r="N316" s="7">
        <v>2.0</v>
      </c>
      <c r="O316" s="7">
        <v>0.0</v>
      </c>
      <c r="P316" s="7">
        <v>0.0</v>
      </c>
      <c r="Q316" s="7">
        <v>2.0</v>
      </c>
      <c r="R316" s="7">
        <v>0.0</v>
      </c>
      <c r="S316" s="8">
        <v>0.08</v>
      </c>
      <c r="T316" s="7">
        <v>0.0</v>
      </c>
      <c r="U316" s="7">
        <v>0.08</v>
      </c>
      <c r="V316" s="7">
        <v>0.08</v>
      </c>
      <c r="W316" s="7">
        <v>0.08</v>
      </c>
      <c r="X316" s="7" t="s">
        <v>688</v>
      </c>
      <c r="Y316" s="24" t="s">
        <v>697</v>
      </c>
      <c r="AA316" s="50"/>
      <c r="AB316" s="50"/>
      <c r="AC316" s="50"/>
    </row>
    <row r="317">
      <c r="A317" s="7" t="s">
        <v>542</v>
      </c>
      <c r="B317" s="7" t="s">
        <v>25</v>
      </c>
      <c r="C317" s="7" t="s">
        <v>55</v>
      </c>
      <c r="D317" s="7" t="s">
        <v>31</v>
      </c>
      <c r="E317" s="7">
        <v>34.0</v>
      </c>
      <c r="F317" s="7">
        <v>1989.0</v>
      </c>
      <c r="G317" s="7">
        <v>8.0</v>
      </c>
      <c r="H317" s="7">
        <v>6.0</v>
      </c>
      <c r="I317" s="7">
        <v>536.0</v>
      </c>
      <c r="J317" s="7">
        <v>6.0</v>
      </c>
      <c r="K317" s="7">
        <v>1.0</v>
      </c>
      <c r="L317" s="7">
        <v>0.0</v>
      </c>
      <c r="M317" s="7">
        <v>1.0</v>
      </c>
      <c r="N317" s="7">
        <v>1.0</v>
      </c>
      <c r="O317" s="7">
        <v>0.0</v>
      </c>
      <c r="P317" s="7">
        <v>0.0</v>
      </c>
      <c r="Q317" s="7">
        <v>3.0</v>
      </c>
      <c r="R317" s="7">
        <v>0.0</v>
      </c>
      <c r="S317" s="8">
        <v>0.17</v>
      </c>
      <c r="T317" s="7">
        <v>0.0</v>
      </c>
      <c r="U317" s="7">
        <v>0.17</v>
      </c>
      <c r="V317" s="7">
        <v>0.17</v>
      </c>
      <c r="W317" s="7">
        <v>0.17</v>
      </c>
      <c r="X317" s="7" t="s">
        <v>688</v>
      </c>
      <c r="Y317" s="24" t="s">
        <v>702</v>
      </c>
      <c r="AA317" s="50"/>
      <c r="AB317" s="50"/>
      <c r="AC317" s="50"/>
    </row>
    <row r="318">
      <c r="A318" s="7" t="s">
        <v>544</v>
      </c>
      <c r="B318" s="7" t="s">
        <v>70</v>
      </c>
      <c r="C318" s="7" t="s">
        <v>77</v>
      </c>
      <c r="D318" s="7" t="s">
        <v>80</v>
      </c>
      <c r="E318" s="7">
        <v>23.0</v>
      </c>
      <c r="F318" s="7">
        <v>2000.0</v>
      </c>
      <c r="G318" s="7">
        <v>20.0</v>
      </c>
      <c r="H318" s="7">
        <v>19.0</v>
      </c>
      <c r="I318" s="25">
        <v>1755.0</v>
      </c>
      <c r="J318" s="7">
        <v>19.5</v>
      </c>
      <c r="K318" s="7">
        <v>0.0</v>
      </c>
      <c r="L318" s="7">
        <v>0.0</v>
      </c>
      <c r="M318" s="7">
        <v>0.0</v>
      </c>
      <c r="N318" s="7">
        <v>0.0</v>
      </c>
      <c r="O318" s="7">
        <v>0.0</v>
      </c>
      <c r="P318" s="7">
        <v>0.0</v>
      </c>
      <c r="Q318" s="7">
        <v>1.0</v>
      </c>
      <c r="R318" s="7">
        <v>0.0</v>
      </c>
      <c r="S318" s="8">
        <v>0.0</v>
      </c>
      <c r="T318" s="7">
        <v>0.0</v>
      </c>
      <c r="U318" s="7">
        <v>0.0</v>
      </c>
      <c r="V318" s="7">
        <v>0.0</v>
      </c>
      <c r="W318" s="7">
        <v>0.0</v>
      </c>
      <c r="X318" s="7" t="s">
        <v>688</v>
      </c>
      <c r="Y318" s="24" t="s">
        <v>677</v>
      </c>
      <c r="AA318" s="50"/>
      <c r="AB318" s="50"/>
      <c r="AC318" s="50"/>
    </row>
    <row r="319">
      <c r="A319" s="7" t="s">
        <v>546</v>
      </c>
      <c r="B319" s="7" t="s">
        <v>25</v>
      </c>
      <c r="C319" s="7" t="s">
        <v>26</v>
      </c>
      <c r="D319" s="7" t="s">
        <v>44</v>
      </c>
      <c r="E319" s="7">
        <v>22.0</v>
      </c>
      <c r="F319" s="7">
        <v>2001.0</v>
      </c>
      <c r="G319" s="7">
        <v>13.0</v>
      </c>
      <c r="H319" s="7">
        <v>12.0</v>
      </c>
      <c r="I319" s="25">
        <v>1048.0</v>
      </c>
      <c r="J319" s="7">
        <v>11.6</v>
      </c>
      <c r="K319" s="7">
        <v>3.0</v>
      </c>
      <c r="L319" s="7">
        <v>0.0</v>
      </c>
      <c r="M319" s="7">
        <v>3.0</v>
      </c>
      <c r="N319" s="7">
        <v>3.0</v>
      </c>
      <c r="O319" s="7">
        <v>0.0</v>
      </c>
      <c r="P319" s="7">
        <v>0.0</v>
      </c>
      <c r="Q319" s="7">
        <v>4.0</v>
      </c>
      <c r="R319" s="7">
        <v>1.0</v>
      </c>
      <c r="S319" s="8">
        <v>0.26</v>
      </c>
      <c r="T319" s="7">
        <v>0.0</v>
      </c>
      <c r="U319" s="7">
        <v>0.26</v>
      </c>
      <c r="V319" s="7">
        <v>0.26</v>
      </c>
      <c r="W319" s="7">
        <v>0.26</v>
      </c>
      <c r="X319" s="7" t="s">
        <v>734</v>
      </c>
      <c r="Y319" s="24" t="s">
        <v>691</v>
      </c>
      <c r="AA319" s="50"/>
      <c r="AB319" s="50"/>
      <c r="AC319" s="50"/>
    </row>
    <row r="320">
      <c r="A320" s="7" t="s">
        <v>735</v>
      </c>
      <c r="B320" s="7" t="s">
        <v>34</v>
      </c>
      <c r="C320" s="7" t="s">
        <v>26</v>
      </c>
      <c r="D320" s="7" t="s">
        <v>98</v>
      </c>
      <c r="E320" s="7">
        <v>22.0</v>
      </c>
      <c r="F320" s="7">
        <v>2001.0</v>
      </c>
      <c r="G320" s="7">
        <v>32.0</v>
      </c>
      <c r="H320" s="7">
        <v>26.0</v>
      </c>
      <c r="I320" s="25">
        <v>2275.0</v>
      </c>
      <c r="J320" s="7">
        <v>25.3</v>
      </c>
      <c r="K320" s="7">
        <v>1.0</v>
      </c>
      <c r="L320" s="7">
        <v>1.0</v>
      </c>
      <c r="M320" s="7">
        <v>2.0</v>
      </c>
      <c r="N320" s="7">
        <v>1.0</v>
      </c>
      <c r="O320" s="7">
        <v>0.0</v>
      </c>
      <c r="P320" s="7">
        <v>0.0</v>
      </c>
      <c r="Q320" s="7">
        <v>6.0</v>
      </c>
      <c r="R320" s="7">
        <v>0.0</v>
      </c>
      <c r="S320" s="8">
        <v>0.04</v>
      </c>
      <c r="T320" s="7">
        <v>0.04</v>
      </c>
      <c r="U320" s="7">
        <v>0.08</v>
      </c>
      <c r="V320" s="7">
        <v>0.04</v>
      </c>
      <c r="W320" s="7">
        <v>0.08</v>
      </c>
      <c r="X320" s="7" t="s">
        <v>715</v>
      </c>
      <c r="Y320" s="7" t="s">
        <v>668</v>
      </c>
      <c r="AA320" s="50"/>
      <c r="AB320" s="50"/>
      <c r="AC320" s="50"/>
    </row>
    <row r="321">
      <c r="A321" s="7" t="s">
        <v>550</v>
      </c>
      <c r="B321" s="7" t="s">
        <v>25</v>
      </c>
      <c r="C321" s="7" t="s">
        <v>55</v>
      </c>
      <c r="D321" s="7" t="s">
        <v>27</v>
      </c>
      <c r="E321" s="7">
        <v>28.0</v>
      </c>
      <c r="F321" s="7">
        <v>1995.0</v>
      </c>
      <c r="G321" s="7">
        <v>22.0</v>
      </c>
      <c r="H321" s="7">
        <v>18.0</v>
      </c>
      <c r="I321" s="25">
        <v>1406.0</v>
      </c>
      <c r="J321" s="7">
        <v>15.6</v>
      </c>
      <c r="K321" s="7">
        <v>4.0</v>
      </c>
      <c r="L321" s="7">
        <v>0.0</v>
      </c>
      <c r="M321" s="7">
        <v>4.0</v>
      </c>
      <c r="N321" s="7">
        <v>4.0</v>
      </c>
      <c r="O321" s="7">
        <v>0.0</v>
      </c>
      <c r="P321" s="7">
        <v>0.0</v>
      </c>
      <c r="Q321" s="7">
        <v>2.0</v>
      </c>
      <c r="R321" s="7">
        <v>0.0</v>
      </c>
      <c r="S321" s="8">
        <v>0.26</v>
      </c>
      <c r="T321" s="7">
        <v>0.0</v>
      </c>
      <c r="U321" s="7">
        <v>0.26</v>
      </c>
      <c r="V321" s="7">
        <v>0.26</v>
      </c>
      <c r="W321" s="7">
        <v>0.26</v>
      </c>
      <c r="X321" s="7" t="s">
        <v>810</v>
      </c>
      <c r="Y321" s="24" t="s">
        <v>700</v>
      </c>
      <c r="AA321" s="50"/>
      <c r="AB321" s="50"/>
      <c r="AC321" s="50"/>
    </row>
    <row r="322">
      <c r="A322" s="7" t="s">
        <v>552</v>
      </c>
      <c r="B322" s="7" t="s">
        <v>25</v>
      </c>
      <c r="C322" s="7" t="s">
        <v>47</v>
      </c>
      <c r="D322" s="7" t="s">
        <v>36</v>
      </c>
      <c r="E322" s="7">
        <v>32.0</v>
      </c>
      <c r="F322" s="7">
        <v>1991.0</v>
      </c>
      <c r="G322" s="7">
        <v>33.0</v>
      </c>
      <c r="H322" s="7">
        <v>23.0</v>
      </c>
      <c r="I322" s="25">
        <v>2092.0</v>
      </c>
      <c r="J322" s="7">
        <v>23.2</v>
      </c>
      <c r="K322" s="7">
        <v>0.0</v>
      </c>
      <c r="L322" s="7">
        <v>0.0</v>
      </c>
      <c r="M322" s="7">
        <v>0.0</v>
      </c>
      <c r="N322" s="7">
        <v>0.0</v>
      </c>
      <c r="O322" s="7">
        <v>0.0</v>
      </c>
      <c r="P322" s="7">
        <v>1.0</v>
      </c>
      <c r="Q322" s="7">
        <v>8.0</v>
      </c>
      <c r="R322" s="7">
        <v>0.0</v>
      </c>
      <c r="S322" s="8">
        <v>0.0</v>
      </c>
      <c r="T322" s="7">
        <v>0.0</v>
      </c>
      <c r="U322" s="7">
        <v>0.0</v>
      </c>
      <c r="V322" s="7">
        <v>0.0</v>
      </c>
      <c r="W322" s="7">
        <v>0.0</v>
      </c>
      <c r="X322" s="7" t="s">
        <v>688</v>
      </c>
      <c r="Y322" s="7" t="s">
        <v>695</v>
      </c>
      <c r="AA322" s="50"/>
      <c r="AB322" s="50"/>
      <c r="AC322" s="50"/>
    </row>
    <row r="323">
      <c r="A323" s="7" t="s">
        <v>554</v>
      </c>
      <c r="B323" s="7" t="s">
        <v>25</v>
      </c>
      <c r="C323" s="7" t="s">
        <v>35</v>
      </c>
      <c r="D323" s="7" t="s">
        <v>98</v>
      </c>
      <c r="E323" s="7">
        <v>23.0</v>
      </c>
      <c r="F323" s="7">
        <v>2000.0</v>
      </c>
      <c r="G323" s="7">
        <v>24.0</v>
      </c>
      <c r="H323" s="7">
        <v>17.0</v>
      </c>
      <c r="I323" s="25">
        <v>1597.0</v>
      </c>
      <c r="J323" s="7">
        <v>17.7</v>
      </c>
      <c r="K323" s="7">
        <v>0.0</v>
      </c>
      <c r="L323" s="7">
        <v>0.0</v>
      </c>
      <c r="M323" s="7">
        <v>0.0</v>
      </c>
      <c r="N323" s="7">
        <v>0.0</v>
      </c>
      <c r="O323" s="7">
        <v>0.0</v>
      </c>
      <c r="P323" s="7">
        <v>0.0</v>
      </c>
      <c r="Q323" s="7">
        <v>7.0</v>
      </c>
      <c r="R323" s="7">
        <v>1.0</v>
      </c>
      <c r="S323" s="8">
        <v>0.0</v>
      </c>
      <c r="T323" s="7">
        <v>0.0</v>
      </c>
      <c r="U323" s="7">
        <v>0.0</v>
      </c>
      <c r="V323" s="7">
        <v>0.0</v>
      </c>
      <c r="W323" s="7">
        <v>0.0</v>
      </c>
      <c r="X323" s="7" t="s">
        <v>670</v>
      </c>
      <c r="Y323" s="24" t="s">
        <v>691</v>
      </c>
      <c r="AA323" s="50"/>
      <c r="AB323" s="50"/>
      <c r="AC323" s="50"/>
    </row>
    <row r="324">
      <c r="A324" s="7" t="s">
        <v>556</v>
      </c>
      <c r="B324" s="7" t="s">
        <v>97</v>
      </c>
      <c r="C324" s="7" t="s">
        <v>35</v>
      </c>
      <c r="D324" s="7" t="s">
        <v>27</v>
      </c>
      <c r="E324" s="7">
        <v>29.0</v>
      </c>
      <c r="F324" s="7">
        <v>1994.0</v>
      </c>
      <c r="G324" s="7">
        <v>16.0</v>
      </c>
      <c r="H324" s="7">
        <v>12.0</v>
      </c>
      <c r="I324" s="7">
        <v>979.0</v>
      </c>
      <c r="J324" s="7">
        <v>10.9</v>
      </c>
      <c r="K324" s="7">
        <v>0.0</v>
      </c>
      <c r="L324" s="7">
        <v>0.0</v>
      </c>
      <c r="M324" s="7">
        <v>0.0</v>
      </c>
      <c r="N324" s="7">
        <v>0.0</v>
      </c>
      <c r="O324" s="7">
        <v>0.0</v>
      </c>
      <c r="P324" s="7">
        <v>0.0</v>
      </c>
      <c r="Q324" s="7">
        <v>6.0</v>
      </c>
      <c r="R324" s="7">
        <v>0.0</v>
      </c>
      <c r="S324" s="8">
        <v>0.0</v>
      </c>
      <c r="T324" s="7">
        <v>0.0</v>
      </c>
      <c r="U324" s="7">
        <v>0.0</v>
      </c>
      <c r="V324" s="7">
        <v>0.0</v>
      </c>
      <c r="W324" s="7">
        <v>0.0</v>
      </c>
      <c r="X324" s="7" t="s">
        <v>715</v>
      </c>
      <c r="Y324" s="7" t="s">
        <v>711</v>
      </c>
      <c r="AA324" s="50"/>
      <c r="AB324" s="50"/>
      <c r="AC324" s="50"/>
    </row>
    <row r="325">
      <c r="A325" s="7" t="s">
        <v>558</v>
      </c>
      <c r="B325" s="7" t="s">
        <v>25</v>
      </c>
      <c r="C325" s="7" t="s">
        <v>47</v>
      </c>
      <c r="D325" s="7" t="s">
        <v>80</v>
      </c>
      <c r="E325" s="7">
        <v>20.0</v>
      </c>
      <c r="F325" s="7">
        <v>2003.0</v>
      </c>
      <c r="G325" s="7">
        <v>33.0</v>
      </c>
      <c r="H325" s="7">
        <v>14.0</v>
      </c>
      <c r="I325" s="25">
        <v>1460.0</v>
      </c>
      <c r="J325" s="7">
        <v>16.2</v>
      </c>
      <c r="K325" s="7">
        <v>3.0</v>
      </c>
      <c r="L325" s="7">
        <v>2.0</v>
      </c>
      <c r="M325" s="7">
        <v>5.0</v>
      </c>
      <c r="N325" s="7">
        <v>3.0</v>
      </c>
      <c r="O325" s="7">
        <v>0.0</v>
      </c>
      <c r="P325" s="7">
        <v>0.0</v>
      </c>
      <c r="Q325" s="7">
        <v>1.0</v>
      </c>
      <c r="R325" s="7">
        <v>0.0</v>
      </c>
      <c r="S325" s="8">
        <v>0.18</v>
      </c>
      <c r="T325" s="7">
        <v>0.12</v>
      </c>
      <c r="U325" s="7">
        <v>0.31</v>
      </c>
      <c r="V325" s="7">
        <v>0.18</v>
      </c>
      <c r="W325" s="7">
        <v>0.31</v>
      </c>
      <c r="X325" s="7" t="s">
        <v>693</v>
      </c>
      <c r="Y325" s="7" t="s">
        <v>684</v>
      </c>
      <c r="AA325" s="50"/>
      <c r="AB325" s="50"/>
      <c r="AC325" s="50"/>
    </row>
    <row r="326">
      <c r="A326" s="7" t="s">
        <v>560</v>
      </c>
      <c r="B326" s="7" t="s">
        <v>34</v>
      </c>
      <c r="C326" s="7" t="s">
        <v>26</v>
      </c>
      <c r="D326" s="7" t="s">
        <v>52</v>
      </c>
      <c r="E326" s="7">
        <v>24.0</v>
      </c>
      <c r="F326" s="7">
        <v>1999.0</v>
      </c>
      <c r="G326" s="7">
        <v>21.0</v>
      </c>
      <c r="H326" s="7">
        <v>15.0</v>
      </c>
      <c r="I326" s="25">
        <v>1192.0</v>
      </c>
      <c r="J326" s="7">
        <v>13.2</v>
      </c>
      <c r="K326" s="7">
        <v>1.0</v>
      </c>
      <c r="L326" s="7">
        <v>0.0</v>
      </c>
      <c r="M326" s="7">
        <v>1.0</v>
      </c>
      <c r="N326" s="7">
        <v>1.0</v>
      </c>
      <c r="O326" s="7">
        <v>0.0</v>
      </c>
      <c r="P326" s="7">
        <v>0.0</v>
      </c>
      <c r="Q326" s="7">
        <v>4.0</v>
      </c>
      <c r="R326" s="7">
        <v>0.0</v>
      </c>
      <c r="S326" s="8">
        <v>0.08</v>
      </c>
      <c r="T326" s="7">
        <v>0.0</v>
      </c>
      <c r="U326" s="7">
        <v>0.08</v>
      </c>
      <c r="V326" s="7">
        <v>0.08</v>
      </c>
      <c r="W326" s="7">
        <v>0.08</v>
      </c>
      <c r="X326" s="7" t="s">
        <v>698</v>
      </c>
      <c r="Y326" s="24" t="s">
        <v>703</v>
      </c>
      <c r="AA326" s="50"/>
      <c r="AB326" s="50"/>
      <c r="AC326" s="50"/>
    </row>
    <row r="327">
      <c r="A327" s="7" t="s">
        <v>562</v>
      </c>
      <c r="B327" s="7" t="s">
        <v>34</v>
      </c>
      <c r="C327" s="7" t="s">
        <v>55</v>
      </c>
      <c r="D327" s="7" t="s">
        <v>98</v>
      </c>
      <c r="E327" s="7">
        <v>21.0</v>
      </c>
      <c r="F327" s="7">
        <v>2002.0</v>
      </c>
      <c r="G327" s="7">
        <v>8.0</v>
      </c>
      <c r="H327" s="7">
        <v>3.0</v>
      </c>
      <c r="I327" s="7">
        <v>285.0</v>
      </c>
      <c r="J327" s="7">
        <v>3.2</v>
      </c>
      <c r="K327" s="7">
        <v>1.0</v>
      </c>
      <c r="L327" s="7">
        <v>0.0</v>
      </c>
      <c r="M327" s="7">
        <v>1.0</v>
      </c>
      <c r="N327" s="7">
        <v>1.0</v>
      </c>
      <c r="O327" s="7">
        <v>0.0</v>
      </c>
      <c r="P327" s="7">
        <v>0.0</v>
      </c>
      <c r="Q327" s="7">
        <v>0.0</v>
      </c>
      <c r="R327" s="7">
        <v>0.0</v>
      </c>
      <c r="S327" s="8">
        <v>0.32</v>
      </c>
      <c r="T327" s="7">
        <v>0.0</v>
      </c>
      <c r="U327" s="7">
        <v>0.32</v>
      </c>
      <c r="V327" s="7">
        <v>0.32</v>
      </c>
      <c r="W327" s="7">
        <v>0.32</v>
      </c>
      <c r="X327" s="7" t="s">
        <v>810</v>
      </c>
      <c r="Y327" s="24" t="s">
        <v>703</v>
      </c>
      <c r="AA327" s="50"/>
      <c r="AB327" s="50"/>
      <c r="AC327" s="50"/>
    </row>
    <row r="328">
      <c r="A328" s="7" t="s">
        <v>564</v>
      </c>
      <c r="B328" s="7" t="s">
        <v>34</v>
      </c>
      <c r="C328" s="7" t="s">
        <v>35</v>
      </c>
      <c r="D328" s="7" t="s">
        <v>58</v>
      </c>
      <c r="E328" s="7">
        <v>25.0</v>
      </c>
      <c r="F328" s="7">
        <v>1998.0</v>
      </c>
      <c r="G328" s="7">
        <v>4.0</v>
      </c>
      <c r="H328" s="7">
        <v>2.0</v>
      </c>
      <c r="I328" s="7">
        <v>171.0</v>
      </c>
      <c r="J328" s="7">
        <v>1.9</v>
      </c>
      <c r="K328" s="7">
        <v>0.0</v>
      </c>
      <c r="L328" s="7">
        <v>0.0</v>
      </c>
      <c r="M328" s="7">
        <v>0.0</v>
      </c>
      <c r="N328" s="7">
        <v>0.0</v>
      </c>
      <c r="O328" s="7">
        <v>0.0</v>
      </c>
      <c r="P328" s="7">
        <v>0.0</v>
      </c>
      <c r="Q328" s="7">
        <v>0.0</v>
      </c>
      <c r="R328" s="7">
        <v>0.0</v>
      </c>
      <c r="S328" s="8">
        <v>0.0</v>
      </c>
      <c r="T328" s="7">
        <v>0.0</v>
      </c>
      <c r="U328" s="7">
        <v>0.0</v>
      </c>
      <c r="V328" s="7">
        <v>0.0</v>
      </c>
      <c r="W328" s="7">
        <v>0.0</v>
      </c>
      <c r="X328" s="7" t="s">
        <v>810</v>
      </c>
      <c r="Y328" s="24" t="s">
        <v>702</v>
      </c>
      <c r="AA328" s="50"/>
      <c r="AB328" s="50"/>
      <c r="AC328" s="50"/>
    </row>
    <row r="329">
      <c r="A329" s="7" t="s">
        <v>566</v>
      </c>
      <c r="B329" s="7" t="s">
        <v>567</v>
      </c>
      <c r="C329" s="7" t="s">
        <v>47</v>
      </c>
      <c r="D329" s="7" t="s">
        <v>80</v>
      </c>
      <c r="E329" s="7">
        <v>21.0</v>
      </c>
      <c r="F329" s="7">
        <v>2002.0</v>
      </c>
      <c r="G329" s="7">
        <v>18.0</v>
      </c>
      <c r="H329" s="7">
        <v>6.0</v>
      </c>
      <c r="I329" s="7">
        <v>678.0</v>
      </c>
      <c r="J329" s="7">
        <v>7.5</v>
      </c>
      <c r="K329" s="7">
        <v>0.0</v>
      </c>
      <c r="L329" s="7">
        <v>1.0</v>
      </c>
      <c r="M329" s="7">
        <v>1.0</v>
      </c>
      <c r="N329" s="7">
        <v>0.0</v>
      </c>
      <c r="O329" s="7">
        <v>0.0</v>
      </c>
      <c r="P329" s="7">
        <v>0.0</v>
      </c>
      <c r="Q329" s="7">
        <v>4.0</v>
      </c>
      <c r="R329" s="7">
        <v>0.0</v>
      </c>
      <c r="S329" s="8">
        <v>0.0</v>
      </c>
      <c r="T329" s="7">
        <v>0.13</v>
      </c>
      <c r="U329" s="7">
        <v>0.13</v>
      </c>
      <c r="V329" s="7">
        <v>0.0</v>
      </c>
      <c r="W329" s="7">
        <v>0.13</v>
      </c>
      <c r="X329" s="7" t="s">
        <v>709</v>
      </c>
      <c r="Y329" s="7" t="s">
        <v>668</v>
      </c>
      <c r="AA329" s="50"/>
      <c r="AB329" s="50"/>
      <c r="AC329" s="50"/>
    </row>
    <row r="330">
      <c r="A330" s="7" t="s">
        <v>569</v>
      </c>
      <c r="B330" s="7" t="s">
        <v>34</v>
      </c>
      <c r="C330" s="7" t="s">
        <v>77</v>
      </c>
      <c r="D330" s="7" t="s">
        <v>98</v>
      </c>
      <c r="E330" s="7">
        <v>26.0</v>
      </c>
      <c r="F330" s="7">
        <v>1997.0</v>
      </c>
      <c r="G330" s="7">
        <v>30.0</v>
      </c>
      <c r="H330" s="7">
        <v>30.0</v>
      </c>
      <c r="I330" s="25">
        <v>2700.0</v>
      </c>
      <c r="J330" s="7">
        <v>30.0</v>
      </c>
      <c r="K330" s="7">
        <v>0.0</v>
      </c>
      <c r="L330" s="7">
        <v>1.0</v>
      </c>
      <c r="M330" s="7">
        <v>1.0</v>
      </c>
      <c r="N330" s="7">
        <v>0.0</v>
      </c>
      <c r="O330" s="7">
        <v>0.0</v>
      </c>
      <c r="P330" s="7">
        <v>0.0</v>
      </c>
      <c r="Q330" s="7">
        <v>0.0</v>
      </c>
      <c r="R330" s="7">
        <v>0.0</v>
      </c>
      <c r="S330" s="8">
        <v>0.0</v>
      </c>
      <c r="T330" s="7">
        <v>0.03</v>
      </c>
      <c r="U330" s="7">
        <v>0.03</v>
      </c>
      <c r="V330" s="7">
        <v>0.0</v>
      </c>
      <c r="W330" s="7">
        <v>0.03</v>
      </c>
      <c r="X330" s="7" t="s">
        <v>810</v>
      </c>
      <c r="Y330" s="24" t="s">
        <v>697</v>
      </c>
      <c r="AA330" s="50"/>
      <c r="AB330" s="50"/>
      <c r="AC330" s="50"/>
    </row>
    <row r="331">
      <c r="A331" s="7" t="s">
        <v>571</v>
      </c>
      <c r="B331" s="7" t="s">
        <v>25</v>
      </c>
      <c r="C331" s="7" t="s">
        <v>35</v>
      </c>
      <c r="D331" s="7" t="s">
        <v>52</v>
      </c>
      <c r="E331" s="7">
        <v>25.0</v>
      </c>
      <c r="F331" s="7">
        <v>1998.0</v>
      </c>
      <c r="G331" s="7">
        <v>10.0</v>
      </c>
      <c r="H331" s="7">
        <v>4.0</v>
      </c>
      <c r="I331" s="7">
        <v>309.0</v>
      </c>
      <c r="J331" s="7">
        <v>3.4</v>
      </c>
      <c r="K331" s="7">
        <v>0.0</v>
      </c>
      <c r="L331" s="7">
        <v>0.0</v>
      </c>
      <c r="M331" s="7">
        <v>0.0</v>
      </c>
      <c r="N331" s="7">
        <v>0.0</v>
      </c>
      <c r="O331" s="7">
        <v>0.0</v>
      </c>
      <c r="P331" s="7">
        <v>0.0</v>
      </c>
      <c r="Q331" s="7">
        <v>3.0</v>
      </c>
      <c r="R331" s="7">
        <v>1.0</v>
      </c>
      <c r="S331" s="8">
        <v>0.0</v>
      </c>
      <c r="T331" s="7">
        <v>0.0</v>
      </c>
      <c r="U331" s="7">
        <v>0.0</v>
      </c>
      <c r="V331" s="7">
        <v>0.0</v>
      </c>
      <c r="W331" s="7">
        <v>0.0</v>
      </c>
      <c r="X331" s="7" t="s">
        <v>698</v>
      </c>
      <c r="Y331" s="7" t="s">
        <v>668</v>
      </c>
      <c r="AA331" s="50"/>
      <c r="AB331" s="50"/>
      <c r="AC331" s="50"/>
    </row>
    <row r="332">
      <c r="A332" s="7" t="s">
        <v>573</v>
      </c>
      <c r="B332" s="7" t="s">
        <v>97</v>
      </c>
      <c r="C332" s="7" t="s">
        <v>26</v>
      </c>
      <c r="D332" s="7" t="s">
        <v>98</v>
      </c>
      <c r="E332" s="7">
        <v>18.0</v>
      </c>
      <c r="F332" s="7">
        <v>2005.0</v>
      </c>
      <c r="G332" s="7">
        <v>9.0</v>
      </c>
      <c r="H332" s="7">
        <v>4.0</v>
      </c>
      <c r="I332" s="7">
        <v>407.0</v>
      </c>
      <c r="J332" s="7">
        <v>4.5</v>
      </c>
      <c r="K332" s="7">
        <v>2.0</v>
      </c>
      <c r="L332" s="7">
        <v>0.0</v>
      </c>
      <c r="M332" s="7">
        <v>2.0</v>
      </c>
      <c r="N332" s="7">
        <v>2.0</v>
      </c>
      <c r="O332" s="7">
        <v>0.0</v>
      </c>
      <c r="P332" s="7">
        <v>0.0</v>
      </c>
      <c r="Q332" s="7">
        <v>6.0</v>
      </c>
      <c r="R332" s="7">
        <v>0.0</v>
      </c>
      <c r="S332" s="8">
        <v>0.44</v>
      </c>
      <c r="T332" s="7">
        <v>0.0</v>
      </c>
      <c r="U332" s="7">
        <v>0.44</v>
      </c>
      <c r="V332" s="7">
        <v>0.44</v>
      </c>
      <c r="W332" s="7">
        <v>0.44</v>
      </c>
      <c r="X332" s="7" t="s">
        <v>719</v>
      </c>
      <c r="Y332" s="7" t="s">
        <v>665</v>
      </c>
      <c r="AA332" s="50"/>
      <c r="AB332" s="50"/>
      <c r="AC332" s="50"/>
    </row>
    <row r="333">
      <c r="A333" s="7" t="s">
        <v>575</v>
      </c>
      <c r="B333" s="7" t="s">
        <v>70</v>
      </c>
      <c r="C333" s="7" t="s">
        <v>26</v>
      </c>
      <c r="D333" s="7" t="s">
        <v>80</v>
      </c>
      <c r="E333" s="7">
        <v>22.0</v>
      </c>
      <c r="F333" s="7">
        <v>2001.0</v>
      </c>
      <c r="G333" s="7">
        <v>14.0</v>
      </c>
      <c r="H333" s="7">
        <v>14.0</v>
      </c>
      <c r="I333" s="25">
        <v>1235.0</v>
      </c>
      <c r="J333" s="7">
        <v>13.7</v>
      </c>
      <c r="K333" s="7">
        <v>1.0</v>
      </c>
      <c r="L333" s="7">
        <v>0.0</v>
      </c>
      <c r="M333" s="7">
        <v>1.0</v>
      </c>
      <c r="N333" s="7">
        <v>1.0</v>
      </c>
      <c r="O333" s="7">
        <v>0.0</v>
      </c>
      <c r="P333" s="7">
        <v>0.0</v>
      </c>
      <c r="Q333" s="7">
        <v>1.0</v>
      </c>
      <c r="R333" s="7">
        <v>0.0</v>
      </c>
      <c r="S333" s="8">
        <v>0.07</v>
      </c>
      <c r="T333" s="7">
        <v>0.0</v>
      </c>
      <c r="U333" s="7">
        <v>0.07</v>
      </c>
      <c r="V333" s="7">
        <v>0.07</v>
      </c>
      <c r="W333" s="7">
        <v>0.07</v>
      </c>
      <c r="X333" s="7" t="s">
        <v>688</v>
      </c>
      <c r="Y333" s="7" t="s">
        <v>665</v>
      </c>
      <c r="AA333" s="50"/>
      <c r="AB333" s="50"/>
      <c r="AC333" s="50"/>
    </row>
    <row r="334">
      <c r="A334" s="7" t="s">
        <v>577</v>
      </c>
      <c r="B334" s="7" t="s">
        <v>70</v>
      </c>
      <c r="C334" s="7" t="s">
        <v>26</v>
      </c>
      <c r="D334" s="7" t="s">
        <v>80</v>
      </c>
      <c r="E334" s="7">
        <v>22.0</v>
      </c>
      <c r="F334" s="7">
        <v>2002.0</v>
      </c>
      <c r="G334" s="7">
        <v>9.0</v>
      </c>
      <c r="H334" s="7">
        <v>2.0</v>
      </c>
      <c r="I334" s="7">
        <v>336.0</v>
      </c>
      <c r="J334" s="7">
        <v>3.7</v>
      </c>
      <c r="K334" s="7">
        <v>0.0</v>
      </c>
      <c r="L334" s="7">
        <v>0.0</v>
      </c>
      <c r="M334" s="7">
        <v>0.0</v>
      </c>
      <c r="N334" s="7">
        <v>0.0</v>
      </c>
      <c r="O334" s="7">
        <v>0.0</v>
      </c>
      <c r="P334" s="7">
        <v>0.0</v>
      </c>
      <c r="Q334" s="7">
        <v>1.0</v>
      </c>
      <c r="R334" s="7">
        <v>0.0</v>
      </c>
      <c r="S334" s="8">
        <v>0.0</v>
      </c>
      <c r="T334" s="7">
        <v>0.0</v>
      </c>
      <c r="U334" s="7">
        <v>0.0</v>
      </c>
      <c r="V334" s="7">
        <v>0.0</v>
      </c>
      <c r="W334" s="7">
        <v>0.0</v>
      </c>
      <c r="X334" s="7" t="s">
        <v>685</v>
      </c>
      <c r="Y334" s="7" t="s">
        <v>665</v>
      </c>
      <c r="AA334" s="50"/>
      <c r="AB334" s="50"/>
      <c r="AC334" s="50"/>
    </row>
    <row r="335">
      <c r="A335" s="7" t="s">
        <v>579</v>
      </c>
      <c r="B335" s="7" t="s">
        <v>25</v>
      </c>
      <c r="C335" s="7" t="s">
        <v>55</v>
      </c>
      <c r="D335" s="7" t="s">
        <v>58</v>
      </c>
      <c r="E335" s="7">
        <v>25.0</v>
      </c>
      <c r="F335" s="7">
        <v>1998.0</v>
      </c>
      <c r="G335" s="7">
        <v>27.0</v>
      </c>
      <c r="H335" s="7">
        <v>12.0</v>
      </c>
      <c r="I335" s="25">
        <v>1399.0</v>
      </c>
      <c r="J335" s="7">
        <v>15.5</v>
      </c>
      <c r="K335" s="7">
        <v>10.0</v>
      </c>
      <c r="L335" s="7">
        <v>4.0</v>
      </c>
      <c r="M335" s="7">
        <v>14.0</v>
      </c>
      <c r="N335" s="7">
        <v>9.0</v>
      </c>
      <c r="O335" s="7">
        <v>1.0</v>
      </c>
      <c r="P335" s="7">
        <v>1.0</v>
      </c>
      <c r="Q335" s="7">
        <v>6.0</v>
      </c>
      <c r="R335" s="7">
        <v>1.0</v>
      </c>
      <c r="S335" s="8">
        <v>0.64</v>
      </c>
      <c r="T335" s="7">
        <v>0.26</v>
      </c>
      <c r="U335" s="7">
        <v>0.9</v>
      </c>
      <c r="V335" s="7">
        <v>0.58</v>
      </c>
      <c r="W335" s="7">
        <v>0.84</v>
      </c>
      <c r="X335" s="7" t="s">
        <v>810</v>
      </c>
      <c r="Y335" s="7" t="s">
        <v>665</v>
      </c>
      <c r="AA335" s="50"/>
      <c r="AB335" s="50"/>
      <c r="AC335" s="50"/>
    </row>
    <row r="336">
      <c r="A336" s="7" t="s">
        <v>581</v>
      </c>
      <c r="B336" s="7" t="s">
        <v>25</v>
      </c>
      <c r="C336" s="7" t="s">
        <v>35</v>
      </c>
      <c r="D336" s="7" t="s">
        <v>58</v>
      </c>
      <c r="E336" s="7">
        <v>32.0</v>
      </c>
      <c r="F336" s="7">
        <v>1991.0</v>
      </c>
      <c r="G336" s="7">
        <v>33.0</v>
      </c>
      <c r="H336" s="7">
        <v>33.0</v>
      </c>
      <c r="I336" s="25">
        <v>2919.0</v>
      </c>
      <c r="J336" s="7">
        <v>32.4</v>
      </c>
      <c r="K336" s="7">
        <v>0.0</v>
      </c>
      <c r="L336" s="7">
        <v>1.0</v>
      </c>
      <c r="M336" s="7">
        <v>1.0</v>
      </c>
      <c r="N336" s="7">
        <v>0.0</v>
      </c>
      <c r="O336" s="7">
        <v>0.0</v>
      </c>
      <c r="P336" s="7">
        <v>0.0</v>
      </c>
      <c r="Q336" s="7">
        <v>13.0</v>
      </c>
      <c r="R336" s="7">
        <v>0.0</v>
      </c>
      <c r="S336" s="8">
        <v>0.0</v>
      </c>
      <c r="T336" s="7">
        <v>0.03</v>
      </c>
      <c r="U336" s="7">
        <v>0.03</v>
      </c>
      <c r="V336" s="7">
        <v>0.0</v>
      </c>
      <c r="W336" s="7">
        <v>0.03</v>
      </c>
      <c r="X336" s="7" t="s">
        <v>810</v>
      </c>
      <c r="Y336" s="7" t="s">
        <v>665</v>
      </c>
      <c r="AA336" s="50"/>
      <c r="AB336" s="50"/>
      <c r="AC336" s="50"/>
    </row>
    <row r="337">
      <c r="A337" s="7" t="s">
        <v>583</v>
      </c>
      <c r="B337" s="7" t="s">
        <v>25</v>
      </c>
      <c r="C337" s="7" t="s">
        <v>35</v>
      </c>
      <c r="D337" s="7" t="s">
        <v>31</v>
      </c>
      <c r="E337" s="7">
        <v>29.0</v>
      </c>
      <c r="F337" s="7">
        <v>1994.0</v>
      </c>
      <c r="G337" s="7">
        <v>12.0</v>
      </c>
      <c r="H337" s="7">
        <v>10.0</v>
      </c>
      <c r="I337" s="7">
        <v>812.0</v>
      </c>
      <c r="J337" s="7">
        <v>9.0</v>
      </c>
      <c r="K337" s="7">
        <v>2.0</v>
      </c>
      <c r="L337" s="7">
        <v>0.0</v>
      </c>
      <c r="M337" s="7">
        <v>2.0</v>
      </c>
      <c r="N337" s="7">
        <v>2.0</v>
      </c>
      <c r="O337" s="7">
        <v>0.0</v>
      </c>
      <c r="P337" s="7">
        <v>0.0</v>
      </c>
      <c r="Q337" s="7">
        <v>1.0</v>
      </c>
      <c r="R337" s="7">
        <v>0.0</v>
      </c>
      <c r="S337" s="8">
        <v>0.22</v>
      </c>
      <c r="T337" s="7">
        <v>0.0</v>
      </c>
      <c r="U337" s="7">
        <v>0.22</v>
      </c>
      <c r="V337" s="7">
        <v>0.22</v>
      </c>
      <c r="W337" s="7">
        <v>0.22</v>
      </c>
      <c r="X337" s="7" t="s">
        <v>698</v>
      </c>
      <c r="Y337" s="7" t="s">
        <v>665</v>
      </c>
      <c r="AA337" s="50"/>
      <c r="AB337" s="50"/>
      <c r="AC337" s="50"/>
    </row>
    <row r="338">
      <c r="A338" s="7" t="s">
        <v>585</v>
      </c>
      <c r="B338" s="7" t="s">
        <v>25</v>
      </c>
      <c r="C338" s="7" t="s">
        <v>87</v>
      </c>
      <c r="D338" s="7" t="s">
        <v>31</v>
      </c>
      <c r="E338" s="7">
        <v>30.0</v>
      </c>
      <c r="F338" s="7">
        <v>1994.0</v>
      </c>
      <c r="G338" s="7">
        <v>12.0</v>
      </c>
      <c r="H338" s="7">
        <v>9.0</v>
      </c>
      <c r="I338" s="7">
        <v>602.0</v>
      </c>
      <c r="J338" s="7">
        <v>6.7</v>
      </c>
      <c r="K338" s="7">
        <v>0.0</v>
      </c>
      <c r="L338" s="7">
        <v>0.0</v>
      </c>
      <c r="M338" s="7">
        <v>0.0</v>
      </c>
      <c r="N338" s="7">
        <v>0.0</v>
      </c>
      <c r="O338" s="7">
        <v>0.0</v>
      </c>
      <c r="P338" s="7">
        <v>0.0</v>
      </c>
      <c r="Q338" s="7">
        <v>1.0</v>
      </c>
      <c r="R338" s="7">
        <v>0.0</v>
      </c>
      <c r="S338" s="8">
        <v>0.0</v>
      </c>
      <c r="T338" s="7">
        <v>0.0</v>
      </c>
      <c r="U338" s="7">
        <v>0.0</v>
      </c>
      <c r="V338" s="7">
        <v>0.0</v>
      </c>
      <c r="W338" s="7">
        <v>0.0</v>
      </c>
      <c r="X338" s="7" t="s">
        <v>715</v>
      </c>
      <c r="Y338" s="7" t="s">
        <v>665</v>
      </c>
      <c r="AA338" s="50"/>
      <c r="AB338" s="50"/>
      <c r="AC338" s="50"/>
    </row>
    <row r="339">
      <c r="A339" s="7" t="s">
        <v>587</v>
      </c>
      <c r="B339" s="7" t="s">
        <v>25</v>
      </c>
      <c r="C339" s="7" t="s">
        <v>588</v>
      </c>
      <c r="D339" s="7" t="s">
        <v>80</v>
      </c>
      <c r="E339" s="7">
        <v>17.0</v>
      </c>
      <c r="F339" s="7">
        <v>2006.0</v>
      </c>
      <c r="G339" s="7">
        <v>11.0</v>
      </c>
      <c r="H339" s="7">
        <v>10.0</v>
      </c>
      <c r="I339" s="7">
        <v>785.0</v>
      </c>
      <c r="J339" s="7">
        <v>8.7</v>
      </c>
      <c r="K339" s="7">
        <v>0.0</v>
      </c>
      <c r="L339" s="7">
        <v>0.0</v>
      </c>
      <c r="M339" s="7">
        <v>0.0</v>
      </c>
      <c r="N339" s="7">
        <v>0.0</v>
      </c>
      <c r="O339" s="7">
        <v>0.0</v>
      </c>
      <c r="P339" s="7">
        <v>0.0</v>
      </c>
      <c r="Q339" s="7">
        <v>5.0</v>
      </c>
      <c r="R339" s="7">
        <v>0.0</v>
      </c>
      <c r="S339" s="8">
        <v>0.0</v>
      </c>
      <c r="T339" s="7">
        <v>0.0</v>
      </c>
      <c r="U339" s="7">
        <v>0.0</v>
      </c>
      <c r="V339" s="7">
        <v>0.0</v>
      </c>
      <c r="W339" s="7">
        <v>0.0</v>
      </c>
      <c r="X339" s="7" t="s">
        <v>698</v>
      </c>
      <c r="Y339" s="7" t="s">
        <v>665</v>
      </c>
      <c r="AA339" s="50"/>
      <c r="AB339" s="50"/>
      <c r="AC339" s="50"/>
    </row>
    <row r="340">
      <c r="A340" s="7" t="s">
        <v>590</v>
      </c>
      <c r="B340" s="7" t="s">
        <v>25</v>
      </c>
      <c r="C340" s="7" t="s">
        <v>26</v>
      </c>
      <c r="D340" s="7" t="s">
        <v>128</v>
      </c>
      <c r="E340" s="7">
        <v>20.0</v>
      </c>
      <c r="F340" s="7">
        <v>2003.0</v>
      </c>
      <c r="G340" s="7">
        <v>1.0</v>
      </c>
      <c r="H340" s="7">
        <v>0.0</v>
      </c>
      <c r="I340" s="7">
        <v>1.0</v>
      </c>
      <c r="J340" s="7">
        <v>0.0</v>
      </c>
      <c r="K340" s="7">
        <v>0.0</v>
      </c>
      <c r="L340" s="7">
        <v>0.0</v>
      </c>
      <c r="M340" s="7">
        <v>0.0</v>
      </c>
      <c r="N340" s="7">
        <v>0.0</v>
      </c>
      <c r="O340" s="7">
        <v>0.0</v>
      </c>
      <c r="P340" s="7">
        <v>0.0</v>
      </c>
      <c r="Q340" s="7">
        <v>0.0</v>
      </c>
      <c r="R340" s="7">
        <v>0.0</v>
      </c>
      <c r="S340" s="8">
        <v>0.0</v>
      </c>
      <c r="T340" s="7">
        <v>0.0</v>
      </c>
      <c r="U340" s="7">
        <v>0.0</v>
      </c>
      <c r="V340" s="7">
        <v>0.0</v>
      </c>
      <c r="W340" s="7">
        <v>0.0</v>
      </c>
      <c r="X340" s="7" t="s">
        <v>673</v>
      </c>
      <c r="Y340" s="7" t="s">
        <v>665</v>
      </c>
      <c r="AA340" s="50"/>
      <c r="AB340" s="50"/>
      <c r="AC340" s="50"/>
    </row>
    <row r="341">
      <c r="A341" s="7" t="s">
        <v>592</v>
      </c>
      <c r="B341" s="7" t="s">
        <v>25</v>
      </c>
      <c r="C341" s="7" t="s">
        <v>77</v>
      </c>
      <c r="D341" s="7" t="s">
        <v>80</v>
      </c>
      <c r="E341" s="7">
        <v>18.0</v>
      </c>
      <c r="F341" s="7">
        <v>2005.0</v>
      </c>
      <c r="G341" s="7">
        <v>2.0</v>
      </c>
      <c r="H341" s="7">
        <v>2.0</v>
      </c>
      <c r="I341" s="7">
        <v>180.0</v>
      </c>
      <c r="J341" s="7">
        <v>2.0</v>
      </c>
      <c r="K341" s="7">
        <v>0.0</v>
      </c>
      <c r="L341" s="7">
        <v>0.0</v>
      </c>
      <c r="M341" s="7">
        <v>0.0</v>
      </c>
      <c r="N341" s="7">
        <v>0.0</v>
      </c>
      <c r="O341" s="7">
        <v>0.0</v>
      </c>
      <c r="P341" s="7">
        <v>0.0</v>
      </c>
      <c r="Q341" s="7">
        <v>0.0</v>
      </c>
      <c r="R341" s="7">
        <v>0.0</v>
      </c>
      <c r="S341" s="8">
        <v>0.0</v>
      </c>
      <c r="T341" s="7">
        <v>0.0</v>
      </c>
      <c r="U341" s="7">
        <v>0.0</v>
      </c>
      <c r="V341" s="7">
        <v>0.0</v>
      </c>
      <c r="W341" s="7">
        <v>0.0</v>
      </c>
      <c r="X341" s="7" t="s">
        <v>688</v>
      </c>
      <c r="Y341" s="7" t="s">
        <v>665</v>
      </c>
      <c r="AA341" s="50"/>
      <c r="AB341" s="50"/>
      <c r="AC341" s="50"/>
    </row>
    <row r="342">
      <c r="A342" s="7" t="s">
        <v>594</v>
      </c>
      <c r="B342" s="7" t="s">
        <v>25</v>
      </c>
      <c r="C342" s="7" t="s">
        <v>55</v>
      </c>
      <c r="D342" s="7" t="s">
        <v>52</v>
      </c>
      <c r="E342" s="7">
        <v>17.0</v>
      </c>
      <c r="F342" s="7">
        <v>2006.0</v>
      </c>
      <c r="G342" s="7">
        <v>5.0</v>
      </c>
      <c r="H342" s="7">
        <v>0.0</v>
      </c>
      <c r="I342" s="7">
        <v>43.0</v>
      </c>
      <c r="J342" s="7">
        <v>0.5</v>
      </c>
      <c r="K342" s="7">
        <v>0.0</v>
      </c>
      <c r="L342" s="7">
        <v>0.0</v>
      </c>
      <c r="M342" s="7">
        <v>0.0</v>
      </c>
      <c r="N342" s="7">
        <v>0.0</v>
      </c>
      <c r="O342" s="7">
        <v>0.0</v>
      </c>
      <c r="P342" s="7">
        <v>0.0</v>
      </c>
      <c r="Q342" s="7">
        <v>0.0</v>
      </c>
      <c r="R342" s="7">
        <v>0.0</v>
      </c>
      <c r="S342" s="8">
        <v>0.0</v>
      </c>
      <c r="T342" s="7">
        <v>0.0</v>
      </c>
      <c r="U342" s="7">
        <v>0.0</v>
      </c>
      <c r="V342" s="7">
        <v>0.0</v>
      </c>
      <c r="W342" s="7">
        <v>0.0</v>
      </c>
      <c r="X342" s="7" t="s">
        <v>688</v>
      </c>
      <c r="Y342" s="7" t="s">
        <v>665</v>
      </c>
      <c r="AA342" s="50"/>
      <c r="AB342" s="50"/>
      <c r="AC342" s="50"/>
    </row>
    <row r="343">
      <c r="A343" s="7" t="s">
        <v>596</v>
      </c>
      <c r="B343" s="7" t="s">
        <v>34</v>
      </c>
      <c r="C343" s="7" t="s">
        <v>26</v>
      </c>
      <c r="D343" s="7" t="s">
        <v>52</v>
      </c>
      <c r="E343" s="7">
        <v>22.0</v>
      </c>
      <c r="F343" s="7">
        <v>2001.0</v>
      </c>
      <c r="G343" s="7">
        <v>7.0</v>
      </c>
      <c r="H343" s="7">
        <v>0.0</v>
      </c>
      <c r="I343" s="7">
        <v>90.0</v>
      </c>
      <c r="J343" s="7">
        <v>1.0</v>
      </c>
      <c r="K343" s="7">
        <v>0.0</v>
      </c>
      <c r="L343" s="7">
        <v>0.0</v>
      </c>
      <c r="M343" s="7">
        <v>0.0</v>
      </c>
      <c r="N343" s="7">
        <v>0.0</v>
      </c>
      <c r="O343" s="7">
        <v>0.0</v>
      </c>
      <c r="P343" s="7">
        <v>0.0</v>
      </c>
      <c r="Q343" s="7">
        <v>1.0</v>
      </c>
      <c r="R343" s="7">
        <v>0.0</v>
      </c>
      <c r="S343" s="8">
        <v>0.0</v>
      </c>
      <c r="T343" s="7">
        <v>0.0</v>
      </c>
      <c r="U343" s="7">
        <v>0.0</v>
      </c>
      <c r="V343" s="7">
        <v>0.0</v>
      </c>
      <c r="W343" s="7">
        <v>0.0</v>
      </c>
      <c r="X343" s="7" t="s">
        <v>688</v>
      </c>
      <c r="Y343" s="7" t="s">
        <v>665</v>
      </c>
      <c r="AA343" s="50"/>
      <c r="AB343" s="50"/>
      <c r="AC343" s="50"/>
    </row>
    <row r="344">
      <c r="A344" s="7" t="s">
        <v>598</v>
      </c>
      <c r="B344" s="7" t="s">
        <v>25</v>
      </c>
      <c r="C344" s="7" t="s">
        <v>35</v>
      </c>
      <c r="D344" s="7" t="s">
        <v>58</v>
      </c>
      <c r="E344" s="7">
        <v>29.0</v>
      </c>
      <c r="F344" s="7">
        <v>1994.0</v>
      </c>
      <c r="G344" s="7">
        <v>12.0</v>
      </c>
      <c r="H344" s="7">
        <v>8.0</v>
      </c>
      <c r="I344" s="7">
        <v>595.0</v>
      </c>
      <c r="J344" s="7">
        <v>6.6</v>
      </c>
      <c r="K344" s="7">
        <v>0.0</v>
      </c>
      <c r="L344" s="7">
        <v>0.0</v>
      </c>
      <c r="M344" s="7">
        <v>0.0</v>
      </c>
      <c r="N344" s="7">
        <v>0.0</v>
      </c>
      <c r="O344" s="7">
        <v>0.0</v>
      </c>
      <c r="P344" s="7">
        <v>0.0</v>
      </c>
      <c r="Q344" s="7">
        <v>4.0</v>
      </c>
      <c r="R344" s="7">
        <v>0.0</v>
      </c>
      <c r="S344" s="8">
        <v>0.0</v>
      </c>
      <c r="T344" s="7">
        <v>0.0</v>
      </c>
      <c r="U344" s="7">
        <v>0.0</v>
      </c>
      <c r="V344" s="7">
        <v>0.0</v>
      </c>
      <c r="W344" s="7">
        <v>0.0</v>
      </c>
      <c r="X344" s="7" t="s">
        <v>734</v>
      </c>
      <c r="Y344" s="7" t="s">
        <v>665</v>
      </c>
      <c r="AA344" s="50"/>
      <c r="AB344" s="50"/>
      <c r="AC344" s="50"/>
    </row>
    <row r="345">
      <c r="A345" s="7" t="s">
        <v>600</v>
      </c>
      <c r="B345" s="7" t="s">
        <v>25</v>
      </c>
      <c r="C345" s="7" t="s">
        <v>26</v>
      </c>
      <c r="D345" s="7" t="s">
        <v>36</v>
      </c>
      <c r="E345" s="7">
        <v>23.0</v>
      </c>
      <c r="F345" s="7">
        <v>2000.0</v>
      </c>
      <c r="G345" s="7">
        <v>11.0</v>
      </c>
      <c r="H345" s="7">
        <v>10.0</v>
      </c>
      <c r="I345" s="7">
        <v>871.0</v>
      </c>
      <c r="J345" s="7">
        <v>9.7</v>
      </c>
      <c r="K345" s="7">
        <v>1.0</v>
      </c>
      <c r="L345" s="7">
        <v>1.0</v>
      </c>
      <c r="M345" s="7">
        <v>2.0</v>
      </c>
      <c r="N345" s="7">
        <v>1.0</v>
      </c>
      <c r="O345" s="7">
        <v>0.0</v>
      </c>
      <c r="P345" s="7">
        <v>0.0</v>
      </c>
      <c r="Q345" s="7">
        <v>5.0</v>
      </c>
      <c r="R345" s="7">
        <v>0.0</v>
      </c>
      <c r="S345" s="8">
        <v>0.1</v>
      </c>
      <c r="T345" s="7">
        <v>0.1</v>
      </c>
      <c r="U345" s="7">
        <v>0.21</v>
      </c>
      <c r="V345" s="7">
        <v>0.1</v>
      </c>
      <c r="W345" s="7">
        <v>0.21</v>
      </c>
      <c r="X345" s="7" t="s">
        <v>715</v>
      </c>
      <c r="Y345" s="7" t="s">
        <v>665</v>
      </c>
      <c r="AA345" s="50"/>
      <c r="AB345" s="50"/>
      <c r="AC345" s="50"/>
    </row>
    <row r="346">
      <c r="A346" s="7" t="s">
        <v>600</v>
      </c>
      <c r="B346" s="7" t="s">
        <v>25</v>
      </c>
      <c r="C346" s="7" t="s">
        <v>26</v>
      </c>
      <c r="D346" s="7" t="s">
        <v>58</v>
      </c>
      <c r="E346" s="7">
        <v>23.0</v>
      </c>
      <c r="F346" s="7">
        <v>2000.0</v>
      </c>
      <c r="G346" s="7">
        <v>17.0</v>
      </c>
      <c r="H346" s="7">
        <v>2.0</v>
      </c>
      <c r="I346" s="7">
        <v>333.0</v>
      </c>
      <c r="J346" s="7">
        <v>3.7</v>
      </c>
      <c r="K346" s="7">
        <v>0.0</v>
      </c>
      <c r="L346" s="7">
        <v>1.0</v>
      </c>
      <c r="M346" s="7">
        <v>1.0</v>
      </c>
      <c r="N346" s="7">
        <v>0.0</v>
      </c>
      <c r="O346" s="7">
        <v>0.0</v>
      </c>
      <c r="P346" s="7">
        <v>0.0</v>
      </c>
      <c r="Q346" s="7">
        <v>5.0</v>
      </c>
      <c r="R346" s="7">
        <v>1.0</v>
      </c>
      <c r="S346" s="8">
        <v>0.0</v>
      </c>
      <c r="T346" s="7">
        <v>0.27</v>
      </c>
      <c r="U346" s="7">
        <v>0.27</v>
      </c>
      <c r="V346" s="7">
        <v>0.0</v>
      </c>
      <c r="W346" s="7">
        <v>0.27</v>
      </c>
      <c r="X346" s="7" t="s">
        <v>810</v>
      </c>
      <c r="Y346" s="7" t="s">
        <v>665</v>
      </c>
      <c r="AA346" s="50"/>
      <c r="AB346" s="50"/>
      <c r="AC346" s="50"/>
    </row>
    <row r="347">
      <c r="A347" s="7" t="s">
        <v>603</v>
      </c>
      <c r="B347" s="7" t="s">
        <v>25</v>
      </c>
      <c r="C347" s="7" t="s">
        <v>26</v>
      </c>
      <c r="D347" s="7" t="s">
        <v>98</v>
      </c>
      <c r="E347" s="7">
        <v>22.0</v>
      </c>
      <c r="F347" s="7">
        <v>2001.0</v>
      </c>
      <c r="G347" s="7">
        <v>8.0</v>
      </c>
      <c r="H347" s="7">
        <v>3.0</v>
      </c>
      <c r="I347" s="7">
        <v>260.0</v>
      </c>
      <c r="J347" s="7">
        <v>2.9</v>
      </c>
      <c r="K347" s="7">
        <v>0.0</v>
      </c>
      <c r="L347" s="7">
        <v>0.0</v>
      </c>
      <c r="M347" s="7">
        <v>0.0</v>
      </c>
      <c r="N347" s="7">
        <v>0.0</v>
      </c>
      <c r="O347" s="7">
        <v>0.0</v>
      </c>
      <c r="P347" s="7">
        <v>0.0</v>
      </c>
      <c r="Q347" s="7">
        <v>1.0</v>
      </c>
      <c r="R347" s="7">
        <v>0.0</v>
      </c>
      <c r="S347" s="8">
        <v>0.0</v>
      </c>
      <c r="T347" s="7">
        <v>0.0</v>
      </c>
      <c r="U347" s="7">
        <v>0.0</v>
      </c>
      <c r="V347" s="7">
        <v>0.0</v>
      </c>
      <c r="W347" s="7">
        <v>0.0</v>
      </c>
      <c r="X347" s="7" t="s">
        <v>688</v>
      </c>
      <c r="Y347" s="7" t="s">
        <v>665</v>
      </c>
      <c r="AA347" s="50"/>
      <c r="AB347" s="50"/>
      <c r="AC347" s="50"/>
    </row>
    <row r="348">
      <c r="A348" s="7" t="s">
        <v>605</v>
      </c>
      <c r="B348" s="7" t="s">
        <v>25</v>
      </c>
      <c r="C348" s="7" t="s">
        <v>35</v>
      </c>
      <c r="D348" s="7" t="s">
        <v>52</v>
      </c>
      <c r="E348" s="7">
        <v>33.0</v>
      </c>
      <c r="F348" s="7">
        <v>1991.0</v>
      </c>
      <c r="G348" s="7">
        <v>23.0</v>
      </c>
      <c r="H348" s="7">
        <v>16.0</v>
      </c>
      <c r="I348" s="25">
        <v>1547.0</v>
      </c>
      <c r="J348" s="7">
        <v>17.2</v>
      </c>
      <c r="K348" s="7">
        <v>0.0</v>
      </c>
      <c r="L348" s="7">
        <v>0.0</v>
      </c>
      <c r="M348" s="7">
        <v>0.0</v>
      </c>
      <c r="N348" s="7">
        <v>0.0</v>
      </c>
      <c r="O348" s="7">
        <v>0.0</v>
      </c>
      <c r="P348" s="7">
        <v>0.0</v>
      </c>
      <c r="Q348" s="7">
        <v>2.0</v>
      </c>
      <c r="R348" s="7">
        <v>0.0</v>
      </c>
      <c r="S348" s="8">
        <v>0.0</v>
      </c>
      <c r="T348" s="7">
        <v>0.0</v>
      </c>
      <c r="U348" s="7">
        <v>0.0</v>
      </c>
      <c r="V348" s="7">
        <v>0.0</v>
      </c>
      <c r="W348" s="7">
        <v>0.0</v>
      </c>
      <c r="X348" s="7" t="s">
        <v>670</v>
      </c>
      <c r="Y348" s="7" t="s">
        <v>665</v>
      </c>
      <c r="AA348" s="50"/>
      <c r="AB348" s="50"/>
      <c r="AC348" s="50"/>
    </row>
    <row r="349">
      <c r="A349" s="7" t="s">
        <v>607</v>
      </c>
      <c r="B349" s="7" t="s">
        <v>25</v>
      </c>
      <c r="C349" s="7" t="s">
        <v>47</v>
      </c>
      <c r="D349" s="7" t="s">
        <v>128</v>
      </c>
      <c r="E349" s="7">
        <v>25.0</v>
      </c>
      <c r="F349" s="7">
        <v>1998.0</v>
      </c>
      <c r="G349" s="7">
        <v>19.0</v>
      </c>
      <c r="H349" s="7">
        <v>16.0</v>
      </c>
      <c r="I349" s="25">
        <v>1375.0</v>
      </c>
      <c r="J349" s="7">
        <v>15.3</v>
      </c>
      <c r="K349" s="7">
        <v>4.0</v>
      </c>
      <c r="L349" s="7">
        <v>2.0</v>
      </c>
      <c r="M349" s="7">
        <v>6.0</v>
      </c>
      <c r="N349" s="7">
        <v>4.0</v>
      </c>
      <c r="O349" s="7">
        <v>0.0</v>
      </c>
      <c r="P349" s="7">
        <v>0.0</v>
      </c>
      <c r="Q349" s="7">
        <v>2.0</v>
      </c>
      <c r="R349" s="7">
        <v>1.0</v>
      </c>
      <c r="S349" s="8">
        <v>0.26</v>
      </c>
      <c r="T349" s="7">
        <v>0.13</v>
      </c>
      <c r="U349" s="7">
        <v>0.39</v>
      </c>
      <c r="V349" s="7">
        <v>0.26</v>
      </c>
      <c r="W349" s="7">
        <v>0.39</v>
      </c>
      <c r="X349" s="7" t="s">
        <v>715</v>
      </c>
      <c r="Y349" s="7" t="s">
        <v>665</v>
      </c>
      <c r="AA349" s="50"/>
      <c r="AB349" s="50"/>
      <c r="AC349" s="50"/>
    </row>
    <row r="350">
      <c r="A350" s="7" t="s">
        <v>609</v>
      </c>
      <c r="B350" s="7" t="s">
        <v>610</v>
      </c>
      <c r="C350" s="7" t="s">
        <v>47</v>
      </c>
      <c r="D350" s="7" t="s">
        <v>128</v>
      </c>
      <c r="E350" s="7">
        <v>23.0</v>
      </c>
      <c r="F350" s="7">
        <v>2000.0</v>
      </c>
      <c r="G350" s="7">
        <v>15.0</v>
      </c>
      <c r="H350" s="7">
        <v>8.0</v>
      </c>
      <c r="I350" s="7">
        <v>729.0</v>
      </c>
      <c r="J350" s="7">
        <v>8.1</v>
      </c>
      <c r="K350" s="7">
        <v>0.0</v>
      </c>
      <c r="L350" s="7">
        <v>1.0</v>
      </c>
      <c r="M350" s="7">
        <v>1.0</v>
      </c>
      <c r="N350" s="7">
        <v>0.0</v>
      </c>
      <c r="O350" s="7">
        <v>0.0</v>
      </c>
      <c r="P350" s="7">
        <v>0.0</v>
      </c>
      <c r="Q350" s="7">
        <v>1.0</v>
      </c>
      <c r="R350" s="7">
        <v>0.0</v>
      </c>
      <c r="S350" s="8">
        <v>0.0</v>
      </c>
      <c r="T350" s="7">
        <v>0.12</v>
      </c>
      <c r="U350" s="7">
        <v>0.12</v>
      </c>
      <c r="V350" s="7">
        <v>0.0</v>
      </c>
      <c r="W350" s="7">
        <v>0.12</v>
      </c>
      <c r="X350" s="7" t="s">
        <v>693</v>
      </c>
      <c r="Y350" s="7" t="s">
        <v>665</v>
      </c>
      <c r="AA350" s="50"/>
      <c r="AB350" s="50"/>
      <c r="AC350" s="50"/>
    </row>
    <row r="351">
      <c r="A351" s="7" t="s">
        <v>612</v>
      </c>
      <c r="B351" s="7" t="s">
        <v>446</v>
      </c>
      <c r="C351" s="7" t="s">
        <v>55</v>
      </c>
      <c r="D351" s="7" t="s">
        <v>44</v>
      </c>
      <c r="E351" s="7">
        <v>25.0</v>
      </c>
      <c r="F351" s="7">
        <v>1998.0</v>
      </c>
      <c r="G351" s="7">
        <v>8.0</v>
      </c>
      <c r="H351" s="7">
        <v>3.0</v>
      </c>
      <c r="I351" s="7">
        <v>246.0</v>
      </c>
      <c r="J351" s="7">
        <v>2.7</v>
      </c>
      <c r="K351" s="7">
        <v>1.0</v>
      </c>
      <c r="L351" s="7">
        <v>0.0</v>
      </c>
      <c r="M351" s="7">
        <v>1.0</v>
      </c>
      <c r="N351" s="7">
        <v>1.0</v>
      </c>
      <c r="O351" s="7">
        <v>0.0</v>
      </c>
      <c r="P351" s="7">
        <v>0.0</v>
      </c>
      <c r="Q351" s="7">
        <v>0.0</v>
      </c>
      <c r="R351" s="7">
        <v>0.0</v>
      </c>
      <c r="S351" s="8">
        <v>0.37</v>
      </c>
      <c r="T351" s="7">
        <v>0.0</v>
      </c>
      <c r="U351" s="7">
        <v>0.37</v>
      </c>
      <c r="V351" s="7">
        <v>0.37</v>
      </c>
      <c r="W351" s="7">
        <v>0.37</v>
      </c>
      <c r="X351" s="7" t="s">
        <v>698</v>
      </c>
      <c r="Y351" s="7" t="s">
        <v>665</v>
      </c>
      <c r="AA351" s="50"/>
      <c r="AB351" s="50"/>
      <c r="AC351" s="50"/>
    </row>
    <row r="352">
      <c r="A352" s="7" t="s">
        <v>614</v>
      </c>
      <c r="B352" s="7" t="s">
        <v>25</v>
      </c>
      <c r="C352" s="7" t="s">
        <v>26</v>
      </c>
      <c r="D352" s="7" t="s">
        <v>128</v>
      </c>
      <c r="E352" s="7">
        <v>24.0</v>
      </c>
      <c r="F352" s="7">
        <v>1999.0</v>
      </c>
      <c r="G352" s="7">
        <v>6.0</v>
      </c>
      <c r="H352" s="7">
        <v>4.0</v>
      </c>
      <c r="I352" s="7">
        <v>289.0</v>
      </c>
      <c r="J352" s="7">
        <v>3.2</v>
      </c>
      <c r="K352" s="7">
        <v>0.0</v>
      </c>
      <c r="L352" s="7">
        <v>0.0</v>
      </c>
      <c r="M352" s="7">
        <v>0.0</v>
      </c>
      <c r="N352" s="7">
        <v>0.0</v>
      </c>
      <c r="O352" s="7">
        <v>0.0</v>
      </c>
      <c r="P352" s="7">
        <v>0.0</v>
      </c>
      <c r="Q352" s="7">
        <v>2.0</v>
      </c>
      <c r="R352" s="7">
        <v>1.0</v>
      </c>
      <c r="S352" s="8">
        <v>0.0</v>
      </c>
      <c r="T352" s="7">
        <v>0.0</v>
      </c>
      <c r="U352" s="7">
        <v>0.0</v>
      </c>
      <c r="V352" s="7">
        <v>0.0</v>
      </c>
      <c r="W352" s="7">
        <v>0.0</v>
      </c>
      <c r="X352" s="7" t="s">
        <v>810</v>
      </c>
      <c r="Y352" s="7" t="s">
        <v>665</v>
      </c>
      <c r="AA352" s="50"/>
      <c r="AB352" s="50"/>
      <c r="AC352" s="50"/>
    </row>
    <row r="353">
      <c r="A353" s="7" t="s">
        <v>616</v>
      </c>
      <c r="B353" s="7" t="s">
        <v>25</v>
      </c>
      <c r="C353" s="7" t="s">
        <v>55</v>
      </c>
      <c r="D353" s="7" t="s">
        <v>62</v>
      </c>
      <c r="E353" s="7">
        <v>33.0</v>
      </c>
      <c r="F353" s="7">
        <v>1990.0</v>
      </c>
      <c r="G353" s="7">
        <v>33.0</v>
      </c>
      <c r="H353" s="7">
        <v>27.0</v>
      </c>
      <c r="I353" s="25">
        <v>2544.0</v>
      </c>
      <c r="J353" s="7">
        <v>28.3</v>
      </c>
      <c r="K353" s="7">
        <v>9.0</v>
      </c>
      <c r="L353" s="7">
        <v>3.0</v>
      </c>
      <c r="M353" s="7">
        <v>12.0</v>
      </c>
      <c r="N353" s="7">
        <v>9.0</v>
      </c>
      <c r="O353" s="7">
        <v>0.0</v>
      </c>
      <c r="P353" s="7">
        <v>0.0</v>
      </c>
      <c r="Q353" s="7">
        <v>9.0</v>
      </c>
      <c r="R353" s="7">
        <v>1.0</v>
      </c>
      <c r="S353" s="8">
        <v>0.32</v>
      </c>
      <c r="T353" s="7">
        <v>0.11</v>
      </c>
      <c r="U353" s="7">
        <v>0.42</v>
      </c>
      <c r="V353" s="7">
        <v>0.32</v>
      </c>
      <c r="W353" s="7">
        <v>0.42</v>
      </c>
      <c r="X353" s="7" t="s">
        <v>810</v>
      </c>
      <c r="Y353" s="7" t="s">
        <v>665</v>
      </c>
      <c r="AA353" s="50"/>
      <c r="AB353" s="50"/>
      <c r="AC353" s="50"/>
    </row>
    <row r="354">
      <c r="A354" s="7" t="s">
        <v>618</v>
      </c>
      <c r="B354" s="7" t="s">
        <v>25</v>
      </c>
      <c r="C354" s="7" t="s">
        <v>55</v>
      </c>
      <c r="D354" s="7" t="s">
        <v>80</v>
      </c>
      <c r="E354" s="7">
        <v>14.0</v>
      </c>
      <c r="F354" s="7">
        <v>2009.0</v>
      </c>
      <c r="G354" s="7">
        <v>1.0</v>
      </c>
      <c r="H354" s="7">
        <v>0.0</v>
      </c>
      <c r="I354" s="7">
        <v>8.0</v>
      </c>
      <c r="J354" s="7">
        <v>0.1</v>
      </c>
      <c r="K354" s="7">
        <v>0.0</v>
      </c>
      <c r="L354" s="7">
        <v>0.0</v>
      </c>
      <c r="M354" s="7">
        <v>0.0</v>
      </c>
      <c r="N354" s="7">
        <v>0.0</v>
      </c>
      <c r="O354" s="7">
        <v>0.0</v>
      </c>
      <c r="P354" s="7">
        <v>0.0</v>
      </c>
      <c r="Q354" s="7">
        <v>0.0</v>
      </c>
      <c r="R354" s="7">
        <v>0.0</v>
      </c>
      <c r="S354" s="8">
        <v>0.0</v>
      </c>
      <c r="T354" s="7">
        <v>0.0</v>
      </c>
      <c r="U354" s="7">
        <v>0.0</v>
      </c>
      <c r="V354" s="7">
        <v>0.0</v>
      </c>
      <c r="W354" s="7">
        <v>0.0</v>
      </c>
      <c r="X354" s="7" t="s">
        <v>709</v>
      </c>
      <c r="Y354" s="7" t="s">
        <v>665</v>
      </c>
      <c r="AA354" s="50"/>
      <c r="AB354" s="50"/>
      <c r="AC354" s="50"/>
    </row>
    <row r="355">
      <c r="A355" s="7" t="s">
        <v>620</v>
      </c>
      <c r="B355" s="7" t="s">
        <v>34</v>
      </c>
      <c r="C355" s="7" t="s">
        <v>55</v>
      </c>
      <c r="D355" s="7" t="s">
        <v>62</v>
      </c>
      <c r="E355" s="7">
        <v>20.0</v>
      </c>
      <c r="F355" s="7">
        <v>2003.0</v>
      </c>
      <c r="G355" s="7">
        <v>3.0</v>
      </c>
      <c r="H355" s="7">
        <v>0.0</v>
      </c>
      <c r="I355" s="7">
        <v>29.0</v>
      </c>
      <c r="J355" s="7">
        <v>0.3</v>
      </c>
      <c r="K355" s="7">
        <v>0.0</v>
      </c>
      <c r="L355" s="7">
        <v>0.0</v>
      </c>
      <c r="M355" s="7">
        <v>0.0</v>
      </c>
      <c r="N355" s="7">
        <v>0.0</v>
      </c>
      <c r="O355" s="7">
        <v>0.0</v>
      </c>
      <c r="P355" s="7">
        <v>0.0</v>
      </c>
      <c r="Q355" s="7">
        <v>0.0</v>
      </c>
      <c r="R355" s="7">
        <v>0.0</v>
      </c>
      <c r="S355" s="8">
        <v>0.0</v>
      </c>
      <c r="T355" s="7">
        <v>0.0</v>
      </c>
      <c r="U355" s="7">
        <v>0.0</v>
      </c>
      <c r="V355" s="7">
        <v>0.0</v>
      </c>
      <c r="W355" s="7">
        <v>0.0</v>
      </c>
      <c r="X355" s="7" t="s">
        <v>810</v>
      </c>
      <c r="Y355" s="7" t="s">
        <v>665</v>
      </c>
      <c r="AA355" s="50"/>
      <c r="AB355" s="50"/>
      <c r="AC355" s="50"/>
    </row>
    <row r="356">
      <c r="A356" s="7" t="s">
        <v>622</v>
      </c>
      <c r="B356" s="7" t="s">
        <v>34</v>
      </c>
      <c r="C356" s="7" t="s">
        <v>35</v>
      </c>
      <c r="D356" s="7" t="s">
        <v>27</v>
      </c>
      <c r="E356" s="7">
        <v>24.0</v>
      </c>
      <c r="F356" s="7">
        <v>1999.0</v>
      </c>
      <c r="G356" s="7">
        <v>14.0</v>
      </c>
      <c r="H356" s="7">
        <v>12.0</v>
      </c>
      <c r="I356" s="25">
        <v>1145.0</v>
      </c>
      <c r="J356" s="7">
        <v>12.7</v>
      </c>
      <c r="K356" s="7">
        <v>1.0</v>
      </c>
      <c r="L356" s="7">
        <v>1.0</v>
      </c>
      <c r="M356" s="7">
        <v>2.0</v>
      </c>
      <c r="N356" s="7">
        <v>1.0</v>
      </c>
      <c r="O356" s="7">
        <v>0.0</v>
      </c>
      <c r="P356" s="7">
        <v>0.0</v>
      </c>
      <c r="Q356" s="7">
        <v>5.0</v>
      </c>
      <c r="R356" s="7">
        <v>0.0</v>
      </c>
      <c r="S356" s="8">
        <v>0.08</v>
      </c>
      <c r="T356" s="7">
        <v>0.08</v>
      </c>
      <c r="U356" s="7">
        <v>0.16</v>
      </c>
      <c r="V356" s="7">
        <v>0.08</v>
      </c>
      <c r="W356" s="7">
        <v>0.16</v>
      </c>
      <c r="X356" s="7" t="s">
        <v>698</v>
      </c>
      <c r="Y356" s="7" t="s">
        <v>665</v>
      </c>
      <c r="AA356" s="50"/>
      <c r="AB356" s="50"/>
      <c r="AC356" s="50"/>
    </row>
    <row r="357">
      <c r="A357" s="7" t="s">
        <v>624</v>
      </c>
      <c r="B357" s="7" t="s">
        <v>25</v>
      </c>
      <c r="C357" s="7" t="s">
        <v>26</v>
      </c>
      <c r="D357" s="7" t="s">
        <v>31</v>
      </c>
      <c r="E357" s="7">
        <v>25.0</v>
      </c>
      <c r="F357" s="7">
        <v>1998.0</v>
      </c>
      <c r="G357" s="7">
        <v>21.0</v>
      </c>
      <c r="H357" s="7">
        <v>11.0</v>
      </c>
      <c r="I357" s="7">
        <v>917.0</v>
      </c>
      <c r="J357" s="7">
        <v>10.2</v>
      </c>
      <c r="K357" s="7">
        <v>0.0</v>
      </c>
      <c r="L357" s="7">
        <v>1.0</v>
      </c>
      <c r="M357" s="7">
        <v>1.0</v>
      </c>
      <c r="N357" s="7">
        <v>0.0</v>
      </c>
      <c r="O357" s="7">
        <v>0.0</v>
      </c>
      <c r="P357" s="7">
        <v>0.0</v>
      </c>
      <c r="Q357" s="7">
        <v>5.0</v>
      </c>
      <c r="R357" s="7">
        <v>0.0</v>
      </c>
      <c r="S357" s="8">
        <v>0.0</v>
      </c>
      <c r="T357" s="7">
        <v>0.1</v>
      </c>
      <c r="U357" s="7">
        <v>0.1</v>
      </c>
      <c r="V357" s="7">
        <v>0.0</v>
      </c>
      <c r="W357" s="7">
        <v>0.1</v>
      </c>
      <c r="X357" s="7" t="s">
        <v>719</v>
      </c>
      <c r="Y357" s="7" t="s">
        <v>665</v>
      </c>
      <c r="AA357" s="50"/>
      <c r="AB357" s="50"/>
      <c r="AC357" s="50"/>
    </row>
    <row r="358">
      <c r="A358" s="7" t="s">
        <v>626</v>
      </c>
      <c r="B358" s="7" t="s">
        <v>25</v>
      </c>
      <c r="C358" s="7" t="s">
        <v>83</v>
      </c>
      <c r="D358" s="7" t="s">
        <v>58</v>
      </c>
      <c r="E358" s="7">
        <v>24.0</v>
      </c>
      <c r="F358" s="7">
        <v>1999.0</v>
      </c>
      <c r="G358" s="7">
        <v>34.0</v>
      </c>
      <c r="H358" s="7">
        <v>27.0</v>
      </c>
      <c r="I358" s="25">
        <v>2443.0</v>
      </c>
      <c r="J358" s="7">
        <v>27.1</v>
      </c>
      <c r="K358" s="7">
        <v>1.0</v>
      </c>
      <c r="L358" s="7">
        <v>3.0</v>
      </c>
      <c r="M358" s="7">
        <v>4.0</v>
      </c>
      <c r="N358" s="7">
        <v>1.0</v>
      </c>
      <c r="O358" s="7">
        <v>0.0</v>
      </c>
      <c r="P358" s="7">
        <v>1.0</v>
      </c>
      <c r="Q358" s="7">
        <v>6.0</v>
      </c>
      <c r="R358" s="7">
        <v>1.0</v>
      </c>
      <c r="S358" s="8">
        <v>0.04</v>
      </c>
      <c r="T358" s="7">
        <v>0.11</v>
      </c>
      <c r="U358" s="7">
        <v>0.15</v>
      </c>
      <c r="V358" s="7">
        <v>0.04</v>
      </c>
      <c r="W358" s="7">
        <v>0.15</v>
      </c>
      <c r="X358" s="7" t="s">
        <v>688</v>
      </c>
      <c r="Y358" s="7" t="s">
        <v>665</v>
      </c>
      <c r="AA358" s="50"/>
      <c r="AB358" s="50"/>
      <c r="AC358" s="50"/>
    </row>
    <row r="359">
      <c r="A359" s="7" t="s">
        <v>628</v>
      </c>
      <c r="B359" s="7" t="s">
        <v>43</v>
      </c>
      <c r="C359" s="7" t="s">
        <v>26</v>
      </c>
      <c r="D359" s="7" t="s">
        <v>62</v>
      </c>
      <c r="E359" s="7">
        <v>24.0</v>
      </c>
      <c r="F359" s="7">
        <v>1999.0</v>
      </c>
      <c r="G359" s="7">
        <v>27.0</v>
      </c>
      <c r="H359" s="7">
        <v>23.0</v>
      </c>
      <c r="I359" s="25">
        <v>1862.0</v>
      </c>
      <c r="J359" s="7">
        <v>20.7</v>
      </c>
      <c r="K359" s="7">
        <v>1.0</v>
      </c>
      <c r="L359" s="7">
        <v>0.0</v>
      </c>
      <c r="M359" s="7">
        <v>1.0</v>
      </c>
      <c r="N359" s="7">
        <v>1.0</v>
      </c>
      <c r="O359" s="7">
        <v>0.0</v>
      </c>
      <c r="P359" s="7">
        <v>0.0</v>
      </c>
      <c r="Q359" s="7">
        <v>1.0</v>
      </c>
      <c r="R359" s="7">
        <v>0.0</v>
      </c>
      <c r="S359" s="8">
        <v>0.05</v>
      </c>
      <c r="T359" s="7">
        <v>0.0</v>
      </c>
      <c r="U359" s="7">
        <v>0.05</v>
      </c>
      <c r="V359" s="7">
        <v>0.05</v>
      </c>
      <c r="W359" s="7">
        <v>0.05</v>
      </c>
      <c r="X359" s="7" t="s">
        <v>685</v>
      </c>
      <c r="Y359" s="7" t="s">
        <v>665</v>
      </c>
      <c r="AA359" s="50"/>
      <c r="AB359" s="50"/>
      <c r="AC359" s="50"/>
    </row>
    <row r="360">
      <c r="A360" s="7" t="s">
        <v>630</v>
      </c>
      <c r="B360" s="7" t="s">
        <v>25</v>
      </c>
      <c r="C360" s="7" t="s">
        <v>35</v>
      </c>
      <c r="D360" s="7" t="s">
        <v>80</v>
      </c>
      <c r="E360" s="7">
        <v>15.0</v>
      </c>
      <c r="F360" s="7">
        <v>2008.0</v>
      </c>
      <c r="G360" s="7">
        <v>1.0</v>
      </c>
      <c r="H360" s="7">
        <v>0.0</v>
      </c>
      <c r="I360" s="7">
        <v>8.0</v>
      </c>
      <c r="J360" s="7">
        <v>0.1</v>
      </c>
      <c r="K360" s="7">
        <v>0.0</v>
      </c>
      <c r="L360" s="7">
        <v>0.0</v>
      </c>
      <c r="M360" s="7">
        <v>0.0</v>
      </c>
      <c r="N360" s="7">
        <v>0.0</v>
      </c>
      <c r="O360" s="7">
        <v>0.0</v>
      </c>
      <c r="P360" s="7">
        <v>0.0</v>
      </c>
      <c r="Q360" s="7">
        <v>0.0</v>
      </c>
      <c r="R360" s="7">
        <v>0.0</v>
      </c>
      <c r="S360" s="8">
        <v>0.0</v>
      </c>
      <c r="T360" s="7">
        <v>0.0</v>
      </c>
      <c r="U360" s="7">
        <v>0.0</v>
      </c>
      <c r="V360" s="7">
        <v>0.0</v>
      </c>
      <c r="W360" s="7">
        <v>0.0</v>
      </c>
      <c r="X360" s="7" t="s">
        <v>810</v>
      </c>
      <c r="Y360" s="7" t="s">
        <v>665</v>
      </c>
      <c r="AA360" s="50"/>
      <c r="AB360" s="50"/>
      <c r="AC360" s="50"/>
    </row>
    <row r="361">
      <c r="A361" s="7" t="s">
        <v>632</v>
      </c>
      <c r="B361" s="7" t="s">
        <v>25</v>
      </c>
      <c r="C361" s="7" t="s">
        <v>26</v>
      </c>
      <c r="D361" s="7" t="s">
        <v>36</v>
      </c>
      <c r="E361" s="7">
        <v>18.0</v>
      </c>
      <c r="F361" s="7">
        <v>2005.0</v>
      </c>
      <c r="G361" s="7">
        <v>28.0</v>
      </c>
      <c r="H361" s="7">
        <v>15.0</v>
      </c>
      <c r="I361" s="25">
        <v>1431.0</v>
      </c>
      <c r="J361" s="7">
        <v>15.9</v>
      </c>
      <c r="K361" s="7">
        <v>1.0</v>
      </c>
      <c r="L361" s="7">
        <v>0.0</v>
      </c>
      <c r="M361" s="7">
        <v>1.0</v>
      </c>
      <c r="N361" s="7">
        <v>1.0</v>
      </c>
      <c r="O361" s="7">
        <v>0.0</v>
      </c>
      <c r="P361" s="7">
        <v>0.0</v>
      </c>
      <c r="Q361" s="7">
        <v>2.0</v>
      </c>
      <c r="R361" s="7">
        <v>0.0</v>
      </c>
      <c r="S361" s="8">
        <v>0.06</v>
      </c>
      <c r="T361" s="7">
        <v>0.0</v>
      </c>
      <c r="U361" s="7">
        <v>0.06</v>
      </c>
      <c r="V361" s="7">
        <v>0.06</v>
      </c>
      <c r="W361" s="7">
        <v>0.06</v>
      </c>
      <c r="X361" s="7" t="s">
        <v>810</v>
      </c>
      <c r="Y361" s="7" t="s">
        <v>665</v>
      </c>
      <c r="AA361" s="50"/>
      <c r="AB361" s="50"/>
      <c r="AC361" s="50"/>
    </row>
    <row r="362">
      <c r="A362" s="7" t="s">
        <v>634</v>
      </c>
      <c r="B362" s="7" t="s">
        <v>635</v>
      </c>
      <c r="C362" s="7" t="s">
        <v>55</v>
      </c>
      <c r="D362" s="7" t="s">
        <v>62</v>
      </c>
      <c r="E362" s="7">
        <v>23.0</v>
      </c>
      <c r="F362" s="7">
        <v>2000.0</v>
      </c>
      <c r="G362" s="7">
        <v>9.0</v>
      </c>
      <c r="H362" s="7">
        <v>1.0</v>
      </c>
      <c r="I362" s="7">
        <v>147.0</v>
      </c>
      <c r="J362" s="7">
        <v>1.6</v>
      </c>
      <c r="K362" s="7">
        <v>0.0</v>
      </c>
      <c r="L362" s="7">
        <v>0.0</v>
      </c>
      <c r="M362" s="7">
        <v>0.0</v>
      </c>
      <c r="N362" s="7">
        <v>0.0</v>
      </c>
      <c r="O362" s="7">
        <v>0.0</v>
      </c>
      <c r="P362" s="7">
        <v>0.0</v>
      </c>
      <c r="Q362" s="7">
        <v>0.0</v>
      </c>
      <c r="R362" s="7">
        <v>0.0</v>
      </c>
      <c r="S362" s="8">
        <v>0.0</v>
      </c>
      <c r="T362" s="7">
        <v>0.0</v>
      </c>
      <c r="U362" s="7">
        <v>0.0</v>
      </c>
      <c r="V362" s="7">
        <v>0.0</v>
      </c>
      <c r="W362" s="7">
        <v>0.0</v>
      </c>
      <c r="X362" s="7" t="s">
        <v>698</v>
      </c>
      <c r="Y362" s="7" t="s">
        <v>665</v>
      </c>
      <c r="AA362" s="50"/>
      <c r="AB362" s="50"/>
      <c r="AC362" s="50"/>
    </row>
    <row r="363">
      <c r="A363" s="7" t="s">
        <v>637</v>
      </c>
      <c r="B363" s="7" t="s">
        <v>34</v>
      </c>
      <c r="C363" s="7" t="s">
        <v>26</v>
      </c>
      <c r="D363" s="7" t="s">
        <v>52</v>
      </c>
      <c r="E363" s="7">
        <v>25.0</v>
      </c>
      <c r="F363" s="7">
        <v>1998.0</v>
      </c>
      <c r="G363" s="7">
        <v>33.0</v>
      </c>
      <c r="H363" s="7">
        <v>30.0</v>
      </c>
      <c r="I363" s="25">
        <v>2585.0</v>
      </c>
      <c r="J363" s="7">
        <v>28.7</v>
      </c>
      <c r="K363" s="7">
        <v>7.0</v>
      </c>
      <c r="L363" s="7">
        <v>4.0</v>
      </c>
      <c r="M363" s="7">
        <v>11.0</v>
      </c>
      <c r="N363" s="7">
        <v>3.0</v>
      </c>
      <c r="O363" s="7">
        <v>4.0</v>
      </c>
      <c r="P363" s="7">
        <v>4.0</v>
      </c>
      <c r="Q363" s="7">
        <v>5.0</v>
      </c>
      <c r="R363" s="7">
        <v>0.0</v>
      </c>
      <c r="S363" s="8">
        <v>0.24</v>
      </c>
      <c r="T363" s="7">
        <v>0.14</v>
      </c>
      <c r="U363" s="7">
        <v>0.38</v>
      </c>
      <c r="V363" s="7">
        <v>0.1</v>
      </c>
      <c r="W363" s="7">
        <v>0.24</v>
      </c>
      <c r="X363" s="7" t="s">
        <v>715</v>
      </c>
      <c r="Y363" s="7" t="s">
        <v>665</v>
      </c>
      <c r="AA363" s="50"/>
      <c r="AB363" s="50"/>
      <c r="AC363" s="50"/>
    </row>
    <row r="364">
      <c r="A364" s="7" t="s">
        <v>639</v>
      </c>
      <c r="B364" s="7" t="s">
        <v>25</v>
      </c>
      <c r="C364" s="7" t="s">
        <v>26</v>
      </c>
      <c r="D364" s="7" t="s">
        <v>128</v>
      </c>
      <c r="E364" s="7">
        <v>24.0</v>
      </c>
      <c r="F364" s="7">
        <v>1999.0</v>
      </c>
      <c r="G364" s="7">
        <v>30.0</v>
      </c>
      <c r="H364" s="7">
        <v>21.0</v>
      </c>
      <c r="I364" s="25">
        <v>1983.0</v>
      </c>
      <c r="J364" s="7">
        <v>22.0</v>
      </c>
      <c r="K364" s="7">
        <v>2.0</v>
      </c>
      <c r="L364" s="7">
        <v>4.0</v>
      </c>
      <c r="M364" s="7">
        <v>6.0</v>
      </c>
      <c r="N364" s="7">
        <v>2.0</v>
      </c>
      <c r="O364" s="7">
        <v>0.0</v>
      </c>
      <c r="P364" s="7">
        <v>0.0</v>
      </c>
      <c r="Q364" s="7">
        <v>3.0</v>
      </c>
      <c r="R364" s="7">
        <v>0.0</v>
      </c>
      <c r="S364" s="8">
        <v>0.09</v>
      </c>
      <c r="T364" s="7">
        <v>0.18</v>
      </c>
      <c r="U364" s="7">
        <v>0.27</v>
      </c>
      <c r="V364" s="7">
        <v>0.09</v>
      </c>
      <c r="W364" s="7">
        <v>0.27</v>
      </c>
      <c r="X364" s="7" t="s">
        <v>698</v>
      </c>
      <c r="Y364" s="7" t="s">
        <v>665</v>
      </c>
      <c r="AA364" s="50"/>
      <c r="AB364" s="50"/>
      <c r="AC364" s="50"/>
    </row>
    <row r="365">
      <c r="A365" s="7" t="s">
        <v>641</v>
      </c>
      <c r="B365" s="7" t="s">
        <v>34</v>
      </c>
      <c r="C365" s="7" t="s">
        <v>47</v>
      </c>
      <c r="D365" s="7" t="s">
        <v>58</v>
      </c>
      <c r="E365" s="7">
        <v>21.0</v>
      </c>
      <c r="F365" s="7">
        <v>2002.0</v>
      </c>
      <c r="G365" s="7">
        <v>25.0</v>
      </c>
      <c r="H365" s="7">
        <v>23.0</v>
      </c>
      <c r="I365" s="25">
        <v>1935.0</v>
      </c>
      <c r="J365" s="7">
        <v>21.5</v>
      </c>
      <c r="K365" s="7">
        <v>8.0</v>
      </c>
      <c r="L365" s="7">
        <v>4.0</v>
      </c>
      <c r="M365" s="7">
        <v>12.0</v>
      </c>
      <c r="N365" s="7">
        <v>4.0</v>
      </c>
      <c r="O365" s="7">
        <v>4.0</v>
      </c>
      <c r="P365" s="7">
        <v>4.0</v>
      </c>
      <c r="Q365" s="7">
        <v>0.0</v>
      </c>
      <c r="R365" s="7">
        <v>0.0</v>
      </c>
      <c r="S365" s="8">
        <v>0.37</v>
      </c>
      <c r="T365" s="7">
        <v>0.19</v>
      </c>
      <c r="U365" s="7">
        <v>0.56</v>
      </c>
      <c r="V365" s="7">
        <v>0.19</v>
      </c>
      <c r="W365" s="7">
        <v>0.37</v>
      </c>
      <c r="X365" s="7" t="s">
        <v>673</v>
      </c>
      <c r="Y365" s="7" t="s">
        <v>665</v>
      </c>
      <c r="AA365" s="50"/>
      <c r="AB365" s="50"/>
      <c r="AC365" s="50"/>
    </row>
    <row r="366">
      <c r="A366" s="7" t="s">
        <v>643</v>
      </c>
      <c r="B366" s="7" t="s">
        <v>25</v>
      </c>
      <c r="C366" s="7" t="s">
        <v>55</v>
      </c>
      <c r="D366" s="7" t="s">
        <v>128</v>
      </c>
      <c r="E366" s="7">
        <v>23.0</v>
      </c>
      <c r="F366" s="7">
        <v>2000.0</v>
      </c>
      <c r="G366" s="7">
        <v>28.0</v>
      </c>
      <c r="H366" s="7">
        <v>12.0</v>
      </c>
      <c r="I366" s="25">
        <v>1286.0</v>
      </c>
      <c r="J366" s="7">
        <v>14.3</v>
      </c>
      <c r="K366" s="7">
        <v>7.0</v>
      </c>
      <c r="L366" s="7">
        <v>1.0</v>
      </c>
      <c r="M366" s="7">
        <v>8.0</v>
      </c>
      <c r="N366" s="7">
        <v>7.0</v>
      </c>
      <c r="O366" s="7">
        <v>0.0</v>
      </c>
      <c r="P366" s="7">
        <v>0.0</v>
      </c>
      <c r="Q366" s="7">
        <v>1.0</v>
      </c>
      <c r="R366" s="7">
        <v>0.0</v>
      </c>
      <c r="S366" s="8">
        <v>0.49</v>
      </c>
      <c r="T366" s="7">
        <v>0.07</v>
      </c>
      <c r="U366" s="7">
        <v>0.56</v>
      </c>
      <c r="V366" s="7">
        <v>0.49</v>
      </c>
      <c r="W366" s="7">
        <v>0.56</v>
      </c>
      <c r="X366" s="7" t="s">
        <v>688</v>
      </c>
      <c r="Y366" s="7" t="s">
        <v>665</v>
      </c>
      <c r="AA366" s="50"/>
      <c r="AB366" s="50"/>
      <c r="AC366" s="50"/>
    </row>
    <row r="367">
      <c r="A367" s="7" t="s">
        <v>645</v>
      </c>
      <c r="B367" s="7" t="s">
        <v>34</v>
      </c>
      <c r="C367" s="7" t="s">
        <v>35</v>
      </c>
      <c r="D367" s="7" t="s">
        <v>80</v>
      </c>
      <c r="E367" s="7">
        <v>19.0</v>
      </c>
      <c r="F367" s="7">
        <v>2004.0</v>
      </c>
      <c r="G367" s="7">
        <v>18.0</v>
      </c>
      <c r="H367" s="7">
        <v>17.0</v>
      </c>
      <c r="I367" s="25">
        <v>1518.0</v>
      </c>
      <c r="J367" s="7">
        <v>16.9</v>
      </c>
      <c r="K367" s="7">
        <v>0.0</v>
      </c>
      <c r="L367" s="7">
        <v>0.0</v>
      </c>
      <c r="M367" s="7">
        <v>0.0</v>
      </c>
      <c r="N367" s="7">
        <v>0.0</v>
      </c>
      <c r="O367" s="7">
        <v>0.0</v>
      </c>
      <c r="P367" s="7">
        <v>0.0</v>
      </c>
      <c r="Q367" s="7">
        <v>3.0</v>
      </c>
      <c r="R367" s="7">
        <v>0.0</v>
      </c>
      <c r="S367" s="8">
        <v>0.0</v>
      </c>
      <c r="T367" s="7">
        <v>0.0</v>
      </c>
      <c r="U367" s="7">
        <v>0.0</v>
      </c>
      <c r="V367" s="7">
        <v>0.0</v>
      </c>
      <c r="W367" s="7">
        <v>0.0</v>
      </c>
      <c r="X367" s="7" t="s">
        <v>688</v>
      </c>
      <c r="Y367" s="7" t="s">
        <v>665</v>
      </c>
      <c r="AA367" s="50"/>
      <c r="AB367" s="50"/>
      <c r="AC367" s="50"/>
    </row>
    <row r="368">
      <c r="A368" s="7" t="s">
        <v>647</v>
      </c>
      <c r="B368" s="7" t="s">
        <v>25</v>
      </c>
      <c r="C368" s="7" t="s">
        <v>55</v>
      </c>
      <c r="D368" s="7" t="s">
        <v>27</v>
      </c>
      <c r="E368" s="7">
        <v>25.0</v>
      </c>
      <c r="F368" s="7">
        <v>1998.0</v>
      </c>
      <c r="G368" s="7">
        <v>11.0</v>
      </c>
      <c r="H368" s="7">
        <v>8.0</v>
      </c>
      <c r="I368" s="7">
        <v>659.0</v>
      </c>
      <c r="J368" s="7">
        <v>7.3</v>
      </c>
      <c r="K368" s="7">
        <v>1.0</v>
      </c>
      <c r="L368" s="7">
        <v>5.0</v>
      </c>
      <c r="M368" s="7">
        <v>6.0</v>
      </c>
      <c r="N368" s="7">
        <v>1.0</v>
      </c>
      <c r="O368" s="7">
        <v>0.0</v>
      </c>
      <c r="P368" s="7">
        <v>0.0</v>
      </c>
      <c r="Q368" s="7">
        <v>0.0</v>
      </c>
      <c r="R368" s="7">
        <v>0.0</v>
      </c>
      <c r="S368" s="8">
        <v>0.14</v>
      </c>
      <c r="T368" s="7">
        <v>0.68</v>
      </c>
      <c r="U368" s="7">
        <v>0.82</v>
      </c>
      <c r="V368" s="7">
        <v>0.14</v>
      </c>
      <c r="W368" s="7">
        <v>0.82</v>
      </c>
      <c r="X368" s="7" t="s">
        <v>688</v>
      </c>
      <c r="Y368" s="7" t="s">
        <v>665</v>
      </c>
      <c r="AA368" s="50"/>
      <c r="AB368" s="50"/>
      <c r="AC368" s="50"/>
    </row>
    <row r="369">
      <c r="A369" s="7" t="s">
        <v>649</v>
      </c>
      <c r="B369" s="7" t="s">
        <v>34</v>
      </c>
      <c r="C369" s="7" t="s">
        <v>83</v>
      </c>
      <c r="D369" s="7" t="s">
        <v>80</v>
      </c>
      <c r="E369" s="7">
        <v>20.0</v>
      </c>
      <c r="F369" s="7">
        <v>2003.0</v>
      </c>
      <c r="G369" s="7">
        <v>18.0</v>
      </c>
      <c r="H369" s="7">
        <v>17.0</v>
      </c>
      <c r="I369" s="25">
        <v>1388.0</v>
      </c>
      <c r="J369" s="7">
        <v>15.4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>
        <v>0.0</v>
      </c>
      <c r="Q369" s="7">
        <v>5.0</v>
      </c>
      <c r="R369" s="7">
        <v>0.0</v>
      </c>
      <c r="S369" s="8">
        <v>0.0</v>
      </c>
      <c r="T369" s="7">
        <v>0.0</v>
      </c>
      <c r="U369" s="7">
        <v>0.0</v>
      </c>
      <c r="V369" s="7">
        <v>0.0</v>
      </c>
      <c r="W369" s="7">
        <v>0.0</v>
      </c>
      <c r="X369" s="7" t="s">
        <v>734</v>
      </c>
      <c r="Y369" s="7" t="s">
        <v>665</v>
      </c>
      <c r="AA369" s="50"/>
      <c r="AB369" s="50"/>
      <c r="AC369" s="50"/>
    </row>
    <row r="370">
      <c r="A370" s="7" t="s">
        <v>651</v>
      </c>
      <c r="B370" s="7" t="s">
        <v>43</v>
      </c>
      <c r="C370" s="7" t="s">
        <v>30</v>
      </c>
      <c r="D370" s="7" t="s">
        <v>36</v>
      </c>
      <c r="E370" s="7">
        <v>21.0</v>
      </c>
      <c r="F370" s="7">
        <v>2002.0</v>
      </c>
      <c r="G370" s="7">
        <v>17.0</v>
      </c>
      <c r="H370" s="7">
        <v>13.0</v>
      </c>
      <c r="I370" s="25">
        <v>1137.0</v>
      </c>
      <c r="J370" s="7">
        <v>12.6</v>
      </c>
      <c r="K370" s="7">
        <v>3.0</v>
      </c>
      <c r="L370" s="7">
        <v>0.0</v>
      </c>
      <c r="M370" s="7">
        <v>3.0</v>
      </c>
      <c r="N370" s="7">
        <v>3.0</v>
      </c>
      <c r="O370" s="7">
        <v>0.0</v>
      </c>
      <c r="P370" s="7">
        <v>0.0</v>
      </c>
      <c r="Q370" s="7">
        <v>1.0</v>
      </c>
      <c r="R370" s="7">
        <v>0.0</v>
      </c>
      <c r="S370" s="8">
        <v>0.24</v>
      </c>
      <c r="T370" s="7">
        <v>0.0</v>
      </c>
      <c r="U370" s="7">
        <v>0.24</v>
      </c>
      <c r="V370" s="7">
        <v>0.24</v>
      </c>
      <c r="W370" s="7">
        <v>0.24</v>
      </c>
      <c r="X370" s="7" t="s">
        <v>715</v>
      </c>
      <c r="Y370" s="7" t="s">
        <v>665</v>
      </c>
      <c r="AA370" s="50"/>
      <c r="AB370" s="50"/>
      <c r="AC370" s="50"/>
    </row>
    <row r="371">
      <c r="S371" s="50"/>
      <c r="X371" s="7" t="s">
        <v>810</v>
      </c>
      <c r="Y371" s="7" t="s">
        <v>665</v>
      </c>
      <c r="AA371" s="50"/>
      <c r="AB371" s="50"/>
      <c r="AC371" s="50"/>
    </row>
    <row r="372">
      <c r="S372" s="50"/>
      <c r="V372" s="50"/>
      <c r="W372" s="50"/>
      <c r="AA372" s="50"/>
      <c r="AB372" s="50"/>
      <c r="AC372" s="50"/>
    </row>
    <row r="373">
      <c r="S373" s="50"/>
      <c r="V373" s="50"/>
      <c r="W373" s="50"/>
      <c r="AA373" s="50"/>
      <c r="AB373" s="50"/>
      <c r="AC373" s="50"/>
    </row>
    <row r="374">
      <c r="S374" s="50"/>
      <c r="V374" s="50"/>
      <c r="W374" s="50"/>
      <c r="AA374" s="50"/>
      <c r="AB374" s="50"/>
      <c r="AC374" s="50"/>
    </row>
    <row r="375">
      <c r="S375" s="50"/>
      <c r="V375" s="50"/>
      <c r="W375" s="50"/>
      <c r="AA375" s="50"/>
      <c r="AB375" s="50"/>
      <c r="AC375" s="50"/>
    </row>
    <row r="376">
      <c r="S376" s="50"/>
      <c r="V376" s="50"/>
      <c r="W376" s="50"/>
      <c r="AA376" s="50"/>
      <c r="AB376" s="50"/>
      <c r="AC376" s="50"/>
    </row>
    <row r="377">
      <c r="S377" s="50"/>
      <c r="V377" s="50"/>
      <c r="W377" s="50"/>
      <c r="AA377" s="50"/>
      <c r="AB377" s="50"/>
      <c r="AC377" s="50"/>
    </row>
    <row r="378">
      <c r="S378" s="50"/>
      <c r="V378" s="50"/>
      <c r="W378" s="50"/>
      <c r="AA378" s="50"/>
      <c r="AB378" s="50"/>
      <c r="AC378" s="50"/>
    </row>
    <row r="379">
      <c r="S379" s="50"/>
      <c r="V379" s="50"/>
      <c r="W379" s="50"/>
      <c r="AA379" s="50"/>
      <c r="AB379" s="50"/>
      <c r="AC379" s="50"/>
    </row>
    <row r="380">
      <c r="S380" s="50"/>
      <c r="V380" s="50"/>
      <c r="W380" s="50"/>
      <c r="AA380" s="50"/>
      <c r="AB380" s="50"/>
      <c r="AC380" s="50"/>
    </row>
    <row r="381">
      <c r="S381" s="50"/>
      <c r="V381" s="50"/>
      <c r="W381" s="50"/>
      <c r="AA381" s="50"/>
      <c r="AB381" s="50"/>
      <c r="AC381" s="50"/>
    </row>
    <row r="382">
      <c r="S382" s="50"/>
      <c r="V382" s="50"/>
      <c r="W382" s="50"/>
      <c r="AA382" s="50"/>
      <c r="AB382" s="50"/>
      <c r="AC382" s="50"/>
    </row>
    <row r="383">
      <c r="S383" s="50"/>
      <c r="V383" s="50"/>
      <c r="W383" s="50"/>
      <c r="AA383" s="50"/>
      <c r="AB383" s="50"/>
      <c r="AC383" s="50"/>
    </row>
    <row r="384">
      <c r="S384" s="50"/>
      <c r="V384" s="50"/>
      <c r="W384" s="50"/>
      <c r="AA384" s="50"/>
      <c r="AB384" s="50"/>
      <c r="AC384" s="50"/>
    </row>
    <row r="385">
      <c r="S385" s="50"/>
      <c r="V385" s="50"/>
      <c r="W385" s="50"/>
      <c r="AA385" s="50"/>
      <c r="AB385" s="50"/>
      <c r="AC385" s="50"/>
    </row>
    <row r="386">
      <c r="S386" s="50"/>
      <c r="V386" s="50"/>
      <c r="W386" s="50"/>
      <c r="AA386" s="50"/>
      <c r="AB386" s="50"/>
      <c r="AC386" s="50"/>
    </row>
    <row r="387">
      <c r="S387" s="50"/>
      <c r="V387" s="50"/>
      <c r="W387" s="50"/>
      <c r="AA387" s="50"/>
      <c r="AB387" s="50"/>
      <c r="AC387" s="50"/>
    </row>
    <row r="388">
      <c r="S388" s="50"/>
      <c r="V388" s="50"/>
      <c r="W388" s="50"/>
      <c r="AA388" s="50"/>
      <c r="AB388" s="50"/>
      <c r="AC388" s="50"/>
    </row>
    <row r="389">
      <c r="S389" s="50"/>
      <c r="V389" s="50"/>
      <c r="W389" s="50"/>
      <c r="AA389" s="50"/>
      <c r="AB389" s="50"/>
      <c r="AC389" s="50"/>
    </row>
    <row r="390">
      <c r="S390" s="50"/>
      <c r="V390" s="50"/>
      <c r="W390" s="50"/>
      <c r="AA390" s="50"/>
      <c r="AB390" s="50"/>
      <c r="AC390" s="50"/>
    </row>
    <row r="391">
      <c r="S391" s="50"/>
      <c r="V391" s="50"/>
      <c r="W391" s="50"/>
      <c r="AA391" s="50"/>
      <c r="AB391" s="50"/>
      <c r="AC391" s="50"/>
    </row>
    <row r="392">
      <c r="S392" s="50"/>
      <c r="V392" s="50"/>
      <c r="W392" s="50"/>
      <c r="AA392" s="50"/>
      <c r="AB392" s="50"/>
      <c r="AC392" s="50"/>
    </row>
    <row r="393">
      <c r="S393" s="50"/>
      <c r="V393" s="50"/>
      <c r="W393" s="50"/>
      <c r="AA393" s="50"/>
      <c r="AB393" s="50"/>
      <c r="AC393" s="50"/>
    </row>
    <row r="394">
      <c r="S394" s="50"/>
      <c r="V394" s="50"/>
      <c r="W394" s="50"/>
      <c r="AA394" s="50"/>
      <c r="AB394" s="50"/>
      <c r="AC394" s="50"/>
    </row>
    <row r="395">
      <c r="S395" s="50"/>
      <c r="V395" s="50"/>
      <c r="W395" s="50"/>
      <c r="AA395" s="50"/>
      <c r="AB395" s="50"/>
      <c r="AC395" s="50"/>
    </row>
    <row r="396">
      <c r="S396" s="50"/>
      <c r="V396" s="50"/>
      <c r="W396" s="50"/>
      <c r="AA396" s="50"/>
      <c r="AB396" s="50"/>
      <c r="AC396" s="50"/>
    </row>
    <row r="397">
      <c r="S397" s="50"/>
      <c r="V397" s="50"/>
      <c r="W397" s="50"/>
      <c r="AA397" s="50"/>
      <c r="AB397" s="50"/>
      <c r="AC397" s="50"/>
    </row>
    <row r="398">
      <c r="S398" s="50"/>
      <c r="V398" s="50"/>
      <c r="W398" s="50"/>
      <c r="AA398" s="50"/>
      <c r="AB398" s="50"/>
      <c r="AC398" s="50"/>
    </row>
    <row r="399">
      <c r="S399" s="50"/>
      <c r="V399" s="50"/>
      <c r="W399" s="50"/>
      <c r="AA399" s="50"/>
      <c r="AB399" s="50"/>
      <c r="AC399" s="50"/>
    </row>
    <row r="400">
      <c r="S400" s="50"/>
      <c r="V400" s="50"/>
      <c r="W400" s="50"/>
      <c r="AA400" s="50"/>
      <c r="AB400" s="50"/>
      <c r="AC400" s="50"/>
    </row>
    <row r="401">
      <c r="S401" s="50"/>
      <c r="V401" s="50"/>
      <c r="W401" s="50"/>
      <c r="AA401" s="50"/>
      <c r="AB401" s="50"/>
      <c r="AC401" s="50"/>
    </row>
    <row r="402">
      <c r="S402" s="50"/>
      <c r="V402" s="50"/>
      <c r="W402" s="50"/>
      <c r="AA402" s="50"/>
      <c r="AB402" s="50"/>
      <c r="AC402" s="50"/>
    </row>
    <row r="403">
      <c r="S403" s="50"/>
      <c r="V403" s="50"/>
      <c r="W403" s="50"/>
      <c r="AA403" s="50"/>
      <c r="AB403" s="50"/>
      <c r="AC403" s="50"/>
    </row>
    <row r="404">
      <c r="S404" s="50"/>
      <c r="V404" s="50"/>
      <c r="W404" s="50"/>
      <c r="AA404" s="50"/>
      <c r="AB404" s="50"/>
      <c r="AC404" s="50"/>
    </row>
    <row r="405">
      <c r="S405" s="50"/>
      <c r="V405" s="50"/>
      <c r="W405" s="50"/>
      <c r="AA405" s="50"/>
      <c r="AB405" s="50"/>
      <c r="AC405" s="50"/>
    </row>
    <row r="406">
      <c r="S406" s="50"/>
      <c r="V406" s="50"/>
      <c r="W406" s="50"/>
      <c r="AA406" s="50"/>
      <c r="AB406" s="50"/>
      <c r="AC406" s="50"/>
    </row>
    <row r="407">
      <c r="S407" s="50"/>
      <c r="V407" s="50"/>
      <c r="W407" s="50"/>
      <c r="AA407" s="50"/>
      <c r="AB407" s="50"/>
      <c r="AC407" s="50"/>
    </row>
    <row r="408">
      <c r="S408" s="50"/>
      <c r="V408" s="50"/>
      <c r="W408" s="50"/>
      <c r="AA408" s="50"/>
      <c r="AB408" s="50"/>
      <c r="AC408" s="50"/>
    </row>
    <row r="409">
      <c r="S409" s="50"/>
      <c r="V409" s="50"/>
      <c r="W409" s="50"/>
      <c r="AA409" s="50"/>
      <c r="AB409" s="50"/>
      <c r="AC409" s="50"/>
    </row>
    <row r="410">
      <c r="S410" s="50"/>
      <c r="V410" s="50"/>
      <c r="W410" s="50"/>
      <c r="AA410" s="50"/>
      <c r="AB410" s="50"/>
      <c r="AC410" s="50"/>
    </row>
    <row r="411">
      <c r="S411" s="50"/>
      <c r="V411" s="50"/>
      <c r="W411" s="50"/>
      <c r="AA411" s="50"/>
      <c r="AB411" s="50"/>
      <c r="AC411" s="50"/>
    </row>
    <row r="412">
      <c r="S412" s="50"/>
      <c r="V412" s="50"/>
      <c r="W412" s="50"/>
      <c r="AA412" s="50"/>
      <c r="AB412" s="50"/>
      <c r="AC412" s="50"/>
    </row>
    <row r="413">
      <c r="S413" s="50"/>
      <c r="V413" s="50"/>
      <c r="W413" s="50"/>
      <c r="AA413" s="50"/>
      <c r="AB413" s="50"/>
      <c r="AC413" s="50"/>
    </row>
    <row r="414">
      <c r="S414" s="50"/>
      <c r="V414" s="50"/>
      <c r="W414" s="50"/>
      <c r="AA414" s="50"/>
      <c r="AB414" s="50"/>
      <c r="AC414" s="50"/>
    </row>
    <row r="415">
      <c r="S415" s="50"/>
      <c r="V415" s="50"/>
      <c r="W415" s="50"/>
      <c r="AA415" s="50"/>
      <c r="AB415" s="50"/>
      <c r="AC415" s="50"/>
    </row>
    <row r="416">
      <c r="S416" s="50"/>
      <c r="V416" s="50"/>
      <c r="W416" s="50"/>
      <c r="AA416" s="50"/>
      <c r="AB416" s="50"/>
      <c r="AC416" s="50"/>
    </row>
    <row r="417">
      <c r="S417" s="50"/>
      <c r="V417" s="50"/>
      <c r="W417" s="50"/>
      <c r="AA417" s="50"/>
      <c r="AB417" s="50"/>
      <c r="AC417" s="50"/>
    </row>
    <row r="418">
      <c r="S418" s="50"/>
      <c r="V418" s="50"/>
      <c r="W418" s="50"/>
      <c r="AA418" s="50"/>
      <c r="AB418" s="50"/>
      <c r="AC418" s="50"/>
    </row>
    <row r="419">
      <c r="S419" s="50"/>
      <c r="V419" s="50"/>
      <c r="W419" s="50"/>
      <c r="AA419" s="50"/>
      <c r="AB419" s="50"/>
      <c r="AC419" s="50"/>
    </row>
    <row r="420">
      <c r="S420" s="50"/>
      <c r="V420" s="50"/>
      <c r="W420" s="50"/>
      <c r="AA420" s="50"/>
      <c r="AB420" s="50"/>
      <c r="AC420" s="50"/>
    </row>
    <row r="421">
      <c r="S421" s="50"/>
      <c r="V421" s="50"/>
      <c r="W421" s="50"/>
      <c r="AA421" s="50"/>
      <c r="AB421" s="50"/>
      <c r="AC421" s="50"/>
    </row>
    <row r="422">
      <c r="S422" s="50"/>
      <c r="V422" s="50"/>
      <c r="W422" s="50"/>
      <c r="AA422" s="50"/>
      <c r="AB422" s="50"/>
      <c r="AC422" s="50"/>
    </row>
    <row r="423">
      <c r="S423" s="50"/>
      <c r="V423" s="50"/>
      <c r="W423" s="50"/>
      <c r="AA423" s="50"/>
      <c r="AB423" s="50"/>
      <c r="AC423" s="50"/>
    </row>
    <row r="424">
      <c r="S424" s="50"/>
      <c r="V424" s="50"/>
      <c r="W424" s="50"/>
      <c r="AA424" s="50"/>
      <c r="AB424" s="50"/>
      <c r="AC424" s="50"/>
    </row>
    <row r="425">
      <c r="S425" s="50"/>
      <c r="V425" s="50"/>
      <c r="W425" s="50"/>
      <c r="AA425" s="50"/>
      <c r="AB425" s="50"/>
      <c r="AC425" s="50"/>
    </row>
    <row r="426">
      <c r="S426" s="50"/>
      <c r="V426" s="50"/>
      <c r="W426" s="50"/>
      <c r="AA426" s="50"/>
      <c r="AB426" s="50"/>
      <c r="AC426" s="50"/>
    </row>
    <row r="427">
      <c r="S427" s="50"/>
      <c r="V427" s="50"/>
      <c r="W427" s="50"/>
      <c r="AA427" s="50"/>
      <c r="AB427" s="50"/>
      <c r="AC427" s="50"/>
    </row>
    <row r="428">
      <c r="S428" s="50"/>
      <c r="V428" s="50"/>
      <c r="W428" s="50"/>
      <c r="AA428" s="50"/>
      <c r="AB428" s="50"/>
      <c r="AC428" s="50"/>
    </row>
    <row r="429">
      <c r="S429" s="50"/>
      <c r="V429" s="50"/>
      <c r="W429" s="50"/>
      <c r="AA429" s="50"/>
      <c r="AB429" s="50"/>
      <c r="AC429" s="50"/>
    </row>
    <row r="430">
      <c r="S430" s="50"/>
      <c r="V430" s="50"/>
      <c r="W430" s="50"/>
      <c r="AA430" s="50"/>
      <c r="AB430" s="50"/>
      <c r="AC430" s="50"/>
    </row>
    <row r="431">
      <c r="S431" s="50"/>
      <c r="V431" s="50"/>
      <c r="W431" s="50"/>
      <c r="AA431" s="50"/>
      <c r="AB431" s="50"/>
      <c r="AC431" s="50"/>
    </row>
    <row r="432">
      <c r="S432" s="50"/>
      <c r="V432" s="50"/>
      <c r="W432" s="50"/>
      <c r="AA432" s="50"/>
      <c r="AB432" s="50"/>
      <c r="AC432" s="50"/>
    </row>
    <row r="433">
      <c r="S433" s="50"/>
      <c r="V433" s="50"/>
      <c r="W433" s="50"/>
      <c r="AA433" s="50"/>
      <c r="AB433" s="50"/>
      <c r="AC433" s="50"/>
    </row>
    <row r="434">
      <c r="S434" s="50"/>
      <c r="V434" s="50"/>
      <c r="W434" s="50"/>
      <c r="AA434" s="50"/>
      <c r="AB434" s="50"/>
      <c r="AC434" s="50"/>
    </row>
    <row r="435">
      <c r="S435" s="50"/>
      <c r="V435" s="50"/>
      <c r="W435" s="50"/>
      <c r="AA435" s="50"/>
      <c r="AB435" s="50"/>
      <c r="AC435" s="50"/>
    </row>
    <row r="436">
      <c r="S436" s="50"/>
      <c r="V436" s="50"/>
      <c r="W436" s="50"/>
      <c r="AA436" s="50"/>
      <c r="AB436" s="50"/>
      <c r="AC436" s="50"/>
    </row>
    <row r="437">
      <c r="S437" s="50"/>
      <c r="V437" s="50"/>
      <c r="W437" s="50"/>
      <c r="AA437" s="50"/>
      <c r="AB437" s="50"/>
      <c r="AC437" s="50"/>
    </row>
    <row r="438">
      <c r="S438" s="50"/>
      <c r="V438" s="50"/>
      <c r="W438" s="50"/>
      <c r="AA438" s="50"/>
      <c r="AB438" s="50"/>
      <c r="AC438" s="50"/>
    </row>
    <row r="439">
      <c r="S439" s="50"/>
      <c r="V439" s="50"/>
      <c r="W439" s="50"/>
      <c r="AA439" s="50"/>
      <c r="AB439" s="50"/>
      <c r="AC439" s="50"/>
    </row>
    <row r="440">
      <c r="S440" s="50"/>
      <c r="V440" s="50"/>
      <c r="W440" s="50"/>
      <c r="AA440" s="50"/>
      <c r="AB440" s="50"/>
      <c r="AC440" s="50"/>
    </row>
    <row r="441">
      <c r="S441" s="50"/>
      <c r="V441" s="50"/>
      <c r="W441" s="50"/>
      <c r="AA441" s="50"/>
      <c r="AB441" s="50"/>
      <c r="AC441" s="50"/>
    </row>
    <row r="442">
      <c r="S442" s="50"/>
      <c r="V442" s="50"/>
      <c r="W442" s="50"/>
      <c r="AA442" s="50"/>
      <c r="AB442" s="50"/>
      <c r="AC442" s="50"/>
    </row>
    <row r="443">
      <c r="S443" s="50"/>
      <c r="V443" s="50"/>
      <c r="W443" s="50"/>
      <c r="AA443" s="50"/>
      <c r="AB443" s="50"/>
      <c r="AC443" s="50"/>
    </row>
    <row r="444">
      <c r="S444" s="50"/>
      <c r="V444" s="50"/>
      <c r="W444" s="50"/>
      <c r="AA444" s="50"/>
      <c r="AB444" s="50"/>
      <c r="AC444" s="50"/>
    </row>
    <row r="445">
      <c r="S445" s="50"/>
      <c r="V445" s="50"/>
      <c r="W445" s="50"/>
      <c r="AA445" s="50"/>
      <c r="AB445" s="50"/>
      <c r="AC445" s="50"/>
    </row>
    <row r="446">
      <c r="S446" s="50"/>
      <c r="V446" s="50"/>
      <c r="W446" s="50"/>
      <c r="AA446" s="50"/>
      <c r="AB446" s="50"/>
      <c r="AC446" s="50"/>
    </row>
    <row r="447">
      <c r="S447" s="50"/>
      <c r="V447" s="50"/>
      <c r="W447" s="50"/>
      <c r="AA447" s="50"/>
      <c r="AB447" s="50"/>
      <c r="AC447" s="50"/>
    </row>
    <row r="448">
      <c r="S448" s="50"/>
      <c r="V448" s="50"/>
      <c r="W448" s="50"/>
      <c r="AA448" s="50"/>
      <c r="AB448" s="50"/>
      <c r="AC448" s="50"/>
    </row>
    <row r="449">
      <c r="S449" s="50"/>
      <c r="V449" s="50"/>
      <c r="W449" s="50"/>
      <c r="AA449" s="50"/>
      <c r="AB449" s="50"/>
      <c r="AC449" s="50"/>
    </row>
    <row r="450">
      <c r="S450" s="50"/>
      <c r="V450" s="50"/>
      <c r="W450" s="50"/>
      <c r="AA450" s="50"/>
      <c r="AB450" s="50"/>
      <c r="AC450" s="50"/>
    </row>
    <row r="451">
      <c r="S451" s="50"/>
      <c r="V451" s="50"/>
      <c r="W451" s="50"/>
      <c r="AA451" s="50"/>
      <c r="AB451" s="50"/>
      <c r="AC451" s="50"/>
    </row>
    <row r="452">
      <c r="S452" s="50"/>
      <c r="V452" s="50"/>
      <c r="W452" s="50"/>
      <c r="AA452" s="50"/>
      <c r="AB452" s="50"/>
      <c r="AC452" s="50"/>
    </row>
    <row r="453">
      <c r="S453" s="50"/>
      <c r="V453" s="50"/>
      <c r="W453" s="50"/>
      <c r="AA453" s="50"/>
      <c r="AB453" s="50"/>
      <c r="AC453" s="50"/>
    </row>
    <row r="454">
      <c r="S454" s="50"/>
      <c r="V454" s="50"/>
      <c r="W454" s="50"/>
      <c r="AA454" s="50"/>
      <c r="AB454" s="50"/>
      <c r="AC454" s="50"/>
    </row>
    <row r="455">
      <c r="S455" s="50"/>
      <c r="V455" s="50"/>
      <c r="W455" s="50"/>
      <c r="AA455" s="50"/>
      <c r="AB455" s="50"/>
      <c r="AC455" s="50"/>
    </row>
    <row r="456">
      <c r="S456" s="50"/>
      <c r="V456" s="50"/>
      <c r="W456" s="50"/>
      <c r="AA456" s="50"/>
      <c r="AB456" s="50"/>
      <c r="AC456" s="50"/>
    </row>
    <row r="457">
      <c r="S457" s="50"/>
      <c r="V457" s="50"/>
      <c r="W457" s="50"/>
      <c r="AA457" s="50"/>
      <c r="AB457" s="50"/>
      <c r="AC457" s="50"/>
    </row>
    <row r="458">
      <c r="S458" s="50"/>
      <c r="V458" s="50"/>
      <c r="W458" s="50"/>
      <c r="AA458" s="50"/>
      <c r="AB458" s="50"/>
      <c r="AC458" s="50"/>
    </row>
    <row r="459">
      <c r="S459" s="50"/>
      <c r="V459" s="50"/>
      <c r="W459" s="50"/>
      <c r="AA459" s="50"/>
      <c r="AB459" s="50"/>
      <c r="AC459" s="50"/>
    </row>
    <row r="460">
      <c r="S460" s="50"/>
      <c r="V460" s="50"/>
      <c r="W460" s="50"/>
      <c r="AA460" s="50"/>
      <c r="AB460" s="50"/>
      <c r="AC460" s="50"/>
    </row>
    <row r="461">
      <c r="S461" s="50"/>
      <c r="V461" s="50"/>
      <c r="W461" s="50"/>
      <c r="AA461" s="50"/>
      <c r="AB461" s="50"/>
      <c r="AC461" s="50"/>
    </row>
    <row r="462">
      <c r="S462" s="50"/>
      <c r="V462" s="50"/>
      <c r="W462" s="50"/>
      <c r="AA462" s="50"/>
      <c r="AB462" s="50"/>
      <c r="AC462" s="50"/>
    </row>
    <row r="463">
      <c r="S463" s="50"/>
      <c r="V463" s="50"/>
      <c r="W463" s="50"/>
      <c r="AA463" s="50"/>
      <c r="AB463" s="50"/>
      <c r="AC463" s="50"/>
    </row>
    <row r="464">
      <c r="S464" s="50"/>
      <c r="V464" s="50"/>
      <c r="W464" s="50"/>
      <c r="AA464" s="50"/>
      <c r="AB464" s="50"/>
      <c r="AC464" s="50"/>
    </row>
    <row r="465">
      <c r="S465" s="50"/>
      <c r="V465" s="50"/>
      <c r="W465" s="50"/>
      <c r="AA465" s="50"/>
      <c r="AB465" s="50"/>
      <c r="AC465" s="50"/>
    </row>
    <row r="466">
      <c r="S466" s="50"/>
      <c r="V466" s="50"/>
      <c r="W466" s="50"/>
      <c r="AA466" s="50"/>
      <c r="AB466" s="50"/>
      <c r="AC466" s="50"/>
    </row>
    <row r="467">
      <c r="S467" s="50"/>
      <c r="V467" s="50"/>
      <c r="W467" s="50"/>
      <c r="AA467" s="50"/>
      <c r="AB467" s="50"/>
      <c r="AC467" s="50"/>
    </row>
    <row r="468">
      <c r="S468" s="50"/>
      <c r="V468" s="50"/>
      <c r="W468" s="50"/>
      <c r="AA468" s="50"/>
      <c r="AB468" s="50"/>
      <c r="AC468" s="50"/>
    </row>
    <row r="469">
      <c r="S469" s="50"/>
      <c r="V469" s="50"/>
      <c r="W469" s="50"/>
      <c r="AA469" s="50"/>
      <c r="AB469" s="50"/>
      <c r="AC469" s="50"/>
    </row>
    <row r="470">
      <c r="S470" s="50"/>
      <c r="V470" s="50"/>
      <c r="W470" s="50"/>
      <c r="AA470" s="50"/>
      <c r="AB470" s="50"/>
      <c r="AC470" s="50"/>
    </row>
    <row r="471">
      <c r="S471" s="50"/>
      <c r="V471" s="50"/>
      <c r="W471" s="50"/>
      <c r="AA471" s="50"/>
      <c r="AB471" s="50"/>
      <c r="AC471" s="50"/>
    </row>
    <row r="472">
      <c r="S472" s="50"/>
      <c r="V472" s="50"/>
      <c r="W472" s="50"/>
      <c r="AA472" s="50"/>
      <c r="AB472" s="50"/>
      <c r="AC472" s="50"/>
    </row>
    <row r="473">
      <c r="S473" s="50"/>
      <c r="V473" s="50"/>
      <c r="W473" s="50"/>
      <c r="AA473" s="50"/>
      <c r="AB473" s="50"/>
      <c r="AC473" s="50"/>
    </row>
    <row r="474">
      <c r="S474" s="50"/>
      <c r="V474" s="50"/>
      <c r="W474" s="50"/>
      <c r="AA474" s="50"/>
      <c r="AB474" s="50"/>
      <c r="AC474" s="50"/>
    </row>
    <row r="475">
      <c r="S475" s="50"/>
      <c r="V475" s="50"/>
      <c r="W475" s="50"/>
      <c r="AA475" s="50"/>
      <c r="AB475" s="50"/>
      <c r="AC475" s="50"/>
    </row>
    <row r="476">
      <c r="S476" s="50"/>
      <c r="V476" s="50"/>
      <c r="W476" s="50"/>
      <c r="AA476" s="50"/>
      <c r="AB476" s="50"/>
      <c r="AC476" s="50"/>
    </row>
    <row r="477">
      <c r="S477" s="50"/>
      <c r="V477" s="50"/>
      <c r="W477" s="50"/>
      <c r="AA477" s="50"/>
      <c r="AB477" s="50"/>
      <c r="AC477" s="50"/>
    </row>
    <row r="478">
      <c r="S478" s="50"/>
      <c r="V478" s="50"/>
      <c r="W478" s="50"/>
      <c r="AA478" s="50"/>
      <c r="AB478" s="50"/>
      <c r="AC478" s="50"/>
    </row>
    <row r="479">
      <c r="S479" s="50"/>
      <c r="V479" s="50"/>
      <c r="W479" s="50"/>
      <c r="AA479" s="50"/>
      <c r="AB479" s="50"/>
      <c r="AC479" s="50"/>
    </row>
    <row r="480">
      <c r="S480" s="50"/>
      <c r="V480" s="50"/>
      <c r="W480" s="50"/>
      <c r="AA480" s="50"/>
      <c r="AB480" s="50"/>
      <c r="AC480" s="50"/>
    </row>
    <row r="481">
      <c r="S481" s="50"/>
      <c r="V481" s="50"/>
      <c r="W481" s="50"/>
      <c r="AA481" s="50"/>
      <c r="AB481" s="50"/>
      <c r="AC481" s="50"/>
    </row>
    <row r="482">
      <c r="S482" s="50"/>
      <c r="V482" s="50"/>
      <c r="W482" s="50"/>
      <c r="AA482" s="50"/>
      <c r="AB482" s="50"/>
      <c r="AC482" s="50"/>
    </row>
    <row r="483">
      <c r="S483" s="50"/>
      <c r="V483" s="50"/>
      <c r="W483" s="50"/>
      <c r="AA483" s="50"/>
      <c r="AB483" s="50"/>
      <c r="AC483" s="50"/>
    </row>
    <row r="484">
      <c r="S484" s="50"/>
      <c r="V484" s="50"/>
      <c r="W484" s="50"/>
      <c r="AA484" s="50"/>
      <c r="AB484" s="50"/>
      <c r="AC484" s="50"/>
    </row>
    <row r="485">
      <c r="S485" s="50"/>
      <c r="V485" s="50"/>
      <c r="W485" s="50"/>
      <c r="AA485" s="50"/>
      <c r="AB485" s="50"/>
      <c r="AC485" s="50"/>
    </row>
    <row r="486">
      <c r="S486" s="50"/>
      <c r="V486" s="50"/>
      <c r="W486" s="50"/>
      <c r="AA486" s="50"/>
      <c r="AB486" s="50"/>
      <c r="AC486" s="50"/>
    </row>
    <row r="487">
      <c r="S487" s="50"/>
      <c r="V487" s="50"/>
      <c r="W487" s="50"/>
      <c r="AA487" s="50"/>
      <c r="AB487" s="50"/>
      <c r="AC487" s="50"/>
    </row>
    <row r="488">
      <c r="S488" s="50"/>
      <c r="V488" s="50"/>
      <c r="W488" s="50"/>
      <c r="AA488" s="50"/>
      <c r="AB488" s="50"/>
      <c r="AC488" s="50"/>
    </row>
    <row r="489">
      <c r="S489" s="50"/>
      <c r="V489" s="50"/>
      <c r="W489" s="50"/>
      <c r="AA489" s="50"/>
      <c r="AB489" s="50"/>
      <c r="AC489" s="50"/>
    </row>
    <row r="490">
      <c r="S490" s="50"/>
      <c r="V490" s="50"/>
      <c r="W490" s="50"/>
      <c r="AA490" s="50"/>
      <c r="AB490" s="50"/>
      <c r="AC490" s="50"/>
    </row>
    <row r="491">
      <c r="S491" s="50"/>
      <c r="V491" s="50"/>
      <c r="W491" s="50"/>
      <c r="AA491" s="50"/>
      <c r="AB491" s="50"/>
      <c r="AC491" s="50"/>
    </row>
    <row r="492">
      <c r="S492" s="50"/>
      <c r="V492" s="50"/>
      <c r="W492" s="50"/>
      <c r="AA492" s="50"/>
      <c r="AB492" s="50"/>
      <c r="AC492" s="50"/>
    </row>
    <row r="493">
      <c r="S493" s="50"/>
      <c r="V493" s="50"/>
      <c r="W493" s="50"/>
      <c r="AA493" s="50"/>
      <c r="AB493" s="50"/>
      <c r="AC493" s="50"/>
    </row>
    <row r="494">
      <c r="S494" s="50"/>
      <c r="V494" s="50"/>
      <c r="W494" s="50"/>
      <c r="AA494" s="50"/>
      <c r="AB494" s="50"/>
      <c r="AC494" s="50"/>
    </row>
    <row r="495">
      <c r="S495" s="50"/>
      <c r="V495" s="50"/>
      <c r="W495" s="50"/>
      <c r="AA495" s="50"/>
      <c r="AB495" s="50"/>
      <c r="AC495" s="50"/>
    </row>
    <row r="496">
      <c r="S496" s="50"/>
      <c r="V496" s="50"/>
      <c r="W496" s="50"/>
      <c r="AA496" s="50"/>
      <c r="AB496" s="50"/>
      <c r="AC496" s="50"/>
    </row>
    <row r="497">
      <c r="S497" s="50"/>
      <c r="V497" s="50"/>
      <c r="W497" s="50"/>
      <c r="AA497" s="50"/>
      <c r="AB497" s="50"/>
      <c r="AC497" s="50"/>
    </row>
    <row r="498">
      <c r="S498" s="50"/>
      <c r="V498" s="50"/>
      <c r="W498" s="50"/>
      <c r="AA498" s="50"/>
      <c r="AB498" s="50"/>
      <c r="AC498" s="50"/>
    </row>
    <row r="499">
      <c r="S499" s="50"/>
      <c r="V499" s="50"/>
      <c r="W499" s="50"/>
      <c r="AA499" s="50"/>
      <c r="AB499" s="50"/>
      <c r="AC499" s="50"/>
    </row>
    <row r="500">
      <c r="S500" s="50"/>
      <c r="V500" s="50"/>
      <c r="W500" s="50"/>
      <c r="AA500" s="50"/>
      <c r="AB500" s="50"/>
      <c r="AC500" s="50"/>
    </row>
    <row r="501">
      <c r="S501" s="50"/>
      <c r="V501" s="50"/>
      <c r="W501" s="50"/>
      <c r="AA501" s="50"/>
      <c r="AB501" s="50"/>
      <c r="AC501" s="50"/>
    </row>
    <row r="502">
      <c r="S502" s="50"/>
      <c r="V502" s="50"/>
      <c r="W502" s="50"/>
      <c r="AA502" s="50"/>
      <c r="AB502" s="50"/>
      <c r="AC502" s="50"/>
    </row>
    <row r="503">
      <c r="S503" s="50"/>
      <c r="V503" s="50"/>
      <c r="W503" s="50"/>
      <c r="AA503" s="50"/>
      <c r="AB503" s="50"/>
      <c r="AC503" s="50"/>
    </row>
    <row r="504">
      <c r="S504" s="50"/>
      <c r="V504" s="50"/>
      <c r="W504" s="50"/>
      <c r="AA504" s="50"/>
      <c r="AB504" s="50"/>
      <c r="AC504" s="50"/>
    </row>
    <row r="505">
      <c r="S505" s="50"/>
      <c r="V505" s="50"/>
      <c r="W505" s="50"/>
      <c r="AA505" s="50"/>
      <c r="AB505" s="50"/>
      <c r="AC505" s="50"/>
    </row>
    <row r="506">
      <c r="S506" s="50"/>
      <c r="V506" s="50"/>
      <c r="W506" s="50"/>
      <c r="AA506" s="50"/>
      <c r="AB506" s="50"/>
      <c r="AC506" s="50"/>
    </row>
    <row r="507">
      <c r="S507" s="50"/>
      <c r="V507" s="50"/>
      <c r="W507" s="50"/>
      <c r="AA507" s="50"/>
      <c r="AB507" s="50"/>
      <c r="AC507" s="50"/>
    </row>
    <row r="508">
      <c r="S508" s="50"/>
      <c r="V508" s="50"/>
      <c r="W508" s="50"/>
      <c r="AA508" s="50"/>
      <c r="AB508" s="50"/>
      <c r="AC508" s="50"/>
    </row>
    <row r="509">
      <c r="S509" s="50"/>
      <c r="V509" s="50"/>
      <c r="W509" s="50"/>
      <c r="AA509" s="50"/>
      <c r="AB509" s="50"/>
      <c r="AC509" s="50"/>
    </row>
    <row r="510">
      <c r="S510" s="50"/>
      <c r="V510" s="50"/>
      <c r="W510" s="50"/>
      <c r="AA510" s="50"/>
      <c r="AB510" s="50"/>
      <c r="AC510" s="50"/>
    </row>
    <row r="511">
      <c r="S511" s="50"/>
      <c r="V511" s="50"/>
      <c r="W511" s="50"/>
      <c r="AA511" s="50"/>
      <c r="AB511" s="50"/>
      <c r="AC511" s="50"/>
    </row>
    <row r="512">
      <c r="S512" s="50"/>
      <c r="V512" s="50"/>
      <c r="W512" s="50"/>
      <c r="AA512" s="50"/>
      <c r="AB512" s="50"/>
      <c r="AC512" s="50"/>
    </row>
    <row r="513">
      <c r="S513" s="50"/>
      <c r="V513" s="50"/>
      <c r="W513" s="50"/>
      <c r="AA513" s="50"/>
      <c r="AB513" s="50"/>
      <c r="AC513" s="50"/>
    </row>
    <row r="514">
      <c r="S514" s="50"/>
      <c r="V514" s="50"/>
      <c r="W514" s="50"/>
      <c r="AA514" s="50"/>
      <c r="AB514" s="50"/>
      <c r="AC514" s="50"/>
    </row>
    <row r="515">
      <c r="S515" s="50"/>
      <c r="V515" s="50"/>
      <c r="W515" s="50"/>
      <c r="AA515" s="50"/>
      <c r="AB515" s="50"/>
      <c r="AC515" s="50"/>
    </row>
    <row r="516">
      <c r="S516" s="50"/>
      <c r="V516" s="50"/>
      <c r="W516" s="50"/>
      <c r="AA516" s="50"/>
      <c r="AB516" s="50"/>
      <c r="AC516" s="50"/>
    </row>
    <row r="517">
      <c r="S517" s="50"/>
      <c r="V517" s="50"/>
      <c r="W517" s="50"/>
      <c r="AA517" s="50"/>
      <c r="AB517" s="50"/>
      <c r="AC517" s="50"/>
    </row>
    <row r="518">
      <c r="S518" s="50"/>
      <c r="V518" s="50"/>
      <c r="W518" s="50"/>
      <c r="AA518" s="50"/>
      <c r="AB518" s="50"/>
      <c r="AC518" s="50"/>
    </row>
    <row r="519">
      <c r="S519" s="50"/>
      <c r="V519" s="50"/>
      <c r="W519" s="50"/>
      <c r="AA519" s="50"/>
      <c r="AB519" s="50"/>
      <c r="AC519" s="50"/>
    </row>
    <row r="520">
      <c r="S520" s="50"/>
      <c r="V520" s="50"/>
      <c r="W520" s="50"/>
      <c r="AA520" s="50"/>
      <c r="AB520" s="50"/>
      <c r="AC520" s="50"/>
    </row>
    <row r="521">
      <c r="S521" s="50"/>
      <c r="V521" s="50"/>
      <c r="W521" s="50"/>
      <c r="AA521" s="50"/>
      <c r="AB521" s="50"/>
      <c r="AC521" s="50"/>
    </row>
    <row r="522">
      <c r="S522" s="50"/>
      <c r="V522" s="50"/>
      <c r="W522" s="50"/>
      <c r="AA522" s="50"/>
      <c r="AB522" s="50"/>
      <c r="AC522" s="50"/>
    </row>
    <row r="523">
      <c r="S523" s="50"/>
      <c r="V523" s="50"/>
      <c r="W523" s="50"/>
      <c r="AA523" s="50"/>
      <c r="AB523" s="50"/>
      <c r="AC523" s="50"/>
    </row>
    <row r="524">
      <c r="S524" s="50"/>
      <c r="V524" s="50"/>
      <c r="W524" s="50"/>
      <c r="AA524" s="50"/>
      <c r="AB524" s="50"/>
      <c r="AC524" s="50"/>
    </row>
    <row r="525">
      <c r="S525" s="50"/>
      <c r="V525" s="50"/>
      <c r="W525" s="50"/>
      <c r="AA525" s="50"/>
      <c r="AB525" s="50"/>
      <c r="AC525" s="50"/>
    </row>
    <row r="526">
      <c r="S526" s="50"/>
      <c r="V526" s="50"/>
      <c r="W526" s="50"/>
      <c r="AA526" s="50"/>
      <c r="AB526" s="50"/>
      <c r="AC526" s="50"/>
    </row>
    <row r="527">
      <c r="S527" s="50"/>
      <c r="V527" s="50"/>
      <c r="W527" s="50"/>
      <c r="AA527" s="50"/>
      <c r="AB527" s="50"/>
      <c r="AC527" s="50"/>
    </row>
    <row r="528">
      <c r="S528" s="50"/>
      <c r="V528" s="50"/>
      <c r="W528" s="50"/>
      <c r="AA528" s="50"/>
      <c r="AB528" s="50"/>
      <c r="AC528" s="50"/>
    </row>
    <row r="529">
      <c r="S529" s="50"/>
      <c r="V529" s="50"/>
      <c r="W529" s="50"/>
      <c r="AA529" s="50"/>
      <c r="AB529" s="50"/>
      <c r="AC529" s="50"/>
    </row>
    <row r="530">
      <c r="S530" s="50"/>
      <c r="V530" s="50"/>
      <c r="W530" s="50"/>
      <c r="AA530" s="50"/>
      <c r="AB530" s="50"/>
      <c r="AC530" s="50"/>
    </row>
    <row r="531">
      <c r="S531" s="50"/>
      <c r="V531" s="50"/>
      <c r="W531" s="50"/>
      <c r="AA531" s="50"/>
      <c r="AB531" s="50"/>
      <c r="AC531" s="50"/>
    </row>
    <row r="532">
      <c r="S532" s="50"/>
      <c r="V532" s="50"/>
      <c r="W532" s="50"/>
      <c r="AA532" s="50"/>
      <c r="AB532" s="50"/>
      <c r="AC532" s="50"/>
    </row>
    <row r="533">
      <c r="S533" s="50"/>
      <c r="V533" s="50"/>
      <c r="W533" s="50"/>
      <c r="AA533" s="50"/>
      <c r="AB533" s="50"/>
      <c r="AC533" s="50"/>
    </row>
    <row r="534">
      <c r="S534" s="50"/>
      <c r="V534" s="50"/>
      <c r="W534" s="50"/>
      <c r="AA534" s="50"/>
      <c r="AB534" s="50"/>
      <c r="AC534" s="50"/>
    </row>
    <row r="535">
      <c r="S535" s="50"/>
      <c r="V535" s="50"/>
      <c r="W535" s="50"/>
      <c r="AA535" s="50"/>
      <c r="AB535" s="50"/>
      <c r="AC535" s="50"/>
    </row>
    <row r="536">
      <c r="S536" s="50"/>
      <c r="V536" s="50"/>
      <c r="W536" s="50"/>
      <c r="AA536" s="50"/>
      <c r="AB536" s="50"/>
      <c r="AC536" s="50"/>
    </row>
    <row r="537">
      <c r="S537" s="50"/>
      <c r="V537" s="50"/>
      <c r="W537" s="50"/>
      <c r="AA537" s="50"/>
      <c r="AB537" s="50"/>
      <c r="AC537" s="50"/>
    </row>
    <row r="538">
      <c r="S538" s="50"/>
      <c r="V538" s="50"/>
      <c r="W538" s="50"/>
      <c r="AA538" s="50"/>
      <c r="AB538" s="50"/>
      <c r="AC538" s="50"/>
    </row>
    <row r="539">
      <c r="S539" s="50"/>
      <c r="V539" s="50"/>
      <c r="W539" s="50"/>
      <c r="AA539" s="50"/>
      <c r="AB539" s="50"/>
      <c r="AC539" s="50"/>
    </row>
    <row r="540">
      <c r="S540" s="50"/>
      <c r="V540" s="50"/>
      <c r="W540" s="50"/>
      <c r="AA540" s="50"/>
      <c r="AB540" s="50"/>
      <c r="AC540" s="50"/>
    </row>
    <row r="541">
      <c r="S541" s="50"/>
      <c r="V541" s="50"/>
      <c r="W541" s="50"/>
      <c r="AA541" s="50"/>
      <c r="AB541" s="50"/>
      <c r="AC541" s="50"/>
    </row>
    <row r="542">
      <c r="S542" s="50"/>
      <c r="V542" s="50"/>
      <c r="W542" s="50"/>
      <c r="AA542" s="50"/>
      <c r="AB542" s="50"/>
      <c r="AC542" s="50"/>
    </row>
    <row r="543">
      <c r="S543" s="50"/>
      <c r="V543" s="50"/>
      <c r="W543" s="50"/>
      <c r="AA543" s="50"/>
      <c r="AB543" s="50"/>
      <c r="AC543" s="50"/>
    </row>
    <row r="544">
      <c r="S544" s="50"/>
      <c r="V544" s="50"/>
      <c r="W544" s="50"/>
      <c r="AA544" s="50"/>
      <c r="AB544" s="50"/>
      <c r="AC544" s="50"/>
    </row>
    <row r="545">
      <c r="S545" s="50"/>
      <c r="V545" s="50"/>
      <c r="W545" s="50"/>
      <c r="AA545" s="50"/>
      <c r="AB545" s="50"/>
      <c r="AC545" s="50"/>
    </row>
    <row r="546">
      <c r="S546" s="50"/>
      <c r="V546" s="50"/>
      <c r="W546" s="50"/>
      <c r="AA546" s="50"/>
      <c r="AB546" s="50"/>
      <c r="AC546" s="50"/>
    </row>
    <row r="547">
      <c r="S547" s="50"/>
      <c r="V547" s="50"/>
      <c r="W547" s="50"/>
      <c r="AA547" s="50"/>
      <c r="AB547" s="50"/>
      <c r="AC547" s="50"/>
    </row>
    <row r="548">
      <c r="S548" s="50"/>
      <c r="V548" s="50"/>
      <c r="W548" s="50"/>
      <c r="AA548" s="50"/>
      <c r="AB548" s="50"/>
      <c r="AC548" s="50"/>
    </row>
    <row r="549">
      <c r="S549" s="50"/>
      <c r="V549" s="50"/>
      <c r="W549" s="50"/>
      <c r="AA549" s="50"/>
      <c r="AB549" s="50"/>
      <c r="AC549" s="50"/>
    </row>
    <row r="550">
      <c r="S550" s="50"/>
      <c r="V550" s="50"/>
      <c r="W550" s="50"/>
      <c r="AA550" s="50"/>
      <c r="AB550" s="50"/>
      <c r="AC550" s="50"/>
    </row>
    <row r="551">
      <c r="S551" s="50"/>
      <c r="V551" s="50"/>
      <c r="W551" s="50"/>
      <c r="AA551" s="50"/>
      <c r="AB551" s="50"/>
      <c r="AC551" s="50"/>
    </row>
    <row r="552">
      <c r="S552" s="50"/>
      <c r="V552" s="50"/>
      <c r="W552" s="50"/>
      <c r="AA552" s="50"/>
      <c r="AB552" s="50"/>
      <c r="AC552" s="50"/>
    </row>
    <row r="553">
      <c r="S553" s="50"/>
      <c r="V553" s="50"/>
      <c r="W553" s="50"/>
      <c r="AA553" s="50"/>
      <c r="AB553" s="50"/>
      <c r="AC553" s="50"/>
    </row>
    <row r="554">
      <c r="S554" s="50"/>
      <c r="V554" s="50"/>
      <c r="W554" s="50"/>
      <c r="AA554" s="50"/>
      <c r="AB554" s="50"/>
      <c r="AC554" s="50"/>
    </row>
    <row r="555">
      <c r="S555" s="50"/>
      <c r="V555" s="50"/>
      <c r="W555" s="50"/>
      <c r="AA555" s="50"/>
      <c r="AB555" s="50"/>
      <c r="AC555" s="50"/>
    </row>
    <row r="556">
      <c r="S556" s="50"/>
      <c r="V556" s="50"/>
      <c r="W556" s="50"/>
      <c r="AA556" s="50"/>
      <c r="AB556" s="50"/>
      <c r="AC556" s="50"/>
    </row>
    <row r="557">
      <c r="S557" s="50"/>
      <c r="V557" s="50"/>
      <c r="W557" s="50"/>
      <c r="AA557" s="50"/>
      <c r="AB557" s="50"/>
      <c r="AC557" s="50"/>
    </row>
    <row r="558">
      <c r="S558" s="50"/>
      <c r="V558" s="50"/>
      <c r="W558" s="50"/>
      <c r="AA558" s="50"/>
      <c r="AB558" s="50"/>
      <c r="AC558" s="50"/>
    </row>
    <row r="559">
      <c r="S559" s="50"/>
      <c r="V559" s="50"/>
      <c r="W559" s="50"/>
      <c r="AA559" s="50"/>
      <c r="AB559" s="50"/>
      <c r="AC559" s="50"/>
    </row>
    <row r="560">
      <c r="S560" s="50"/>
      <c r="V560" s="50"/>
      <c r="W560" s="50"/>
      <c r="AA560" s="50"/>
      <c r="AB560" s="50"/>
      <c r="AC560" s="50"/>
    </row>
    <row r="561">
      <c r="S561" s="50"/>
      <c r="V561" s="50"/>
      <c r="W561" s="50"/>
      <c r="AA561" s="50"/>
      <c r="AB561" s="50"/>
      <c r="AC561" s="50"/>
    </row>
    <row r="562">
      <c r="S562" s="50"/>
      <c r="V562" s="50"/>
      <c r="W562" s="50"/>
      <c r="AA562" s="50"/>
      <c r="AB562" s="50"/>
      <c r="AC562" s="50"/>
    </row>
    <row r="563">
      <c r="S563" s="50"/>
      <c r="V563" s="50"/>
      <c r="W563" s="50"/>
      <c r="AA563" s="50"/>
      <c r="AB563" s="50"/>
      <c r="AC563" s="50"/>
    </row>
    <row r="564">
      <c r="S564" s="50"/>
      <c r="V564" s="50"/>
      <c r="W564" s="50"/>
      <c r="AA564" s="50"/>
      <c r="AB564" s="50"/>
      <c r="AC564" s="50"/>
    </row>
    <row r="565">
      <c r="S565" s="50"/>
      <c r="V565" s="50"/>
      <c r="W565" s="50"/>
      <c r="AA565" s="50"/>
      <c r="AB565" s="50"/>
      <c r="AC565" s="50"/>
    </row>
    <row r="566">
      <c r="S566" s="50"/>
      <c r="V566" s="50"/>
      <c r="W566" s="50"/>
      <c r="AA566" s="50"/>
      <c r="AB566" s="50"/>
      <c r="AC566" s="50"/>
    </row>
    <row r="567">
      <c r="S567" s="50"/>
      <c r="V567" s="50"/>
      <c r="W567" s="50"/>
      <c r="AA567" s="50"/>
      <c r="AB567" s="50"/>
      <c r="AC567" s="50"/>
    </row>
    <row r="568">
      <c r="S568" s="50"/>
      <c r="V568" s="50"/>
      <c r="W568" s="50"/>
      <c r="AA568" s="50"/>
      <c r="AB568" s="50"/>
      <c r="AC568" s="50"/>
    </row>
    <row r="569">
      <c r="S569" s="50"/>
      <c r="V569" s="50"/>
      <c r="W569" s="50"/>
      <c r="AA569" s="50"/>
      <c r="AB569" s="50"/>
      <c r="AC569" s="50"/>
    </row>
    <row r="570">
      <c r="S570" s="50"/>
      <c r="V570" s="50"/>
      <c r="W570" s="50"/>
      <c r="AA570" s="50"/>
      <c r="AB570" s="50"/>
      <c r="AC570" s="50"/>
    </row>
    <row r="571">
      <c r="S571" s="50"/>
      <c r="V571" s="50"/>
      <c r="W571" s="50"/>
      <c r="AA571" s="50"/>
      <c r="AB571" s="50"/>
      <c r="AC571" s="50"/>
    </row>
    <row r="572">
      <c r="S572" s="50"/>
      <c r="V572" s="50"/>
      <c r="W572" s="50"/>
      <c r="AA572" s="50"/>
      <c r="AB572" s="50"/>
      <c r="AC572" s="50"/>
    </row>
    <row r="573">
      <c r="S573" s="50"/>
      <c r="V573" s="50"/>
      <c r="W573" s="50"/>
      <c r="AA573" s="50"/>
      <c r="AB573" s="50"/>
      <c r="AC573" s="50"/>
    </row>
    <row r="574">
      <c r="S574" s="50"/>
      <c r="V574" s="50"/>
      <c r="W574" s="50"/>
      <c r="AA574" s="50"/>
      <c r="AB574" s="50"/>
      <c r="AC574" s="50"/>
    </row>
    <row r="575">
      <c r="S575" s="50"/>
      <c r="V575" s="50"/>
      <c r="W575" s="50"/>
      <c r="AA575" s="50"/>
      <c r="AB575" s="50"/>
      <c r="AC575" s="50"/>
    </row>
    <row r="576">
      <c r="S576" s="50"/>
      <c r="V576" s="50"/>
      <c r="W576" s="50"/>
      <c r="AA576" s="50"/>
      <c r="AB576" s="50"/>
      <c r="AC576" s="50"/>
    </row>
    <row r="577">
      <c r="S577" s="50"/>
      <c r="V577" s="50"/>
      <c r="W577" s="50"/>
      <c r="AA577" s="50"/>
      <c r="AB577" s="50"/>
      <c r="AC577" s="50"/>
    </row>
    <row r="578">
      <c r="S578" s="50"/>
      <c r="V578" s="50"/>
      <c r="W578" s="50"/>
      <c r="AA578" s="50"/>
      <c r="AB578" s="50"/>
      <c r="AC578" s="50"/>
    </row>
    <row r="579">
      <c r="S579" s="50"/>
      <c r="V579" s="50"/>
      <c r="W579" s="50"/>
      <c r="AA579" s="50"/>
      <c r="AB579" s="50"/>
      <c r="AC579" s="50"/>
    </row>
    <row r="580">
      <c r="S580" s="50"/>
      <c r="V580" s="50"/>
      <c r="W580" s="50"/>
      <c r="AA580" s="50"/>
      <c r="AB580" s="50"/>
      <c r="AC580" s="50"/>
    </row>
    <row r="581">
      <c r="S581" s="50"/>
      <c r="V581" s="50"/>
      <c r="W581" s="50"/>
      <c r="AA581" s="50"/>
      <c r="AB581" s="50"/>
      <c r="AC581" s="50"/>
    </row>
    <row r="582">
      <c r="S582" s="50"/>
      <c r="V582" s="50"/>
      <c r="W582" s="50"/>
      <c r="AA582" s="50"/>
      <c r="AB582" s="50"/>
      <c r="AC582" s="50"/>
    </row>
    <row r="583">
      <c r="S583" s="50"/>
      <c r="V583" s="50"/>
      <c r="W583" s="50"/>
      <c r="AA583" s="50"/>
      <c r="AB583" s="50"/>
      <c r="AC583" s="50"/>
    </row>
    <row r="584">
      <c r="S584" s="50"/>
      <c r="V584" s="50"/>
      <c r="W584" s="50"/>
      <c r="AA584" s="50"/>
      <c r="AB584" s="50"/>
      <c r="AC584" s="50"/>
    </row>
    <row r="585">
      <c r="S585" s="50"/>
      <c r="V585" s="50"/>
      <c r="W585" s="50"/>
      <c r="AA585" s="50"/>
      <c r="AB585" s="50"/>
      <c r="AC585" s="50"/>
    </row>
    <row r="586">
      <c r="S586" s="50"/>
      <c r="V586" s="50"/>
      <c r="W586" s="50"/>
      <c r="AA586" s="50"/>
      <c r="AB586" s="50"/>
      <c r="AC586" s="50"/>
    </row>
    <row r="587">
      <c r="S587" s="50"/>
      <c r="V587" s="50"/>
      <c r="W587" s="50"/>
      <c r="AA587" s="50"/>
      <c r="AB587" s="50"/>
      <c r="AC587" s="50"/>
    </row>
    <row r="588">
      <c r="S588" s="50"/>
      <c r="V588" s="50"/>
      <c r="W588" s="50"/>
      <c r="AA588" s="50"/>
      <c r="AB588" s="50"/>
      <c r="AC588" s="50"/>
    </row>
    <row r="589">
      <c r="S589" s="50"/>
      <c r="V589" s="50"/>
      <c r="W589" s="50"/>
      <c r="AA589" s="50"/>
      <c r="AB589" s="50"/>
      <c r="AC589" s="50"/>
    </row>
    <row r="590">
      <c r="S590" s="50"/>
      <c r="V590" s="50"/>
      <c r="W590" s="50"/>
      <c r="AA590" s="50"/>
      <c r="AB590" s="50"/>
      <c r="AC590" s="50"/>
    </row>
    <row r="591">
      <c r="S591" s="50"/>
      <c r="V591" s="50"/>
      <c r="W591" s="50"/>
      <c r="AA591" s="50"/>
      <c r="AB591" s="50"/>
      <c r="AC591" s="50"/>
    </row>
    <row r="592">
      <c r="S592" s="50"/>
      <c r="V592" s="50"/>
      <c r="W592" s="50"/>
      <c r="AA592" s="50"/>
      <c r="AB592" s="50"/>
      <c r="AC592" s="50"/>
    </row>
    <row r="593">
      <c r="S593" s="50"/>
      <c r="V593" s="50"/>
      <c r="W593" s="50"/>
      <c r="AA593" s="50"/>
      <c r="AB593" s="50"/>
      <c r="AC593" s="50"/>
    </row>
    <row r="594">
      <c r="S594" s="50"/>
      <c r="V594" s="50"/>
      <c r="W594" s="50"/>
      <c r="AA594" s="50"/>
      <c r="AB594" s="50"/>
      <c r="AC594" s="50"/>
    </row>
    <row r="595">
      <c r="S595" s="50"/>
      <c r="V595" s="50"/>
      <c r="W595" s="50"/>
      <c r="AA595" s="50"/>
      <c r="AB595" s="50"/>
      <c r="AC595" s="50"/>
    </row>
    <row r="596">
      <c r="S596" s="50"/>
      <c r="V596" s="50"/>
      <c r="W596" s="50"/>
      <c r="AA596" s="50"/>
      <c r="AB596" s="50"/>
      <c r="AC596" s="50"/>
    </row>
    <row r="597">
      <c r="S597" s="50"/>
      <c r="V597" s="50"/>
      <c r="W597" s="50"/>
      <c r="AA597" s="50"/>
      <c r="AB597" s="50"/>
      <c r="AC597" s="50"/>
    </row>
    <row r="598">
      <c r="S598" s="50"/>
      <c r="V598" s="50"/>
      <c r="W598" s="50"/>
      <c r="AA598" s="50"/>
      <c r="AB598" s="50"/>
      <c r="AC598" s="50"/>
    </row>
    <row r="599">
      <c r="S599" s="50"/>
      <c r="V599" s="50"/>
      <c r="W599" s="50"/>
      <c r="AA599" s="50"/>
      <c r="AB599" s="50"/>
      <c r="AC599" s="50"/>
    </row>
    <row r="600">
      <c r="S600" s="50"/>
      <c r="V600" s="50"/>
      <c r="W600" s="50"/>
      <c r="AA600" s="50"/>
      <c r="AB600" s="50"/>
      <c r="AC600" s="50"/>
    </row>
    <row r="601">
      <c r="S601" s="50"/>
      <c r="V601" s="50"/>
      <c r="W601" s="50"/>
      <c r="AA601" s="50"/>
      <c r="AB601" s="50"/>
      <c r="AC601" s="50"/>
    </row>
    <row r="602">
      <c r="S602" s="50"/>
      <c r="V602" s="50"/>
      <c r="W602" s="50"/>
      <c r="AA602" s="50"/>
      <c r="AB602" s="50"/>
      <c r="AC602" s="50"/>
    </row>
    <row r="603">
      <c r="S603" s="50"/>
      <c r="V603" s="50"/>
      <c r="W603" s="50"/>
      <c r="AA603" s="50"/>
      <c r="AB603" s="50"/>
      <c r="AC603" s="50"/>
    </row>
    <row r="604">
      <c r="S604" s="50"/>
      <c r="V604" s="50"/>
      <c r="W604" s="50"/>
      <c r="AA604" s="50"/>
      <c r="AB604" s="50"/>
      <c r="AC604" s="50"/>
    </row>
    <row r="605">
      <c r="S605" s="50"/>
      <c r="V605" s="50"/>
      <c r="W605" s="50"/>
      <c r="AA605" s="50"/>
      <c r="AB605" s="50"/>
      <c r="AC605" s="50"/>
    </row>
    <row r="606">
      <c r="S606" s="50"/>
      <c r="V606" s="50"/>
      <c r="W606" s="50"/>
      <c r="AA606" s="50"/>
      <c r="AB606" s="50"/>
      <c r="AC606" s="50"/>
    </row>
    <row r="607">
      <c r="S607" s="50"/>
      <c r="V607" s="50"/>
      <c r="W607" s="50"/>
      <c r="AA607" s="50"/>
      <c r="AB607" s="50"/>
      <c r="AC607" s="50"/>
    </row>
    <row r="608">
      <c r="S608" s="50"/>
      <c r="V608" s="50"/>
      <c r="W608" s="50"/>
      <c r="AA608" s="50"/>
      <c r="AB608" s="50"/>
      <c r="AC608" s="50"/>
    </row>
    <row r="609">
      <c r="S609" s="50"/>
      <c r="V609" s="50"/>
      <c r="W609" s="50"/>
      <c r="AA609" s="50"/>
      <c r="AB609" s="50"/>
      <c r="AC609" s="50"/>
    </row>
    <row r="610">
      <c r="S610" s="50"/>
      <c r="V610" s="50"/>
      <c r="W610" s="50"/>
      <c r="AA610" s="50"/>
      <c r="AB610" s="50"/>
      <c r="AC610" s="50"/>
    </row>
    <row r="611">
      <c r="S611" s="50"/>
      <c r="V611" s="50"/>
      <c r="W611" s="50"/>
      <c r="AA611" s="50"/>
      <c r="AB611" s="50"/>
      <c r="AC611" s="50"/>
    </row>
    <row r="612">
      <c r="S612" s="50"/>
      <c r="V612" s="50"/>
      <c r="W612" s="50"/>
      <c r="AA612" s="50"/>
      <c r="AB612" s="50"/>
      <c r="AC612" s="50"/>
    </row>
    <row r="613">
      <c r="S613" s="50"/>
      <c r="V613" s="50"/>
      <c r="W613" s="50"/>
      <c r="AA613" s="50"/>
      <c r="AB613" s="50"/>
      <c r="AC613" s="50"/>
    </row>
    <row r="614">
      <c r="S614" s="50"/>
      <c r="V614" s="50"/>
      <c r="W614" s="50"/>
      <c r="AA614" s="50"/>
      <c r="AB614" s="50"/>
      <c r="AC614" s="50"/>
    </row>
    <row r="615">
      <c r="S615" s="50"/>
      <c r="V615" s="50"/>
      <c r="W615" s="50"/>
      <c r="AA615" s="50"/>
      <c r="AB615" s="50"/>
      <c r="AC615" s="50"/>
    </row>
    <row r="616">
      <c r="S616" s="50"/>
      <c r="V616" s="50"/>
      <c r="W616" s="50"/>
      <c r="AA616" s="50"/>
      <c r="AB616" s="50"/>
      <c r="AC616" s="50"/>
    </row>
    <row r="617">
      <c r="S617" s="50"/>
      <c r="V617" s="50"/>
      <c r="W617" s="50"/>
      <c r="AA617" s="50"/>
      <c r="AB617" s="50"/>
      <c r="AC617" s="50"/>
    </row>
    <row r="618">
      <c r="S618" s="50"/>
      <c r="V618" s="50"/>
      <c r="W618" s="50"/>
      <c r="AA618" s="50"/>
      <c r="AB618" s="50"/>
      <c r="AC618" s="50"/>
    </row>
    <row r="619">
      <c r="S619" s="50"/>
      <c r="V619" s="50"/>
      <c r="W619" s="50"/>
      <c r="AA619" s="50"/>
      <c r="AB619" s="50"/>
      <c r="AC619" s="50"/>
    </row>
    <row r="620">
      <c r="S620" s="50"/>
      <c r="V620" s="50"/>
      <c r="W620" s="50"/>
      <c r="AA620" s="50"/>
      <c r="AB620" s="50"/>
      <c r="AC620" s="50"/>
    </row>
    <row r="621">
      <c r="S621" s="50"/>
      <c r="V621" s="50"/>
      <c r="W621" s="50"/>
      <c r="AA621" s="50"/>
      <c r="AB621" s="50"/>
      <c r="AC621" s="50"/>
    </row>
    <row r="622">
      <c r="S622" s="50"/>
      <c r="V622" s="50"/>
      <c r="W622" s="50"/>
      <c r="AA622" s="50"/>
      <c r="AB622" s="50"/>
      <c r="AC622" s="50"/>
    </row>
    <row r="623">
      <c r="S623" s="50"/>
      <c r="V623" s="50"/>
      <c r="W623" s="50"/>
      <c r="AA623" s="50"/>
      <c r="AB623" s="50"/>
      <c r="AC623" s="50"/>
    </row>
    <row r="624">
      <c r="S624" s="50"/>
      <c r="V624" s="50"/>
      <c r="W624" s="50"/>
      <c r="AA624" s="50"/>
      <c r="AB624" s="50"/>
      <c r="AC624" s="50"/>
    </row>
    <row r="625">
      <c r="S625" s="50"/>
      <c r="V625" s="50"/>
      <c r="W625" s="50"/>
      <c r="AA625" s="50"/>
      <c r="AB625" s="50"/>
      <c r="AC625" s="50"/>
    </row>
    <row r="626">
      <c r="S626" s="50"/>
      <c r="V626" s="50"/>
      <c r="W626" s="50"/>
      <c r="AA626" s="50"/>
      <c r="AB626" s="50"/>
      <c r="AC626" s="50"/>
    </row>
    <row r="627">
      <c r="S627" s="50"/>
      <c r="V627" s="50"/>
      <c r="W627" s="50"/>
      <c r="AA627" s="50"/>
      <c r="AB627" s="50"/>
      <c r="AC627" s="50"/>
    </row>
    <row r="628">
      <c r="S628" s="50"/>
      <c r="V628" s="50"/>
      <c r="W628" s="50"/>
      <c r="AA628" s="50"/>
      <c r="AB628" s="50"/>
      <c r="AC628" s="50"/>
    </row>
    <row r="629">
      <c r="S629" s="50"/>
      <c r="V629" s="50"/>
      <c r="W629" s="50"/>
      <c r="AA629" s="50"/>
      <c r="AB629" s="50"/>
      <c r="AC629" s="50"/>
    </row>
    <row r="630">
      <c r="S630" s="50"/>
      <c r="V630" s="50"/>
      <c r="W630" s="50"/>
      <c r="AA630" s="50"/>
      <c r="AB630" s="50"/>
      <c r="AC630" s="50"/>
    </row>
    <row r="631">
      <c r="S631" s="50"/>
      <c r="V631" s="50"/>
      <c r="W631" s="50"/>
      <c r="AA631" s="50"/>
      <c r="AB631" s="50"/>
      <c r="AC631" s="50"/>
    </row>
    <row r="632">
      <c r="S632" s="50"/>
      <c r="V632" s="50"/>
      <c r="W632" s="50"/>
      <c r="AA632" s="50"/>
      <c r="AB632" s="50"/>
      <c r="AC632" s="50"/>
    </row>
    <row r="633">
      <c r="S633" s="50"/>
      <c r="V633" s="50"/>
      <c r="W633" s="50"/>
      <c r="AA633" s="50"/>
      <c r="AB633" s="50"/>
      <c r="AC633" s="50"/>
    </row>
    <row r="634">
      <c r="S634" s="50"/>
      <c r="V634" s="50"/>
      <c r="W634" s="50"/>
      <c r="AA634" s="50"/>
      <c r="AB634" s="50"/>
      <c r="AC634" s="50"/>
    </row>
    <row r="635">
      <c r="S635" s="50"/>
      <c r="V635" s="50"/>
      <c r="W635" s="50"/>
      <c r="AA635" s="50"/>
      <c r="AB635" s="50"/>
      <c r="AC635" s="50"/>
    </row>
    <row r="636">
      <c r="S636" s="50"/>
      <c r="V636" s="50"/>
      <c r="W636" s="50"/>
      <c r="AA636" s="50"/>
      <c r="AB636" s="50"/>
      <c r="AC636" s="50"/>
    </row>
    <row r="637">
      <c r="S637" s="50"/>
      <c r="V637" s="50"/>
      <c r="W637" s="50"/>
      <c r="AA637" s="50"/>
      <c r="AB637" s="50"/>
      <c r="AC637" s="50"/>
    </row>
    <row r="638">
      <c r="S638" s="50"/>
      <c r="V638" s="50"/>
      <c r="W638" s="50"/>
      <c r="AA638" s="50"/>
      <c r="AB638" s="50"/>
      <c r="AC638" s="50"/>
    </row>
    <row r="639">
      <c r="S639" s="50"/>
      <c r="V639" s="50"/>
      <c r="W639" s="50"/>
      <c r="AA639" s="50"/>
      <c r="AB639" s="50"/>
      <c r="AC639" s="50"/>
    </row>
    <row r="640">
      <c r="S640" s="50"/>
      <c r="V640" s="50"/>
      <c r="W640" s="50"/>
      <c r="AA640" s="50"/>
      <c r="AB640" s="50"/>
      <c r="AC640" s="50"/>
    </row>
    <row r="641">
      <c r="S641" s="50"/>
      <c r="V641" s="50"/>
      <c r="W641" s="50"/>
      <c r="AA641" s="50"/>
      <c r="AB641" s="50"/>
      <c r="AC641" s="50"/>
    </row>
    <row r="642">
      <c r="S642" s="50"/>
      <c r="V642" s="50"/>
      <c r="W642" s="50"/>
      <c r="AA642" s="50"/>
      <c r="AB642" s="50"/>
      <c r="AC642" s="50"/>
    </row>
    <row r="643">
      <c r="S643" s="50"/>
      <c r="V643" s="50"/>
      <c r="W643" s="50"/>
      <c r="AA643" s="50"/>
      <c r="AB643" s="50"/>
      <c r="AC643" s="50"/>
    </row>
    <row r="644">
      <c r="S644" s="50"/>
      <c r="V644" s="50"/>
      <c r="W644" s="50"/>
      <c r="AA644" s="50"/>
      <c r="AB644" s="50"/>
      <c r="AC644" s="50"/>
    </row>
    <row r="645">
      <c r="S645" s="50"/>
      <c r="V645" s="50"/>
      <c r="W645" s="50"/>
      <c r="AA645" s="50"/>
      <c r="AB645" s="50"/>
      <c r="AC645" s="50"/>
    </row>
    <row r="646">
      <c r="S646" s="50"/>
      <c r="V646" s="50"/>
      <c r="W646" s="50"/>
      <c r="AA646" s="50"/>
      <c r="AB646" s="50"/>
      <c r="AC646" s="50"/>
    </row>
    <row r="647">
      <c r="S647" s="50"/>
      <c r="V647" s="50"/>
      <c r="W647" s="50"/>
      <c r="AA647" s="50"/>
      <c r="AB647" s="50"/>
      <c r="AC647" s="50"/>
    </row>
    <row r="648">
      <c r="S648" s="50"/>
      <c r="V648" s="50"/>
      <c r="W648" s="50"/>
      <c r="AA648" s="50"/>
      <c r="AB648" s="50"/>
      <c r="AC648" s="50"/>
    </row>
    <row r="649">
      <c r="S649" s="50"/>
      <c r="V649" s="50"/>
      <c r="W649" s="50"/>
      <c r="AA649" s="50"/>
      <c r="AB649" s="50"/>
      <c r="AC649" s="50"/>
    </row>
    <row r="650">
      <c r="S650" s="50"/>
      <c r="V650" s="50"/>
      <c r="W650" s="50"/>
      <c r="AA650" s="50"/>
      <c r="AB650" s="50"/>
      <c r="AC650" s="50"/>
    </row>
    <row r="651">
      <c r="S651" s="50"/>
      <c r="V651" s="50"/>
      <c r="W651" s="50"/>
      <c r="AA651" s="50"/>
      <c r="AB651" s="50"/>
      <c r="AC651" s="50"/>
    </row>
    <row r="652">
      <c r="S652" s="50"/>
      <c r="V652" s="50"/>
      <c r="W652" s="50"/>
      <c r="AA652" s="50"/>
      <c r="AB652" s="50"/>
      <c r="AC652" s="50"/>
    </row>
    <row r="653">
      <c r="S653" s="50"/>
      <c r="V653" s="50"/>
      <c r="W653" s="50"/>
      <c r="AA653" s="50"/>
      <c r="AB653" s="50"/>
      <c r="AC653" s="50"/>
    </row>
    <row r="654">
      <c r="S654" s="50"/>
      <c r="V654" s="50"/>
      <c r="W654" s="50"/>
      <c r="AA654" s="50"/>
      <c r="AB654" s="50"/>
      <c r="AC654" s="50"/>
    </row>
    <row r="655">
      <c r="S655" s="50"/>
      <c r="V655" s="50"/>
      <c r="W655" s="50"/>
      <c r="AA655" s="50"/>
      <c r="AB655" s="50"/>
      <c r="AC655" s="50"/>
    </row>
    <row r="656">
      <c r="S656" s="50"/>
      <c r="V656" s="50"/>
      <c r="W656" s="50"/>
      <c r="AA656" s="50"/>
      <c r="AB656" s="50"/>
      <c r="AC656" s="50"/>
    </row>
    <row r="657">
      <c r="S657" s="50"/>
      <c r="V657" s="50"/>
      <c r="W657" s="50"/>
      <c r="AA657" s="50"/>
      <c r="AB657" s="50"/>
      <c r="AC657" s="50"/>
    </row>
    <row r="658">
      <c r="S658" s="50"/>
      <c r="V658" s="50"/>
      <c r="W658" s="50"/>
      <c r="AA658" s="50"/>
      <c r="AB658" s="50"/>
      <c r="AC658" s="50"/>
    </row>
    <row r="659">
      <c r="S659" s="50"/>
      <c r="V659" s="50"/>
      <c r="W659" s="50"/>
      <c r="AA659" s="50"/>
      <c r="AB659" s="50"/>
      <c r="AC659" s="50"/>
    </row>
    <row r="660">
      <c r="S660" s="50"/>
      <c r="V660" s="50"/>
      <c r="W660" s="50"/>
      <c r="AA660" s="50"/>
      <c r="AB660" s="50"/>
      <c r="AC660" s="50"/>
    </row>
    <row r="661">
      <c r="S661" s="50"/>
      <c r="V661" s="50"/>
      <c r="W661" s="50"/>
      <c r="AA661" s="50"/>
      <c r="AB661" s="50"/>
      <c r="AC661" s="50"/>
    </row>
    <row r="662">
      <c r="S662" s="50"/>
      <c r="V662" s="50"/>
      <c r="W662" s="50"/>
      <c r="AA662" s="50"/>
      <c r="AB662" s="50"/>
      <c r="AC662" s="50"/>
    </row>
    <row r="663">
      <c r="S663" s="50"/>
      <c r="V663" s="50"/>
      <c r="W663" s="50"/>
      <c r="AA663" s="50"/>
      <c r="AB663" s="50"/>
      <c r="AC663" s="50"/>
    </row>
    <row r="664">
      <c r="S664" s="50"/>
      <c r="V664" s="50"/>
      <c r="W664" s="50"/>
      <c r="AA664" s="50"/>
      <c r="AB664" s="50"/>
      <c r="AC664" s="50"/>
    </row>
    <row r="665">
      <c r="S665" s="50"/>
      <c r="V665" s="50"/>
      <c r="W665" s="50"/>
      <c r="AA665" s="50"/>
      <c r="AB665" s="50"/>
      <c r="AC665" s="50"/>
    </row>
    <row r="666">
      <c r="S666" s="50"/>
      <c r="V666" s="50"/>
      <c r="W666" s="50"/>
      <c r="AA666" s="50"/>
      <c r="AB666" s="50"/>
      <c r="AC666" s="50"/>
    </row>
    <row r="667">
      <c r="S667" s="50"/>
      <c r="V667" s="50"/>
      <c r="W667" s="50"/>
      <c r="AA667" s="50"/>
      <c r="AB667" s="50"/>
      <c r="AC667" s="50"/>
    </row>
    <row r="668">
      <c r="S668" s="50"/>
      <c r="V668" s="50"/>
      <c r="W668" s="50"/>
      <c r="AA668" s="50"/>
      <c r="AB668" s="50"/>
      <c r="AC668" s="50"/>
    </row>
    <row r="669">
      <c r="S669" s="50"/>
      <c r="V669" s="50"/>
      <c r="W669" s="50"/>
      <c r="AA669" s="50"/>
      <c r="AB669" s="50"/>
      <c r="AC669" s="50"/>
    </row>
    <row r="670">
      <c r="S670" s="50"/>
      <c r="V670" s="50"/>
      <c r="W670" s="50"/>
      <c r="AA670" s="50"/>
      <c r="AB670" s="50"/>
      <c r="AC670" s="50"/>
    </row>
    <row r="671">
      <c r="S671" s="50"/>
      <c r="V671" s="50"/>
      <c r="W671" s="50"/>
      <c r="AA671" s="50"/>
      <c r="AB671" s="50"/>
      <c r="AC671" s="50"/>
    </row>
    <row r="672">
      <c r="S672" s="50"/>
      <c r="V672" s="50"/>
      <c r="W672" s="50"/>
      <c r="AA672" s="50"/>
      <c r="AB672" s="50"/>
      <c r="AC672" s="50"/>
    </row>
    <row r="673">
      <c r="S673" s="50"/>
      <c r="V673" s="50"/>
      <c r="W673" s="50"/>
      <c r="AA673" s="50"/>
      <c r="AB673" s="50"/>
      <c r="AC673" s="50"/>
    </row>
    <row r="674">
      <c r="S674" s="50"/>
      <c r="V674" s="50"/>
      <c r="W674" s="50"/>
      <c r="AA674" s="50"/>
      <c r="AB674" s="50"/>
      <c r="AC674" s="50"/>
    </row>
    <row r="675">
      <c r="S675" s="50"/>
      <c r="V675" s="50"/>
      <c r="W675" s="50"/>
      <c r="AA675" s="50"/>
      <c r="AB675" s="50"/>
      <c r="AC675" s="50"/>
    </row>
    <row r="676">
      <c r="S676" s="50"/>
      <c r="V676" s="50"/>
      <c r="W676" s="50"/>
      <c r="AA676" s="50"/>
      <c r="AB676" s="50"/>
      <c r="AC676" s="50"/>
    </row>
    <row r="677">
      <c r="S677" s="50"/>
      <c r="V677" s="50"/>
      <c r="W677" s="50"/>
      <c r="AA677" s="50"/>
      <c r="AB677" s="50"/>
      <c r="AC677" s="50"/>
    </row>
    <row r="678">
      <c r="S678" s="50"/>
      <c r="V678" s="50"/>
      <c r="W678" s="50"/>
      <c r="AA678" s="50"/>
      <c r="AB678" s="50"/>
      <c r="AC678" s="50"/>
    </row>
    <row r="679">
      <c r="S679" s="50"/>
      <c r="V679" s="50"/>
      <c r="W679" s="50"/>
      <c r="AA679" s="50"/>
      <c r="AB679" s="50"/>
      <c r="AC679" s="50"/>
    </row>
    <row r="680">
      <c r="S680" s="50"/>
      <c r="V680" s="50"/>
      <c r="W680" s="50"/>
      <c r="AA680" s="50"/>
      <c r="AB680" s="50"/>
      <c r="AC680" s="50"/>
    </row>
    <row r="681">
      <c r="S681" s="50"/>
      <c r="V681" s="50"/>
      <c r="W681" s="50"/>
      <c r="AA681" s="50"/>
      <c r="AB681" s="50"/>
      <c r="AC681" s="50"/>
    </row>
    <row r="682">
      <c r="S682" s="50"/>
      <c r="V682" s="50"/>
      <c r="W682" s="50"/>
      <c r="AA682" s="50"/>
      <c r="AB682" s="50"/>
      <c r="AC682" s="50"/>
    </row>
    <row r="683">
      <c r="S683" s="50"/>
      <c r="V683" s="50"/>
      <c r="W683" s="50"/>
      <c r="AA683" s="50"/>
      <c r="AB683" s="50"/>
      <c r="AC683" s="50"/>
    </row>
    <row r="684">
      <c r="S684" s="50"/>
      <c r="V684" s="50"/>
      <c r="W684" s="50"/>
      <c r="AA684" s="50"/>
      <c r="AB684" s="50"/>
      <c r="AC684" s="50"/>
    </row>
    <row r="685">
      <c r="S685" s="50"/>
      <c r="V685" s="50"/>
      <c r="W685" s="50"/>
      <c r="AA685" s="50"/>
      <c r="AB685" s="50"/>
      <c r="AC685" s="50"/>
    </row>
    <row r="686">
      <c r="S686" s="50"/>
      <c r="V686" s="50"/>
      <c r="W686" s="50"/>
      <c r="AA686" s="50"/>
      <c r="AB686" s="50"/>
      <c r="AC686" s="50"/>
    </row>
    <row r="687">
      <c r="S687" s="50"/>
      <c r="V687" s="50"/>
      <c r="W687" s="50"/>
      <c r="AA687" s="50"/>
      <c r="AB687" s="50"/>
      <c r="AC687" s="50"/>
    </row>
    <row r="688">
      <c r="S688" s="50"/>
      <c r="V688" s="50"/>
      <c r="W688" s="50"/>
      <c r="AA688" s="50"/>
      <c r="AB688" s="50"/>
      <c r="AC688" s="50"/>
    </row>
    <row r="689">
      <c r="S689" s="50"/>
      <c r="V689" s="50"/>
      <c r="W689" s="50"/>
      <c r="AA689" s="50"/>
      <c r="AB689" s="50"/>
      <c r="AC689" s="50"/>
    </row>
    <row r="690">
      <c r="S690" s="50"/>
      <c r="V690" s="50"/>
      <c r="W690" s="50"/>
      <c r="AA690" s="50"/>
      <c r="AB690" s="50"/>
      <c r="AC690" s="50"/>
    </row>
    <row r="691">
      <c r="S691" s="50"/>
      <c r="V691" s="50"/>
      <c r="W691" s="50"/>
      <c r="AA691" s="50"/>
      <c r="AB691" s="50"/>
      <c r="AC691" s="50"/>
    </row>
    <row r="692">
      <c r="S692" s="50"/>
      <c r="V692" s="50"/>
      <c r="W692" s="50"/>
      <c r="AA692" s="50"/>
      <c r="AB692" s="50"/>
      <c r="AC692" s="50"/>
    </row>
    <row r="693">
      <c r="S693" s="50"/>
      <c r="V693" s="50"/>
      <c r="W693" s="50"/>
      <c r="AA693" s="50"/>
      <c r="AB693" s="50"/>
      <c r="AC693" s="50"/>
    </row>
    <row r="694">
      <c r="S694" s="50"/>
      <c r="V694" s="50"/>
      <c r="W694" s="50"/>
      <c r="AA694" s="50"/>
      <c r="AB694" s="50"/>
      <c r="AC694" s="50"/>
    </row>
    <row r="695">
      <c r="S695" s="50"/>
      <c r="V695" s="50"/>
      <c r="W695" s="50"/>
      <c r="AA695" s="50"/>
      <c r="AB695" s="50"/>
      <c r="AC695" s="50"/>
    </row>
    <row r="696">
      <c r="S696" s="50"/>
      <c r="V696" s="50"/>
      <c r="W696" s="50"/>
      <c r="AA696" s="50"/>
      <c r="AB696" s="50"/>
      <c r="AC696" s="50"/>
    </row>
    <row r="697">
      <c r="S697" s="50"/>
      <c r="V697" s="50"/>
      <c r="W697" s="50"/>
      <c r="AA697" s="50"/>
      <c r="AB697" s="50"/>
      <c r="AC697" s="50"/>
    </row>
    <row r="698">
      <c r="S698" s="50"/>
      <c r="V698" s="50"/>
      <c r="W698" s="50"/>
      <c r="AA698" s="50"/>
      <c r="AB698" s="50"/>
      <c r="AC698" s="50"/>
    </row>
    <row r="699">
      <c r="S699" s="50"/>
      <c r="V699" s="50"/>
      <c r="W699" s="50"/>
      <c r="AA699" s="50"/>
      <c r="AB699" s="50"/>
      <c r="AC699" s="50"/>
    </row>
    <row r="700">
      <c r="S700" s="50"/>
      <c r="V700" s="50"/>
      <c r="W700" s="50"/>
      <c r="AA700" s="50"/>
      <c r="AB700" s="50"/>
      <c r="AC700" s="50"/>
    </row>
    <row r="701">
      <c r="S701" s="50"/>
      <c r="V701" s="50"/>
      <c r="W701" s="50"/>
      <c r="AA701" s="50"/>
      <c r="AB701" s="50"/>
      <c r="AC701" s="50"/>
    </row>
    <row r="702">
      <c r="S702" s="50"/>
      <c r="V702" s="50"/>
      <c r="W702" s="50"/>
      <c r="AA702" s="50"/>
      <c r="AB702" s="50"/>
      <c r="AC702" s="50"/>
    </row>
    <row r="703">
      <c r="S703" s="50"/>
      <c r="V703" s="50"/>
      <c r="W703" s="50"/>
      <c r="AA703" s="50"/>
      <c r="AB703" s="50"/>
      <c r="AC703" s="50"/>
    </row>
    <row r="704">
      <c r="S704" s="50"/>
      <c r="V704" s="50"/>
      <c r="W704" s="50"/>
      <c r="AA704" s="50"/>
      <c r="AB704" s="50"/>
      <c r="AC704" s="50"/>
    </row>
    <row r="705">
      <c r="S705" s="50"/>
      <c r="V705" s="50"/>
      <c r="W705" s="50"/>
      <c r="AA705" s="50"/>
      <c r="AB705" s="50"/>
      <c r="AC705" s="50"/>
    </row>
    <row r="706">
      <c r="S706" s="50"/>
      <c r="V706" s="50"/>
      <c r="W706" s="50"/>
      <c r="AA706" s="50"/>
      <c r="AB706" s="50"/>
      <c r="AC706" s="50"/>
    </row>
    <row r="707">
      <c r="S707" s="50"/>
      <c r="V707" s="50"/>
      <c r="W707" s="50"/>
      <c r="AA707" s="50"/>
      <c r="AB707" s="50"/>
      <c r="AC707" s="50"/>
    </row>
    <row r="708">
      <c r="S708" s="50"/>
      <c r="V708" s="50"/>
      <c r="W708" s="50"/>
      <c r="AA708" s="50"/>
      <c r="AB708" s="50"/>
      <c r="AC708" s="50"/>
    </row>
    <row r="709">
      <c r="S709" s="50"/>
      <c r="V709" s="50"/>
      <c r="W709" s="50"/>
      <c r="AA709" s="50"/>
      <c r="AB709" s="50"/>
      <c r="AC709" s="50"/>
    </row>
    <row r="710">
      <c r="S710" s="50"/>
      <c r="V710" s="50"/>
      <c r="W710" s="50"/>
      <c r="AA710" s="50"/>
      <c r="AB710" s="50"/>
      <c r="AC710" s="50"/>
    </row>
    <row r="711">
      <c r="S711" s="50"/>
      <c r="V711" s="50"/>
      <c r="W711" s="50"/>
      <c r="AA711" s="50"/>
      <c r="AB711" s="50"/>
      <c r="AC711" s="50"/>
    </row>
    <row r="712">
      <c r="S712" s="50"/>
      <c r="V712" s="50"/>
      <c r="W712" s="50"/>
      <c r="AA712" s="50"/>
      <c r="AB712" s="50"/>
      <c r="AC712" s="50"/>
    </row>
    <row r="713">
      <c r="S713" s="50"/>
      <c r="V713" s="50"/>
      <c r="W713" s="50"/>
      <c r="AA713" s="50"/>
      <c r="AB713" s="50"/>
      <c r="AC713" s="50"/>
    </row>
    <row r="714">
      <c r="S714" s="50"/>
      <c r="V714" s="50"/>
      <c r="W714" s="50"/>
      <c r="AA714" s="50"/>
      <c r="AB714" s="50"/>
      <c r="AC714" s="50"/>
    </row>
    <row r="715">
      <c r="S715" s="50"/>
      <c r="V715" s="50"/>
      <c r="W715" s="50"/>
      <c r="AA715" s="50"/>
      <c r="AB715" s="50"/>
      <c r="AC715" s="50"/>
    </row>
    <row r="716">
      <c r="S716" s="50"/>
      <c r="V716" s="50"/>
      <c r="W716" s="50"/>
      <c r="AA716" s="50"/>
      <c r="AB716" s="50"/>
      <c r="AC716" s="50"/>
    </row>
    <row r="717">
      <c r="S717" s="50"/>
      <c r="V717" s="50"/>
      <c r="W717" s="50"/>
      <c r="AA717" s="50"/>
      <c r="AB717" s="50"/>
      <c r="AC717" s="50"/>
    </row>
    <row r="718">
      <c r="S718" s="50"/>
      <c r="V718" s="50"/>
      <c r="W718" s="50"/>
      <c r="AA718" s="50"/>
      <c r="AB718" s="50"/>
      <c r="AC718" s="50"/>
    </row>
    <row r="719">
      <c r="S719" s="50"/>
      <c r="V719" s="50"/>
      <c r="W719" s="50"/>
      <c r="AA719" s="50"/>
      <c r="AB719" s="50"/>
      <c r="AC719" s="50"/>
    </row>
    <row r="720">
      <c r="S720" s="50"/>
      <c r="V720" s="50"/>
      <c r="W720" s="50"/>
      <c r="AA720" s="50"/>
      <c r="AB720" s="50"/>
      <c r="AC720" s="50"/>
    </row>
    <row r="721">
      <c r="S721" s="50"/>
      <c r="V721" s="50"/>
      <c r="W721" s="50"/>
      <c r="AA721" s="50"/>
      <c r="AB721" s="50"/>
      <c r="AC721" s="50"/>
    </row>
    <row r="722">
      <c r="S722" s="50"/>
      <c r="V722" s="50"/>
      <c r="W722" s="50"/>
      <c r="AA722" s="50"/>
      <c r="AB722" s="50"/>
      <c r="AC722" s="50"/>
    </row>
    <row r="723">
      <c r="S723" s="50"/>
      <c r="V723" s="50"/>
      <c r="W723" s="50"/>
      <c r="AA723" s="50"/>
      <c r="AB723" s="50"/>
      <c r="AC723" s="50"/>
    </row>
    <row r="724">
      <c r="S724" s="50"/>
      <c r="V724" s="50"/>
      <c r="W724" s="50"/>
      <c r="AA724" s="50"/>
      <c r="AB724" s="50"/>
      <c r="AC724" s="50"/>
    </row>
    <row r="725">
      <c r="S725" s="50"/>
      <c r="V725" s="50"/>
      <c r="W725" s="50"/>
      <c r="AA725" s="50"/>
      <c r="AB725" s="50"/>
      <c r="AC725" s="50"/>
    </row>
    <row r="726">
      <c r="S726" s="50"/>
      <c r="V726" s="50"/>
      <c r="W726" s="50"/>
      <c r="AA726" s="50"/>
      <c r="AB726" s="50"/>
      <c r="AC726" s="50"/>
    </row>
    <row r="727">
      <c r="S727" s="50"/>
      <c r="V727" s="50"/>
      <c r="W727" s="50"/>
      <c r="AA727" s="50"/>
      <c r="AB727" s="50"/>
      <c r="AC727" s="50"/>
    </row>
    <row r="728">
      <c r="S728" s="50"/>
      <c r="V728" s="50"/>
      <c r="W728" s="50"/>
      <c r="AA728" s="50"/>
      <c r="AB728" s="50"/>
      <c r="AC728" s="50"/>
    </row>
    <row r="729">
      <c r="S729" s="50"/>
      <c r="V729" s="50"/>
      <c r="W729" s="50"/>
      <c r="AA729" s="50"/>
      <c r="AB729" s="50"/>
      <c r="AC729" s="50"/>
    </row>
    <row r="730">
      <c r="S730" s="50"/>
      <c r="V730" s="50"/>
      <c r="W730" s="50"/>
      <c r="AA730" s="50"/>
      <c r="AB730" s="50"/>
      <c r="AC730" s="50"/>
    </row>
    <row r="731">
      <c r="S731" s="50"/>
      <c r="V731" s="50"/>
      <c r="W731" s="50"/>
      <c r="AA731" s="50"/>
      <c r="AB731" s="50"/>
      <c r="AC731" s="50"/>
    </row>
    <row r="732">
      <c r="S732" s="50"/>
      <c r="V732" s="50"/>
      <c r="W732" s="50"/>
      <c r="AA732" s="50"/>
      <c r="AB732" s="50"/>
      <c r="AC732" s="50"/>
    </row>
    <row r="733">
      <c r="S733" s="50"/>
      <c r="V733" s="50"/>
      <c r="W733" s="50"/>
      <c r="AA733" s="50"/>
      <c r="AB733" s="50"/>
      <c r="AC733" s="50"/>
    </row>
    <row r="734">
      <c r="S734" s="50"/>
      <c r="V734" s="50"/>
      <c r="W734" s="50"/>
      <c r="AA734" s="50"/>
      <c r="AB734" s="50"/>
      <c r="AC734" s="50"/>
    </row>
    <row r="735">
      <c r="S735" s="50"/>
      <c r="V735" s="50"/>
      <c r="W735" s="50"/>
      <c r="AA735" s="50"/>
      <c r="AB735" s="50"/>
      <c r="AC735" s="50"/>
    </row>
    <row r="736">
      <c r="S736" s="50"/>
      <c r="V736" s="50"/>
      <c r="W736" s="50"/>
      <c r="AA736" s="50"/>
      <c r="AB736" s="50"/>
      <c r="AC736" s="50"/>
    </row>
    <row r="737">
      <c r="S737" s="50"/>
      <c r="V737" s="50"/>
      <c r="W737" s="50"/>
      <c r="AA737" s="50"/>
      <c r="AB737" s="50"/>
      <c r="AC737" s="50"/>
    </row>
    <row r="738">
      <c r="S738" s="50"/>
      <c r="V738" s="50"/>
      <c r="W738" s="50"/>
      <c r="AA738" s="50"/>
      <c r="AB738" s="50"/>
      <c r="AC738" s="50"/>
    </row>
    <row r="739">
      <c r="S739" s="50"/>
      <c r="V739" s="50"/>
      <c r="W739" s="50"/>
      <c r="AA739" s="50"/>
      <c r="AB739" s="50"/>
      <c r="AC739" s="50"/>
    </row>
    <row r="740">
      <c r="S740" s="50"/>
      <c r="V740" s="50"/>
      <c r="W740" s="50"/>
      <c r="AA740" s="50"/>
      <c r="AB740" s="50"/>
      <c r="AC740" s="50"/>
    </row>
    <row r="741">
      <c r="S741" s="50"/>
      <c r="V741" s="50"/>
      <c r="W741" s="50"/>
      <c r="AA741" s="50"/>
      <c r="AB741" s="50"/>
      <c r="AC741" s="50"/>
    </row>
    <row r="742">
      <c r="S742" s="50"/>
      <c r="V742" s="50"/>
      <c r="W742" s="50"/>
      <c r="AA742" s="50"/>
      <c r="AB742" s="50"/>
      <c r="AC742" s="50"/>
    </row>
    <row r="743">
      <c r="S743" s="50"/>
      <c r="V743" s="50"/>
      <c r="W743" s="50"/>
      <c r="AA743" s="50"/>
      <c r="AB743" s="50"/>
      <c r="AC743" s="50"/>
    </row>
    <row r="744">
      <c r="S744" s="50"/>
      <c r="V744" s="50"/>
      <c r="W744" s="50"/>
      <c r="AA744" s="50"/>
      <c r="AB744" s="50"/>
      <c r="AC744" s="50"/>
    </row>
    <row r="745">
      <c r="S745" s="50"/>
      <c r="V745" s="50"/>
      <c r="W745" s="50"/>
      <c r="AA745" s="50"/>
      <c r="AB745" s="50"/>
      <c r="AC745" s="50"/>
    </row>
    <row r="746">
      <c r="S746" s="50"/>
      <c r="V746" s="50"/>
      <c r="W746" s="50"/>
      <c r="AA746" s="50"/>
      <c r="AB746" s="50"/>
      <c r="AC746" s="50"/>
    </row>
    <row r="747">
      <c r="S747" s="50"/>
      <c r="V747" s="50"/>
      <c r="W747" s="50"/>
      <c r="AA747" s="50"/>
      <c r="AB747" s="50"/>
      <c r="AC747" s="50"/>
    </row>
    <row r="748">
      <c r="S748" s="50"/>
      <c r="V748" s="50"/>
      <c r="W748" s="50"/>
      <c r="AA748" s="50"/>
      <c r="AB748" s="50"/>
      <c r="AC748" s="50"/>
    </row>
    <row r="749">
      <c r="S749" s="50"/>
      <c r="V749" s="50"/>
      <c r="W749" s="50"/>
      <c r="AA749" s="50"/>
      <c r="AB749" s="50"/>
      <c r="AC749" s="50"/>
    </row>
    <row r="750">
      <c r="S750" s="50"/>
      <c r="V750" s="50"/>
      <c r="W750" s="50"/>
      <c r="AA750" s="50"/>
      <c r="AB750" s="50"/>
      <c r="AC750" s="50"/>
    </row>
    <row r="751">
      <c r="S751" s="50"/>
      <c r="V751" s="50"/>
      <c r="W751" s="50"/>
      <c r="AA751" s="50"/>
      <c r="AB751" s="50"/>
      <c r="AC751" s="50"/>
    </row>
    <row r="752">
      <c r="S752" s="50"/>
      <c r="V752" s="50"/>
      <c r="W752" s="50"/>
      <c r="AA752" s="50"/>
      <c r="AB752" s="50"/>
      <c r="AC752" s="50"/>
    </row>
    <row r="753">
      <c r="S753" s="50"/>
      <c r="V753" s="50"/>
      <c r="W753" s="50"/>
      <c r="AA753" s="50"/>
      <c r="AB753" s="50"/>
      <c r="AC753" s="50"/>
    </row>
    <row r="754">
      <c r="S754" s="50"/>
      <c r="V754" s="50"/>
      <c r="W754" s="50"/>
      <c r="AA754" s="50"/>
      <c r="AB754" s="50"/>
      <c r="AC754" s="50"/>
    </row>
    <row r="755">
      <c r="S755" s="50"/>
      <c r="V755" s="50"/>
      <c r="W755" s="50"/>
      <c r="AA755" s="50"/>
      <c r="AB755" s="50"/>
      <c r="AC755" s="50"/>
    </row>
    <row r="756">
      <c r="S756" s="50"/>
      <c r="V756" s="50"/>
      <c r="W756" s="50"/>
      <c r="AA756" s="50"/>
      <c r="AB756" s="50"/>
      <c r="AC756" s="50"/>
    </row>
    <row r="757">
      <c r="S757" s="50"/>
      <c r="V757" s="50"/>
      <c r="W757" s="50"/>
      <c r="AA757" s="50"/>
      <c r="AB757" s="50"/>
      <c r="AC757" s="50"/>
    </row>
    <row r="758">
      <c r="S758" s="50"/>
      <c r="V758" s="50"/>
      <c r="W758" s="50"/>
      <c r="AA758" s="50"/>
      <c r="AB758" s="50"/>
      <c r="AC758" s="50"/>
    </row>
    <row r="759">
      <c r="S759" s="50"/>
      <c r="V759" s="50"/>
      <c r="W759" s="50"/>
      <c r="AA759" s="50"/>
      <c r="AB759" s="50"/>
      <c r="AC759" s="50"/>
    </row>
    <row r="760">
      <c r="S760" s="50"/>
      <c r="V760" s="50"/>
      <c r="W760" s="50"/>
      <c r="AA760" s="50"/>
      <c r="AB760" s="50"/>
      <c r="AC760" s="50"/>
    </row>
    <row r="761">
      <c r="S761" s="50"/>
      <c r="V761" s="50"/>
      <c r="W761" s="50"/>
      <c r="AA761" s="50"/>
      <c r="AB761" s="50"/>
      <c r="AC761" s="50"/>
    </row>
    <row r="762">
      <c r="S762" s="50"/>
      <c r="V762" s="50"/>
      <c r="W762" s="50"/>
      <c r="AA762" s="50"/>
      <c r="AB762" s="50"/>
      <c r="AC762" s="50"/>
    </row>
    <row r="763">
      <c r="S763" s="50"/>
      <c r="V763" s="50"/>
      <c r="W763" s="50"/>
      <c r="AA763" s="50"/>
      <c r="AB763" s="50"/>
      <c r="AC763" s="50"/>
    </row>
    <row r="764">
      <c r="S764" s="50"/>
      <c r="V764" s="50"/>
      <c r="W764" s="50"/>
      <c r="AA764" s="50"/>
      <c r="AB764" s="50"/>
      <c r="AC764" s="50"/>
    </row>
    <row r="765">
      <c r="S765" s="50"/>
      <c r="V765" s="50"/>
      <c r="W765" s="50"/>
      <c r="AA765" s="50"/>
      <c r="AB765" s="50"/>
      <c r="AC765" s="50"/>
    </row>
    <row r="766">
      <c r="S766" s="50"/>
      <c r="V766" s="50"/>
      <c r="W766" s="50"/>
      <c r="AA766" s="50"/>
      <c r="AB766" s="50"/>
      <c r="AC766" s="50"/>
    </row>
    <row r="767">
      <c r="S767" s="50"/>
      <c r="V767" s="50"/>
      <c r="W767" s="50"/>
      <c r="AA767" s="50"/>
      <c r="AB767" s="50"/>
      <c r="AC767" s="50"/>
    </row>
    <row r="768">
      <c r="S768" s="50"/>
      <c r="V768" s="50"/>
      <c r="W768" s="50"/>
      <c r="AA768" s="50"/>
      <c r="AB768" s="50"/>
      <c r="AC768" s="50"/>
    </row>
    <row r="769">
      <c r="S769" s="50"/>
      <c r="V769" s="50"/>
      <c r="W769" s="50"/>
      <c r="AA769" s="50"/>
      <c r="AB769" s="50"/>
      <c r="AC769" s="50"/>
    </row>
    <row r="770">
      <c r="S770" s="50"/>
      <c r="V770" s="50"/>
      <c r="W770" s="50"/>
      <c r="AA770" s="50"/>
      <c r="AB770" s="50"/>
      <c r="AC770" s="50"/>
    </row>
    <row r="771">
      <c r="S771" s="50"/>
      <c r="V771" s="50"/>
      <c r="W771" s="50"/>
      <c r="AA771" s="50"/>
      <c r="AB771" s="50"/>
      <c r="AC771" s="50"/>
    </row>
    <row r="772">
      <c r="S772" s="50"/>
      <c r="V772" s="50"/>
      <c r="W772" s="50"/>
      <c r="AA772" s="50"/>
      <c r="AB772" s="50"/>
      <c r="AC772" s="50"/>
    </row>
    <row r="773">
      <c r="S773" s="50"/>
      <c r="V773" s="50"/>
      <c r="W773" s="50"/>
      <c r="AA773" s="50"/>
      <c r="AB773" s="50"/>
      <c r="AC773" s="50"/>
    </row>
    <row r="774">
      <c r="S774" s="50"/>
      <c r="V774" s="50"/>
      <c r="W774" s="50"/>
      <c r="AA774" s="50"/>
      <c r="AB774" s="50"/>
      <c r="AC774" s="50"/>
    </row>
    <row r="775">
      <c r="S775" s="50"/>
      <c r="V775" s="50"/>
      <c r="W775" s="50"/>
      <c r="AA775" s="50"/>
      <c r="AB775" s="50"/>
      <c r="AC775" s="50"/>
    </row>
    <row r="776">
      <c r="S776" s="50"/>
      <c r="V776" s="50"/>
      <c r="W776" s="50"/>
      <c r="AA776" s="50"/>
      <c r="AB776" s="50"/>
      <c r="AC776" s="50"/>
    </row>
    <row r="777">
      <c r="S777" s="50"/>
      <c r="V777" s="50"/>
      <c r="W777" s="50"/>
      <c r="AA777" s="50"/>
      <c r="AB777" s="50"/>
      <c r="AC777" s="50"/>
    </row>
    <row r="778">
      <c r="S778" s="50"/>
      <c r="V778" s="50"/>
      <c r="W778" s="50"/>
      <c r="AA778" s="50"/>
      <c r="AB778" s="50"/>
      <c r="AC778" s="50"/>
    </row>
    <row r="779">
      <c r="S779" s="50"/>
      <c r="V779" s="50"/>
      <c r="W779" s="50"/>
      <c r="AA779" s="50"/>
      <c r="AB779" s="50"/>
      <c r="AC779" s="50"/>
    </row>
    <row r="780">
      <c r="S780" s="50"/>
      <c r="V780" s="50"/>
      <c r="W780" s="50"/>
      <c r="AA780" s="50"/>
      <c r="AB780" s="50"/>
      <c r="AC780" s="50"/>
    </row>
    <row r="781">
      <c r="S781" s="50"/>
      <c r="V781" s="50"/>
      <c r="W781" s="50"/>
      <c r="AA781" s="50"/>
      <c r="AB781" s="50"/>
      <c r="AC781" s="50"/>
    </row>
    <row r="782">
      <c r="S782" s="50"/>
      <c r="V782" s="50"/>
      <c r="W782" s="50"/>
      <c r="AA782" s="50"/>
      <c r="AB782" s="50"/>
      <c r="AC782" s="50"/>
    </row>
    <row r="783">
      <c r="S783" s="50"/>
      <c r="V783" s="50"/>
      <c r="W783" s="50"/>
      <c r="AA783" s="50"/>
      <c r="AB783" s="50"/>
      <c r="AC783" s="50"/>
    </row>
    <row r="784">
      <c r="S784" s="50"/>
      <c r="V784" s="50"/>
      <c r="W784" s="50"/>
      <c r="AA784" s="50"/>
      <c r="AB784" s="50"/>
      <c r="AC784" s="50"/>
    </row>
    <row r="785">
      <c r="S785" s="50"/>
      <c r="V785" s="50"/>
      <c r="W785" s="50"/>
      <c r="AA785" s="50"/>
      <c r="AB785" s="50"/>
      <c r="AC785" s="50"/>
    </row>
    <row r="786">
      <c r="S786" s="50"/>
      <c r="V786" s="50"/>
      <c r="W786" s="50"/>
      <c r="AA786" s="50"/>
      <c r="AB786" s="50"/>
      <c r="AC786" s="50"/>
    </row>
    <row r="787">
      <c r="S787" s="50"/>
      <c r="V787" s="50"/>
      <c r="W787" s="50"/>
      <c r="AA787" s="50"/>
      <c r="AB787" s="50"/>
      <c r="AC787" s="50"/>
    </row>
    <row r="788">
      <c r="S788" s="50"/>
      <c r="V788" s="50"/>
      <c r="W788" s="50"/>
      <c r="AA788" s="50"/>
      <c r="AB788" s="50"/>
      <c r="AC788" s="50"/>
    </row>
    <row r="789">
      <c r="S789" s="50"/>
      <c r="V789" s="50"/>
      <c r="W789" s="50"/>
      <c r="AA789" s="50"/>
      <c r="AB789" s="50"/>
      <c r="AC789" s="50"/>
    </row>
    <row r="790">
      <c r="S790" s="50"/>
      <c r="V790" s="50"/>
      <c r="W790" s="50"/>
      <c r="AA790" s="50"/>
      <c r="AB790" s="50"/>
      <c r="AC790" s="50"/>
    </row>
    <row r="791">
      <c r="S791" s="50"/>
      <c r="V791" s="50"/>
      <c r="W791" s="50"/>
      <c r="AA791" s="50"/>
      <c r="AB791" s="50"/>
      <c r="AC791" s="50"/>
    </row>
    <row r="792">
      <c r="S792" s="50"/>
      <c r="V792" s="50"/>
      <c r="W792" s="50"/>
      <c r="AA792" s="50"/>
      <c r="AB792" s="50"/>
      <c r="AC792" s="50"/>
    </row>
    <row r="793">
      <c r="S793" s="50"/>
      <c r="V793" s="50"/>
      <c r="W793" s="50"/>
      <c r="AA793" s="50"/>
      <c r="AB793" s="50"/>
      <c r="AC793" s="50"/>
    </row>
    <row r="794">
      <c r="S794" s="50"/>
      <c r="V794" s="50"/>
      <c r="W794" s="50"/>
      <c r="AA794" s="50"/>
      <c r="AB794" s="50"/>
      <c r="AC794" s="50"/>
    </row>
    <row r="795">
      <c r="S795" s="50"/>
      <c r="V795" s="50"/>
      <c r="W795" s="50"/>
      <c r="AA795" s="50"/>
      <c r="AB795" s="50"/>
      <c r="AC795" s="50"/>
    </row>
    <row r="796">
      <c r="S796" s="50"/>
      <c r="V796" s="50"/>
      <c r="W796" s="50"/>
      <c r="AA796" s="50"/>
      <c r="AB796" s="50"/>
      <c r="AC796" s="50"/>
    </row>
    <row r="797">
      <c r="S797" s="50"/>
      <c r="V797" s="50"/>
      <c r="W797" s="50"/>
      <c r="AA797" s="50"/>
      <c r="AB797" s="50"/>
      <c r="AC797" s="50"/>
    </row>
    <row r="798">
      <c r="S798" s="50"/>
      <c r="V798" s="50"/>
      <c r="W798" s="50"/>
      <c r="AA798" s="50"/>
      <c r="AB798" s="50"/>
      <c r="AC798" s="50"/>
    </row>
    <row r="799">
      <c r="S799" s="50"/>
      <c r="V799" s="50"/>
      <c r="W799" s="50"/>
      <c r="AA799" s="50"/>
      <c r="AB799" s="50"/>
      <c r="AC799" s="50"/>
    </row>
    <row r="800">
      <c r="S800" s="50"/>
      <c r="V800" s="50"/>
      <c r="W800" s="50"/>
      <c r="AA800" s="50"/>
      <c r="AB800" s="50"/>
      <c r="AC800" s="50"/>
    </row>
    <row r="801">
      <c r="S801" s="50"/>
      <c r="V801" s="50"/>
      <c r="W801" s="50"/>
      <c r="AA801" s="50"/>
      <c r="AB801" s="50"/>
      <c r="AC801" s="50"/>
    </row>
    <row r="802">
      <c r="S802" s="50"/>
      <c r="V802" s="50"/>
      <c r="W802" s="50"/>
      <c r="AA802" s="50"/>
      <c r="AB802" s="50"/>
      <c r="AC802" s="50"/>
    </row>
    <row r="803">
      <c r="S803" s="50"/>
      <c r="V803" s="50"/>
      <c r="W803" s="50"/>
      <c r="AA803" s="50"/>
      <c r="AB803" s="50"/>
      <c r="AC803" s="50"/>
    </row>
    <row r="804">
      <c r="S804" s="50"/>
      <c r="V804" s="50"/>
      <c r="W804" s="50"/>
      <c r="AA804" s="50"/>
      <c r="AB804" s="50"/>
      <c r="AC804" s="50"/>
    </row>
    <row r="805">
      <c r="S805" s="50"/>
      <c r="V805" s="50"/>
      <c r="W805" s="50"/>
      <c r="AA805" s="50"/>
      <c r="AB805" s="50"/>
      <c r="AC805" s="50"/>
    </row>
    <row r="806">
      <c r="S806" s="50"/>
      <c r="V806" s="50"/>
      <c r="W806" s="50"/>
      <c r="AA806" s="50"/>
      <c r="AB806" s="50"/>
      <c r="AC806" s="50"/>
    </row>
    <row r="807">
      <c r="S807" s="50"/>
      <c r="V807" s="50"/>
      <c r="W807" s="50"/>
      <c r="AA807" s="50"/>
      <c r="AB807" s="50"/>
      <c r="AC807" s="50"/>
    </row>
    <row r="808">
      <c r="S808" s="50"/>
      <c r="V808" s="50"/>
      <c r="W808" s="50"/>
      <c r="AA808" s="50"/>
      <c r="AB808" s="50"/>
      <c r="AC808" s="50"/>
    </row>
    <row r="809">
      <c r="S809" s="50"/>
      <c r="V809" s="50"/>
      <c r="W809" s="50"/>
      <c r="AA809" s="50"/>
      <c r="AB809" s="50"/>
      <c r="AC809" s="50"/>
    </row>
    <row r="810">
      <c r="S810" s="50"/>
      <c r="V810" s="50"/>
      <c r="W810" s="50"/>
      <c r="AA810" s="50"/>
      <c r="AB810" s="50"/>
      <c r="AC810" s="50"/>
    </row>
    <row r="811">
      <c r="S811" s="50"/>
      <c r="V811" s="50"/>
      <c r="W811" s="50"/>
      <c r="AA811" s="50"/>
      <c r="AB811" s="50"/>
      <c r="AC811" s="50"/>
    </row>
    <row r="812">
      <c r="S812" s="50"/>
      <c r="V812" s="50"/>
      <c r="W812" s="50"/>
      <c r="AA812" s="50"/>
      <c r="AB812" s="50"/>
      <c r="AC812" s="50"/>
    </row>
    <row r="813">
      <c r="S813" s="50"/>
      <c r="V813" s="50"/>
      <c r="W813" s="50"/>
      <c r="AA813" s="50"/>
      <c r="AB813" s="50"/>
      <c r="AC813" s="50"/>
    </row>
    <row r="814">
      <c r="S814" s="50"/>
      <c r="V814" s="50"/>
      <c r="W814" s="50"/>
      <c r="AA814" s="50"/>
      <c r="AB814" s="50"/>
      <c r="AC814" s="50"/>
    </row>
    <row r="815">
      <c r="S815" s="50"/>
      <c r="V815" s="50"/>
      <c r="W815" s="50"/>
      <c r="AA815" s="50"/>
      <c r="AB815" s="50"/>
      <c r="AC815" s="50"/>
    </row>
    <row r="816">
      <c r="S816" s="50"/>
      <c r="V816" s="50"/>
      <c r="W816" s="50"/>
      <c r="AA816" s="50"/>
      <c r="AB816" s="50"/>
      <c r="AC816" s="50"/>
    </row>
    <row r="817">
      <c r="S817" s="50"/>
      <c r="V817" s="50"/>
      <c r="W817" s="50"/>
      <c r="AA817" s="50"/>
      <c r="AB817" s="50"/>
      <c r="AC817" s="50"/>
    </row>
    <row r="818">
      <c r="S818" s="50"/>
      <c r="V818" s="50"/>
      <c r="W818" s="50"/>
      <c r="AA818" s="50"/>
      <c r="AB818" s="50"/>
      <c r="AC818" s="50"/>
    </row>
    <row r="819">
      <c r="S819" s="50"/>
      <c r="V819" s="50"/>
      <c r="W819" s="50"/>
      <c r="AA819" s="50"/>
      <c r="AB819" s="50"/>
      <c r="AC819" s="50"/>
    </row>
    <row r="820">
      <c r="S820" s="50"/>
      <c r="V820" s="50"/>
      <c r="W820" s="50"/>
      <c r="AA820" s="50"/>
      <c r="AB820" s="50"/>
      <c r="AC820" s="50"/>
    </row>
    <row r="821">
      <c r="S821" s="50"/>
      <c r="V821" s="50"/>
      <c r="W821" s="50"/>
      <c r="AA821" s="50"/>
      <c r="AB821" s="50"/>
      <c r="AC821" s="50"/>
    </row>
    <row r="822">
      <c r="S822" s="50"/>
      <c r="V822" s="50"/>
      <c r="W822" s="50"/>
      <c r="AA822" s="50"/>
      <c r="AB822" s="50"/>
      <c r="AC822" s="50"/>
    </row>
    <row r="823">
      <c r="S823" s="50"/>
      <c r="V823" s="50"/>
      <c r="W823" s="50"/>
      <c r="AA823" s="50"/>
      <c r="AB823" s="50"/>
      <c r="AC823" s="50"/>
    </row>
    <row r="824">
      <c r="S824" s="50"/>
      <c r="V824" s="50"/>
      <c r="W824" s="50"/>
      <c r="AA824" s="50"/>
      <c r="AB824" s="50"/>
      <c r="AC824" s="50"/>
    </row>
    <row r="825">
      <c r="S825" s="50"/>
      <c r="V825" s="50"/>
      <c r="W825" s="50"/>
      <c r="AA825" s="50"/>
      <c r="AB825" s="50"/>
      <c r="AC825" s="50"/>
    </row>
    <row r="826">
      <c r="S826" s="50"/>
      <c r="V826" s="50"/>
      <c r="W826" s="50"/>
      <c r="AA826" s="50"/>
      <c r="AB826" s="50"/>
      <c r="AC826" s="50"/>
    </row>
    <row r="827">
      <c r="S827" s="50"/>
      <c r="V827" s="50"/>
      <c r="W827" s="50"/>
      <c r="AA827" s="50"/>
      <c r="AB827" s="50"/>
      <c r="AC827" s="50"/>
    </row>
    <row r="828">
      <c r="S828" s="50"/>
      <c r="V828" s="50"/>
      <c r="W828" s="50"/>
      <c r="AA828" s="50"/>
      <c r="AB828" s="50"/>
      <c r="AC828" s="50"/>
    </row>
    <row r="829">
      <c r="S829" s="50"/>
      <c r="V829" s="50"/>
      <c r="W829" s="50"/>
      <c r="AA829" s="50"/>
      <c r="AB829" s="50"/>
      <c r="AC829" s="50"/>
    </row>
    <row r="830">
      <c r="S830" s="50"/>
      <c r="V830" s="50"/>
      <c r="W830" s="50"/>
      <c r="AA830" s="50"/>
      <c r="AB830" s="50"/>
      <c r="AC830" s="50"/>
    </row>
    <row r="831">
      <c r="S831" s="50"/>
      <c r="V831" s="50"/>
      <c r="W831" s="50"/>
      <c r="AA831" s="50"/>
      <c r="AB831" s="50"/>
      <c r="AC831" s="50"/>
    </row>
    <row r="832">
      <c r="S832" s="50"/>
      <c r="V832" s="50"/>
      <c r="W832" s="50"/>
      <c r="AA832" s="50"/>
      <c r="AB832" s="50"/>
      <c r="AC832" s="50"/>
    </row>
    <row r="833">
      <c r="S833" s="50"/>
      <c r="V833" s="50"/>
      <c r="W833" s="50"/>
      <c r="AA833" s="50"/>
      <c r="AB833" s="50"/>
      <c r="AC833" s="50"/>
    </row>
    <row r="834">
      <c r="S834" s="50"/>
      <c r="V834" s="50"/>
      <c r="W834" s="50"/>
      <c r="AA834" s="50"/>
      <c r="AB834" s="50"/>
      <c r="AC834" s="50"/>
    </row>
    <row r="835">
      <c r="S835" s="50"/>
      <c r="V835" s="50"/>
      <c r="W835" s="50"/>
      <c r="AA835" s="50"/>
      <c r="AB835" s="50"/>
      <c r="AC835" s="50"/>
    </row>
    <row r="836">
      <c r="S836" s="50"/>
      <c r="V836" s="50"/>
      <c r="W836" s="50"/>
      <c r="AA836" s="50"/>
      <c r="AB836" s="50"/>
      <c r="AC836" s="50"/>
    </row>
    <row r="837">
      <c r="S837" s="50"/>
      <c r="V837" s="50"/>
      <c r="W837" s="50"/>
      <c r="AA837" s="50"/>
      <c r="AB837" s="50"/>
      <c r="AC837" s="50"/>
    </row>
    <row r="838">
      <c r="S838" s="50"/>
      <c r="V838" s="50"/>
      <c r="W838" s="50"/>
      <c r="AA838" s="50"/>
      <c r="AB838" s="50"/>
      <c r="AC838" s="50"/>
    </row>
    <row r="839">
      <c r="S839" s="50"/>
      <c r="V839" s="50"/>
      <c r="W839" s="50"/>
      <c r="AA839" s="50"/>
      <c r="AB839" s="50"/>
      <c r="AC839" s="50"/>
    </row>
    <row r="840">
      <c r="S840" s="50"/>
      <c r="V840" s="50"/>
      <c r="W840" s="50"/>
      <c r="AA840" s="50"/>
      <c r="AB840" s="50"/>
      <c r="AC840" s="50"/>
    </row>
    <row r="841">
      <c r="S841" s="50"/>
      <c r="V841" s="50"/>
      <c r="W841" s="50"/>
      <c r="AA841" s="50"/>
      <c r="AB841" s="50"/>
      <c r="AC841" s="50"/>
    </row>
    <row r="842">
      <c r="S842" s="50"/>
      <c r="V842" s="50"/>
      <c r="W842" s="50"/>
      <c r="AA842" s="50"/>
      <c r="AB842" s="50"/>
      <c r="AC842" s="50"/>
    </row>
    <row r="843">
      <c r="S843" s="50"/>
      <c r="V843" s="50"/>
      <c r="W843" s="50"/>
      <c r="AA843" s="50"/>
      <c r="AB843" s="50"/>
      <c r="AC843" s="50"/>
    </row>
    <row r="844">
      <c r="S844" s="50"/>
      <c r="V844" s="50"/>
      <c r="W844" s="50"/>
      <c r="AA844" s="50"/>
      <c r="AB844" s="50"/>
      <c r="AC844" s="50"/>
    </row>
    <row r="845">
      <c r="S845" s="50"/>
      <c r="V845" s="50"/>
      <c r="W845" s="50"/>
      <c r="AA845" s="50"/>
      <c r="AB845" s="50"/>
      <c r="AC845" s="50"/>
    </row>
    <row r="846">
      <c r="S846" s="50"/>
      <c r="V846" s="50"/>
      <c r="W846" s="50"/>
      <c r="AA846" s="50"/>
      <c r="AB846" s="50"/>
      <c r="AC846" s="50"/>
    </row>
    <row r="847">
      <c r="S847" s="50"/>
      <c r="V847" s="50"/>
      <c r="W847" s="50"/>
      <c r="AA847" s="50"/>
      <c r="AB847" s="50"/>
      <c r="AC847" s="50"/>
    </row>
    <row r="848">
      <c r="S848" s="50"/>
      <c r="V848" s="50"/>
      <c r="W848" s="50"/>
      <c r="AA848" s="50"/>
      <c r="AB848" s="50"/>
      <c r="AC848" s="50"/>
    </row>
    <row r="849">
      <c r="S849" s="50"/>
      <c r="V849" s="50"/>
      <c r="W849" s="50"/>
      <c r="AA849" s="50"/>
      <c r="AB849" s="50"/>
      <c r="AC849" s="50"/>
    </row>
    <row r="850">
      <c r="S850" s="50"/>
      <c r="V850" s="50"/>
      <c r="W850" s="50"/>
      <c r="AA850" s="50"/>
      <c r="AB850" s="50"/>
      <c r="AC850" s="50"/>
    </row>
    <row r="851">
      <c r="S851" s="50"/>
      <c r="V851" s="50"/>
      <c r="W851" s="50"/>
      <c r="AA851" s="50"/>
      <c r="AB851" s="50"/>
      <c r="AC851" s="50"/>
    </row>
    <row r="852">
      <c r="S852" s="50"/>
      <c r="V852" s="50"/>
      <c r="W852" s="50"/>
      <c r="AA852" s="50"/>
      <c r="AB852" s="50"/>
      <c r="AC852" s="50"/>
    </row>
    <row r="853">
      <c r="S853" s="50"/>
      <c r="V853" s="50"/>
      <c r="W853" s="50"/>
      <c r="AA853" s="50"/>
      <c r="AB853" s="50"/>
      <c r="AC853" s="50"/>
    </row>
    <row r="854">
      <c r="S854" s="50"/>
      <c r="V854" s="50"/>
      <c r="W854" s="50"/>
      <c r="AA854" s="50"/>
      <c r="AB854" s="50"/>
      <c r="AC854" s="50"/>
    </row>
    <row r="855">
      <c r="S855" s="50"/>
      <c r="V855" s="50"/>
      <c r="W855" s="50"/>
      <c r="AA855" s="50"/>
      <c r="AB855" s="50"/>
      <c r="AC855" s="50"/>
    </row>
    <row r="856">
      <c r="S856" s="50"/>
      <c r="V856" s="50"/>
      <c r="W856" s="50"/>
      <c r="AA856" s="50"/>
      <c r="AB856" s="50"/>
      <c r="AC856" s="50"/>
    </row>
    <row r="857">
      <c r="S857" s="50"/>
      <c r="V857" s="50"/>
      <c r="W857" s="50"/>
      <c r="AA857" s="50"/>
      <c r="AB857" s="50"/>
      <c r="AC857" s="50"/>
    </row>
    <row r="858">
      <c r="S858" s="50"/>
      <c r="V858" s="50"/>
      <c r="W858" s="50"/>
      <c r="AA858" s="50"/>
      <c r="AB858" s="50"/>
      <c r="AC858" s="50"/>
    </row>
    <row r="859">
      <c r="S859" s="50"/>
      <c r="V859" s="50"/>
      <c r="W859" s="50"/>
      <c r="AA859" s="50"/>
      <c r="AB859" s="50"/>
      <c r="AC859" s="50"/>
    </row>
    <row r="860">
      <c r="S860" s="50"/>
      <c r="V860" s="50"/>
      <c r="W860" s="50"/>
      <c r="AA860" s="50"/>
      <c r="AB860" s="50"/>
      <c r="AC860" s="50"/>
    </row>
    <row r="861">
      <c r="S861" s="50"/>
      <c r="V861" s="50"/>
      <c r="W861" s="50"/>
      <c r="AA861" s="50"/>
      <c r="AB861" s="50"/>
      <c r="AC861" s="50"/>
    </row>
    <row r="862">
      <c r="S862" s="50"/>
      <c r="V862" s="50"/>
      <c r="W862" s="50"/>
      <c r="AA862" s="50"/>
      <c r="AB862" s="50"/>
      <c r="AC862" s="50"/>
    </row>
    <row r="863">
      <c r="S863" s="50"/>
      <c r="V863" s="50"/>
      <c r="W863" s="50"/>
      <c r="AA863" s="50"/>
      <c r="AB863" s="50"/>
      <c r="AC863" s="50"/>
    </row>
    <row r="864">
      <c r="S864" s="50"/>
      <c r="V864" s="50"/>
      <c r="W864" s="50"/>
      <c r="AA864" s="50"/>
      <c r="AB864" s="50"/>
      <c r="AC864" s="50"/>
    </row>
    <row r="865">
      <c r="S865" s="50"/>
      <c r="V865" s="50"/>
      <c r="W865" s="50"/>
      <c r="AA865" s="50"/>
      <c r="AB865" s="50"/>
      <c r="AC865" s="50"/>
    </row>
    <row r="866">
      <c r="S866" s="50"/>
      <c r="V866" s="50"/>
      <c r="W866" s="50"/>
      <c r="AA866" s="50"/>
      <c r="AB866" s="50"/>
      <c r="AC866" s="50"/>
    </row>
    <row r="867">
      <c r="S867" s="50"/>
      <c r="V867" s="50"/>
      <c r="W867" s="50"/>
      <c r="AA867" s="50"/>
      <c r="AB867" s="50"/>
      <c r="AC867" s="50"/>
    </row>
    <row r="868">
      <c r="S868" s="50"/>
      <c r="V868" s="50"/>
      <c r="W868" s="50"/>
      <c r="AA868" s="50"/>
      <c r="AB868" s="50"/>
      <c r="AC868" s="50"/>
    </row>
    <row r="869">
      <c r="S869" s="50"/>
      <c r="V869" s="50"/>
      <c r="W869" s="50"/>
      <c r="AA869" s="50"/>
      <c r="AB869" s="50"/>
      <c r="AC869" s="50"/>
    </row>
    <row r="870">
      <c r="S870" s="50"/>
      <c r="V870" s="50"/>
      <c r="W870" s="50"/>
      <c r="AA870" s="50"/>
      <c r="AB870" s="50"/>
      <c r="AC870" s="50"/>
    </row>
    <row r="871">
      <c r="S871" s="50"/>
      <c r="V871" s="50"/>
      <c r="W871" s="50"/>
      <c r="AA871" s="50"/>
      <c r="AB871" s="50"/>
      <c r="AC871" s="50"/>
    </row>
    <row r="872">
      <c r="S872" s="50"/>
      <c r="V872" s="50"/>
      <c r="W872" s="50"/>
      <c r="AA872" s="50"/>
      <c r="AB872" s="50"/>
      <c r="AC872" s="50"/>
    </row>
    <row r="873">
      <c r="S873" s="50"/>
      <c r="V873" s="50"/>
      <c r="W873" s="50"/>
      <c r="AA873" s="50"/>
      <c r="AB873" s="50"/>
      <c r="AC873" s="50"/>
    </row>
    <row r="874">
      <c r="S874" s="50"/>
      <c r="V874" s="50"/>
      <c r="W874" s="50"/>
      <c r="AA874" s="50"/>
      <c r="AB874" s="50"/>
      <c r="AC874" s="50"/>
    </row>
    <row r="875">
      <c r="S875" s="50"/>
      <c r="V875" s="50"/>
      <c r="W875" s="50"/>
      <c r="AA875" s="50"/>
      <c r="AB875" s="50"/>
      <c r="AC875" s="50"/>
    </row>
    <row r="876">
      <c r="S876" s="50"/>
      <c r="V876" s="50"/>
      <c r="W876" s="50"/>
      <c r="AA876" s="50"/>
      <c r="AB876" s="50"/>
      <c r="AC876" s="50"/>
    </row>
    <row r="877">
      <c r="S877" s="50"/>
      <c r="V877" s="50"/>
      <c r="W877" s="50"/>
      <c r="AA877" s="50"/>
      <c r="AB877" s="50"/>
      <c r="AC877" s="50"/>
    </row>
    <row r="878">
      <c r="S878" s="50"/>
      <c r="V878" s="50"/>
      <c r="W878" s="50"/>
      <c r="AA878" s="50"/>
      <c r="AB878" s="50"/>
      <c r="AC878" s="50"/>
    </row>
    <row r="879">
      <c r="S879" s="50"/>
      <c r="V879" s="50"/>
      <c r="W879" s="50"/>
      <c r="AA879" s="50"/>
      <c r="AB879" s="50"/>
      <c r="AC879" s="50"/>
    </row>
    <row r="880">
      <c r="S880" s="50"/>
      <c r="V880" s="50"/>
      <c r="W880" s="50"/>
      <c r="AA880" s="50"/>
      <c r="AB880" s="50"/>
      <c r="AC880" s="50"/>
    </row>
    <row r="881">
      <c r="S881" s="50"/>
      <c r="V881" s="50"/>
      <c r="W881" s="50"/>
      <c r="AA881" s="50"/>
      <c r="AB881" s="50"/>
      <c r="AC881" s="50"/>
    </row>
    <row r="882">
      <c r="S882" s="50"/>
      <c r="V882" s="50"/>
      <c r="W882" s="50"/>
      <c r="AA882" s="50"/>
      <c r="AB882" s="50"/>
      <c r="AC882" s="50"/>
    </row>
    <row r="883">
      <c r="S883" s="50"/>
      <c r="V883" s="50"/>
      <c r="W883" s="50"/>
      <c r="AA883" s="50"/>
      <c r="AB883" s="50"/>
      <c r="AC883" s="50"/>
    </row>
    <row r="884">
      <c r="S884" s="50"/>
      <c r="V884" s="50"/>
      <c r="W884" s="50"/>
      <c r="AA884" s="50"/>
      <c r="AB884" s="50"/>
      <c r="AC884" s="50"/>
    </row>
    <row r="885">
      <c r="S885" s="50"/>
      <c r="V885" s="50"/>
      <c r="W885" s="50"/>
      <c r="AA885" s="50"/>
      <c r="AB885" s="50"/>
      <c r="AC885" s="50"/>
    </row>
    <row r="886">
      <c r="S886" s="50"/>
      <c r="V886" s="50"/>
      <c r="W886" s="50"/>
      <c r="AA886" s="50"/>
      <c r="AB886" s="50"/>
      <c r="AC886" s="50"/>
    </row>
    <row r="887">
      <c r="S887" s="50"/>
      <c r="V887" s="50"/>
      <c r="W887" s="50"/>
      <c r="AA887" s="50"/>
      <c r="AB887" s="50"/>
      <c r="AC887" s="50"/>
    </row>
    <row r="888">
      <c r="S888" s="50"/>
      <c r="V888" s="50"/>
      <c r="W888" s="50"/>
      <c r="AA888" s="50"/>
      <c r="AB888" s="50"/>
      <c r="AC888" s="50"/>
    </row>
    <row r="889">
      <c r="S889" s="50"/>
      <c r="V889" s="50"/>
      <c r="W889" s="50"/>
      <c r="AA889" s="50"/>
      <c r="AB889" s="50"/>
      <c r="AC889" s="50"/>
    </row>
    <row r="890">
      <c r="S890" s="50"/>
      <c r="V890" s="50"/>
      <c r="W890" s="50"/>
      <c r="AA890" s="50"/>
      <c r="AB890" s="50"/>
      <c r="AC890" s="50"/>
    </row>
    <row r="891">
      <c r="S891" s="50"/>
      <c r="V891" s="50"/>
      <c r="W891" s="50"/>
      <c r="AA891" s="50"/>
      <c r="AB891" s="50"/>
      <c r="AC891" s="50"/>
    </row>
    <row r="892">
      <c r="S892" s="50"/>
      <c r="V892" s="50"/>
      <c r="W892" s="50"/>
      <c r="AA892" s="50"/>
      <c r="AB892" s="50"/>
      <c r="AC892" s="50"/>
    </row>
    <row r="893">
      <c r="S893" s="50"/>
      <c r="V893" s="50"/>
      <c r="W893" s="50"/>
      <c r="AA893" s="50"/>
      <c r="AB893" s="50"/>
      <c r="AC893" s="50"/>
    </row>
    <row r="894">
      <c r="S894" s="50"/>
      <c r="V894" s="50"/>
      <c r="W894" s="50"/>
      <c r="AA894" s="50"/>
      <c r="AB894" s="50"/>
      <c r="AC894" s="50"/>
    </row>
    <row r="895">
      <c r="S895" s="50"/>
      <c r="V895" s="50"/>
      <c r="W895" s="50"/>
      <c r="AA895" s="50"/>
      <c r="AB895" s="50"/>
      <c r="AC895" s="50"/>
    </row>
    <row r="896">
      <c r="S896" s="50"/>
      <c r="V896" s="50"/>
      <c r="W896" s="50"/>
      <c r="AA896" s="50"/>
      <c r="AB896" s="50"/>
      <c r="AC896" s="50"/>
    </row>
    <row r="897">
      <c r="S897" s="50"/>
      <c r="V897" s="50"/>
      <c r="W897" s="50"/>
      <c r="AA897" s="50"/>
      <c r="AB897" s="50"/>
      <c r="AC897" s="50"/>
    </row>
    <row r="898">
      <c r="S898" s="50"/>
      <c r="V898" s="50"/>
      <c r="W898" s="50"/>
      <c r="AA898" s="50"/>
      <c r="AB898" s="50"/>
      <c r="AC898" s="50"/>
    </row>
    <row r="899">
      <c r="S899" s="50"/>
      <c r="V899" s="50"/>
      <c r="W899" s="50"/>
      <c r="AA899" s="50"/>
      <c r="AB899" s="50"/>
      <c r="AC899" s="50"/>
    </row>
    <row r="900">
      <c r="S900" s="50"/>
      <c r="V900" s="50"/>
      <c r="W900" s="50"/>
      <c r="AA900" s="50"/>
      <c r="AB900" s="50"/>
      <c r="AC900" s="50"/>
    </row>
    <row r="901">
      <c r="S901" s="50"/>
      <c r="V901" s="50"/>
      <c r="W901" s="50"/>
      <c r="AA901" s="50"/>
      <c r="AB901" s="50"/>
      <c r="AC901" s="50"/>
    </row>
    <row r="902">
      <c r="S902" s="50"/>
      <c r="V902" s="50"/>
      <c r="W902" s="50"/>
      <c r="AA902" s="50"/>
      <c r="AB902" s="50"/>
      <c r="AC902" s="50"/>
    </row>
    <row r="903">
      <c r="S903" s="50"/>
      <c r="V903" s="50"/>
      <c r="W903" s="50"/>
      <c r="AA903" s="50"/>
      <c r="AB903" s="50"/>
      <c r="AC903" s="50"/>
    </row>
    <row r="904">
      <c r="S904" s="50"/>
      <c r="V904" s="50"/>
      <c r="W904" s="50"/>
      <c r="AA904" s="50"/>
      <c r="AB904" s="50"/>
      <c r="AC904" s="50"/>
    </row>
    <row r="905">
      <c r="S905" s="50"/>
      <c r="V905" s="50"/>
      <c r="W905" s="50"/>
      <c r="AA905" s="50"/>
      <c r="AB905" s="50"/>
      <c r="AC905" s="50"/>
    </row>
    <row r="906">
      <c r="S906" s="50"/>
      <c r="V906" s="50"/>
      <c r="W906" s="50"/>
      <c r="AA906" s="50"/>
      <c r="AB906" s="50"/>
      <c r="AC906" s="50"/>
    </row>
    <row r="907">
      <c r="S907" s="50"/>
      <c r="V907" s="50"/>
      <c r="W907" s="50"/>
      <c r="AA907" s="50"/>
      <c r="AB907" s="50"/>
      <c r="AC907" s="50"/>
    </row>
    <row r="908">
      <c r="S908" s="50"/>
      <c r="V908" s="50"/>
      <c r="W908" s="50"/>
      <c r="AA908" s="50"/>
      <c r="AB908" s="50"/>
      <c r="AC908" s="50"/>
    </row>
    <row r="909">
      <c r="S909" s="50"/>
      <c r="V909" s="50"/>
      <c r="W909" s="50"/>
      <c r="AA909" s="50"/>
      <c r="AB909" s="50"/>
      <c r="AC909" s="50"/>
    </row>
    <row r="910">
      <c r="S910" s="50"/>
      <c r="V910" s="50"/>
      <c r="W910" s="50"/>
      <c r="AA910" s="50"/>
      <c r="AB910" s="50"/>
      <c r="AC910" s="50"/>
    </row>
    <row r="911">
      <c r="S911" s="50"/>
      <c r="V911" s="50"/>
      <c r="W911" s="50"/>
      <c r="AA911" s="50"/>
      <c r="AB911" s="50"/>
      <c r="AC911" s="50"/>
    </row>
    <row r="912">
      <c r="S912" s="50"/>
      <c r="V912" s="50"/>
      <c r="W912" s="50"/>
      <c r="AA912" s="50"/>
      <c r="AB912" s="50"/>
      <c r="AC912" s="50"/>
    </row>
    <row r="913">
      <c r="S913" s="50"/>
      <c r="V913" s="50"/>
      <c r="W913" s="50"/>
      <c r="AA913" s="50"/>
      <c r="AB913" s="50"/>
      <c r="AC913" s="50"/>
    </row>
    <row r="914">
      <c r="S914" s="50"/>
      <c r="V914" s="50"/>
      <c r="W914" s="50"/>
      <c r="AA914" s="50"/>
      <c r="AB914" s="50"/>
      <c r="AC914" s="50"/>
    </row>
    <row r="915">
      <c r="S915" s="50"/>
      <c r="V915" s="50"/>
      <c r="W915" s="50"/>
      <c r="AA915" s="50"/>
      <c r="AB915" s="50"/>
      <c r="AC915" s="50"/>
    </row>
    <row r="916">
      <c r="S916" s="50"/>
      <c r="V916" s="50"/>
      <c r="W916" s="50"/>
      <c r="AA916" s="50"/>
      <c r="AB916" s="50"/>
      <c r="AC916" s="50"/>
    </row>
    <row r="917">
      <c r="S917" s="50"/>
      <c r="V917" s="50"/>
      <c r="W917" s="50"/>
      <c r="AA917" s="50"/>
      <c r="AB917" s="50"/>
      <c r="AC917" s="50"/>
    </row>
    <row r="918">
      <c r="S918" s="50"/>
      <c r="V918" s="50"/>
      <c r="W918" s="50"/>
      <c r="AA918" s="50"/>
      <c r="AB918" s="50"/>
      <c r="AC918" s="50"/>
    </row>
    <row r="919">
      <c r="S919" s="50"/>
      <c r="V919" s="50"/>
      <c r="W919" s="50"/>
      <c r="AA919" s="50"/>
      <c r="AB919" s="50"/>
      <c r="AC919" s="50"/>
    </row>
    <row r="920">
      <c r="S920" s="50"/>
      <c r="V920" s="50"/>
      <c r="W920" s="50"/>
      <c r="AA920" s="50"/>
      <c r="AB920" s="50"/>
      <c r="AC920" s="50"/>
    </row>
    <row r="921">
      <c r="S921" s="50"/>
      <c r="V921" s="50"/>
      <c r="W921" s="50"/>
      <c r="AA921" s="50"/>
      <c r="AB921" s="50"/>
      <c r="AC921" s="50"/>
    </row>
    <row r="922">
      <c r="S922" s="50"/>
      <c r="V922" s="50"/>
      <c r="W922" s="50"/>
      <c r="AA922" s="50"/>
      <c r="AB922" s="50"/>
      <c r="AC922" s="50"/>
    </row>
    <row r="923">
      <c r="S923" s="50"/>
      <c r="V923" s="50"/>
      <c r="W923" s="50"/>
      <c r="AA923" s="50"/>
      <c r="AB923" s="50"/>
      <c r="AC923" s="50"/>
    </row>
    <row r="924">
      <c r="S924" s="50"/>
      <c r="V924" s="50"/>
      <c r="W924" s="50"/>
      <c r="AA924" s="50"/>
      <c r="AB924" s="50"/>
      <c r="AC924" s="50"/>
    </row>
    <row r="925">
      <c r="S925" s="50"/>
      <c r="V925" s="50"/>
      <c r="W925" s="50"/>
      <c r="AA925" s="50"/>
      <c r="AB925" s="50"/>
      <c r="AC925" s="50"/>
    </row>
    <row r="926">
      <c r="S926" s="50"/>
      <c r="V926" s="50"/>
      <c r="W926" s="50"/>
      <c r="AA926" s="50"/>
      <c r="AB926" s="50"/>
      <c r="AC926" s="50"/>
    </row>
    <row r="927">
      <c r="S927" s="50"/>
      <c r="V927" s="50"/>
      <c r="W927" s="50"/>
      <c r="AA927" s="50"/>
      <c r="AB927" s="50"/>
      <c r="AC927" s="50"/>
    </row>
    <row r="928">
      <c r="S928" s="50"/>
      <c r="V928" s="50"/>
      <c r="W928" s="50"/>
      <c r="AA928" s="50"/>
      <c r="AB928" s="50"/>
      <c r="AC928" s="50"/>
    </row>
    <row r="929">
      <c r="S929" s="50"/>
      <c r="V929" s="50"/>
      <c r="W929" s="50"/>
      <c r="AA929" s="50"/>
      <c r="AB929" s="50"/>
      <c r="AC929" s="50"/>
    </row>
    <row r="930">
      <c r="S930" s="50"/>
      <c r="V930" s="50"/>
      <c r="W930" s="50"/>
      <c r="AA930" s="50"/>
      <c r="AB930" s="50"/>
      <c r="AC930" s="50"/>
    </row>
    <row r="931">
      <c r="S931" s="50"/>
      <c r="V931" s="50"/>
      <c r="W931" s="50"/>
      <c r="AA931" s="50"/>
      <c r="AB931" s="50"/>
      <c r="AC931" s="50"/>
    </row>
    <row r="932">
      <c r="S932" s="50"/>
      <c r="V932" s="50"/>
      <c r="W932" s="50"/>
      <c r="AA932" s="50"/>
      <c r="AB932" s="50"/>
      <c r="AC932" s="50"/>
    </row>
    <row r="933">
      <c r="S933" s="50"/>
      <c r="V933" s="50"/>
      <c r="W933" s="50"/>
      <c r="AA933" s="50"/>
      <c r="AB933" s="50"/>
      <c r="AC933" s="50"/>
    </row>
    <row r="934">
      <c r="S934" s="50"/>
      <c r="V934" s="50"/>
      <c r="W934" s="50"/>
      <c r="AA934" s="50"/>
      <c r="AB934" s="50"/>
      <c r="AC934" s="50"/>
    </row>
    <row r="935">
      <c r="S935" s="50"/>
      <c r="V935" s="50"/>
      <c r="W935" s="50"/>
      <c r="AA935" s="50"/>
      <c r="AB935" s="50"/>
      <c r="AC935" s="50"/>
    </row>
    <row r="936">
      <c r="S936" s="50"/>
      <c r="V936" s="50"/>
      <c r="W936" s="50"/>
      <c r="AA936" s="50"/>
      <c r="AB936" s="50"/>
      <c r="AC936" s="50"/>
    </row>
    <row r="937">
      <c r="S937" s="50"/>
      <c r="V937" s="50"/>
      <c r="W937" s="50"/>
      <c r="AA937" s="50"/>
      <c r="AB937" s="50"/>
      <c r="AC937" s="50"/>
    </row>
    <row r="938">
      <c r="S938" s="50"/>
      <c r="V938" s="50"/>
      <c r="W938" s="50"/>
      <c r="AA938" s="50"/>
      <c r="AB938" s="50"/>
      <c r="AC938" s="50"/>
    </row>
    <row r="939">
      <c r="S939" s="50"/>
      <c r="V939" s="50"/>
      <c r="W939" s="50"/>
      <c r="AA939" s="50"/>
      <c r="AB939" s="50"/>
      <c r="AC939" s="50"/>
    </row>
    <row r="940">
      <c r="S940" s="50"/>
      <c r="V940" s="50"/>
      <c r="W940" s="50"/>
      <c r="AA940" s="50"/>
      <c r="AB940" s="50"/>
      <c r="AC940" s="50"/>
    </row>
    <row r="941">
      <c r="S941" s="50"/>
      <c r="V941" s="50"/>
      <c r="W941" s="50"/>
      <c r="AA941" s="50"/>
      <c r="AB941" s="50"/>
      <c r="AC941" s="50"/>
    </row>
    <row r="942">
      <c r="S942" s="50"/>
      <c r="V942" s="50"/>
      <c r="W942" s="50"/>
      <c r="AA942" s="50"/>
      <c r="AB942" s="50"/>
      <c r="AC942" s="50"/>
    </row>
    <row r="943">
      <c r="S943" s="50"/>
      <c r="V943" s="50"/>
      <c r="W943" s="50"/>
      <c r="AA943" s="50"/>
      <c r="AB943" s="50"/>
      <c r="AC943" s="50"/>
    </row>
    <row r="944">
      <c r="S944" s="50"/>
      <c r="V944" s="50"/>
      <c r="W944" s="50"/>
      <c r="AA944" s="50"/>
      <c r="AB944" s="50"/>
      <c r="AC944" s="50"/>
    </row>
    <row r="945">
      <c r="S945" s="50"/>
      <c r="V945" s="50"/>
      <c r="W945" s="50"/>
      <c r="AA945" s="50"/>
      <c r="AB945" s="50"/>
      <c r="AC945" s="50"/>
    </row>
    <row r="946">
      <c r="S946" s="50"/>
      <c r="V946" s="50"/>
      <c r="W946" s="50"/>
      <c r="AA946" s="50"/>
      <c r="AB946" s="50"/>
      <c r="AC946" s="50"/>
    </row>
    <row r="947">
      <c r="S947" s="50"/>
      <c r="V947" s="50"/>
      <c r="W947" s="50"/>
      <c r="AA947" s="50"/>
      <c r="AB947" s="50"/>
      <c r="AC947" s="50"/>
    </row>
    <row r="948">
      <c r="S948" s="50"/>
      <c r="V948" s="50"/>
      <c r="W948" s="50"/>
      <c r="AA948" s="50"/>
      <c r="AB948" s="50"/>
      <c r="AC948" s="50"/>
    </row>
    <row r="949">
      <c r="S949" s="50"/>
      <c r="V949" s="50"/>
      <c r="W949" s="50"/>
      <c r="AA949" s="50"/>
      <c r="AB949" s="50"/>
      <c r="AC949" s="50"/>
    </row>
    <row r="950">
      <c r="S950" s="50"/>
      <c r="V950" s="50"/>
      <c r="W950" s="50"/>
      <c r="AA950" s="50"/>
      <c r="AB950" s="50"/>
      <c r="AC950" s="50"/>
    </row>
    <row r="951">
      <c r="S951" s="50"/>
      <c r="V951" s="50"/>
      <c r="W951" s="50"/>
      <c r="AA951" s="50"/>
      <c r="AB951" s="50"/>
      <c r="AC951" s="50"/>
    </row>
    <row r="952">
      <c r="S952" s="50"/>
      <c r="V952" s="50"/>
      <c r="W952" s="50"/>
      <c r="AA952" s="50"/>
      <c r="AB952" s="50"/>
      <c r="AC952" s="50"/>
    </row>
    <row r="953">
      <c r="S953" s="50"/>
      <c r="V953" s="50"/>
      <c r="W953" s="50"/>
      <c r="AA953" s="50"/>
      <c r="AB953" s="50"/>
      <c r="AC953" s="50"/>
    </row>
    <row r="954">
      <c r="S954" s="50"/>
      <c r="V954" s="50"/>
      <c r="W954" s="50"/>
      <c r="AA954" s="50"/>
      <c r="AB954" s="50"/>
      <c r="AC954" s="50"/>
    </row>
    <row r="955">
      <c r="S955" s="50"/>
      <c r="V955" s="50"/>
      <c r="W955" s="50"/>
      <c r="AA955" s="50"/>
      <c r="AB955" s="50"/>
      <c r="AC955" s="50"/>
    </row>
    <row r="956">
      <c r="S956" s="50"/>
      <c r="V956" s="50"/>
      <c r="W956" s="50"/>
      <c r="AA956" s="50"/>
      <c r="AB956" s="50"/>
      <c r="AC956" s="50"/>
    </row>
    <row r="957">
      <c r="S957" s="50"/>
      <c r="V957" s="50"/>
      <c r="W957" s="50"/>
      <c r="AA957" s="50"/>
      <c r="AB957" s="50"/>
      <c r="AC957" s="50"/>
    </row>
    <row r="958">
      <c r="S958" s="50"/>
      <c r="V958" s="50"/>
      <c r="W958" s="50"/>
      <c r="AA958" s="50"/>
      <c r="AB958" s="50"/>
      <c r="AC958" s="50"/>
    </row>
    <row r="959">
      <c r="S959" s="50"/>
      <c r="V959" s="50"/>
      <c r="W959" s="50"/>
      <c r="AA959" s="50"/>
      <c r="AB959" s="50"/>
      <c r="AC959" s="50"/>
    </row>
    <row r="960">
      <c r="S960" s="50"/>
      <c r="V960" s="50"/>
      <c r="W960" s="50"/>
      <c r="AA960" s="50"/>
      <c r="AB960" s="50"/>
      <c r="AC960" s="50"/>
    </row>
    <row r="961">
      <c r="S961" s="50"/>
      <c r="V961" s="50"/>
      <c r="W961" s="50"/>
      <c r="AA961" s="50"/>
      <c r="AB961" s="50"/>
      <c r="AC961" s="50"/>
    </row>
    <row r="962">
      <c r="S962" s="50"/>
      <c r="V962" s="50"/>
      <c r="W962" s="50"/>
      <c r="AA962" s="50"/>
      <c r="AB962" s="50"/>
      <c r="AC962" s="50"/>
    </row>
    <row r="963">
      <c r="S963" s="50"/>
      <c r="V963" s="50"/>
      <c r="W963" s="50"/>
      <c r="AA963" s="50"/>
      <c r="AB963" s="50"/>
      <c r="AC963" s="50"/>
    </row>
    <row r="964">
      <c r="S964" s="50"/>
      <c r="V964" s="50"/>
      <c r="W964" s="50"/>
      <c r="AA964" s="50"/>
      <c r="AB964" s="50"/>
      <c r="AC964" s="50"/>
    </row>
    <row r="965">
      <c r="S965" s="50"/>
      <c r="V965" s="50"/>
      <c r="W965" s="50"/>
      <c r="AA965" s="50"/>
      <c r="AB965" s="50"/>
      <c r="AC965" s="50"/>
    </row>
    <row r="966">
      <c r="S966" s="50"/>
      <c r="V966" s="50"/>
      <c r="W966" s="50"/>
      <c r="AA966" s="50"/>
      <c r="AB966" s="50"/>
      <c r="AC966" s="50"/>
    </row>
    <row r="967">
      <c r="S967" s="50"/>
      <c r="V967" s="50"/>
      <c r="W967" s="50"/>
      <c r="AA967" s="50"/>
      <c r="AB967" s="50"/>
      <c r="AC967" s="50"/>
    </row>
    <row r="968">
      <c r="S968" s="50"/>
      <c r="V968" s="50"/>
      <c r="W968" s="50"/>
      <c r="AA968" s="50"/>
      <c r="AB968" s="50"/>
      <c r="AC968" s="50"/>
    </row>
    <row r="969">
      <c r="S969" s="50"/>
      <c r="V969" s="50"/>
      <c r="W969" s="50"/>
      <c r="AA969" s="50"/>
      <c r="AB969" s="50"/>
      <c r="AC969" s="50"/>
    </row>
    <row r="970">
      <c r="S970" s="50"/>
      <c r="V970" s="50"/>
      <c r="W970" s="50"/>
      <c r="AA970" s="50"/>
      <c r="AB970" s="50"/>
      <c r="AC970" s="50"/>
    </row>
    <row r="971">
      <c r="S971" s="50"/>
      <c r="V971" s="50"/>
      <c r="W971" s="50"/>
      <c r="AA971" s="50"/>
      <c r="AB971" s="50"/>
      <c r="AC971" s="50"/>
    </row>
    <row r="972">
      <c r="S972" s="50"/>
      <c r="V972" s="50"/>
      <c r="W972" s="50"/>
      <c r="AA972" s="50"/>
      <c r="AB972" s="50"/>
      <c r="AC972" s="50"/>
    </row>
    <row r="973">
      <c r="S973" s="50"/>
      <c r="V973" s="50"/>
      <c r="W973" s="50"/>
      <c r="AA973" s="50"/>
      <c r="AB973" s="50"/>
      <c r="AC973" s="50"/>
    </row>
    <row r="974">
      <c r="S974" s="50"/>
      <c r="V974" s="50"/>
      <c r="W974" s="50"/>
      <c r="AA974" s="50"/>
      <c r="AB974" s="50"/>
      <c r="AC974" s="50"/>
    </row>
    <row r="975">
      <c r="S975" s="50"/>
      <c r="V975" s="50"/>
      <c r="W975" s="50"/>
      <c r="AA975" s="50"/>
      <c r="AB975" s="50"/>
      <c r="AC975" s="50"/>
    </row>
    <row r="976">
      <c r="S976" s="50"/>
      <c r="V976" s="50"/>
      <c r="W976" s="50"/>
      <c r="AA976" s="50"/>
      <c r="AB976" s="50"/>
      <c r="AC976" s="50"/>
    </row>
    <row r="977">
      <c r="S977" s="50"/>
      <c r="V977" s="50"/>
      <c r="W977" s="50"/>
      <c r="AA977" s="50"/>
      <c r="AB977" s="50"/>
      <c r="AC977" s="50"/>
    </row>
    <row r="978">
      <c r="S978" s="50"/>
      <c r="V978" s="50"/>
      <c r="W978" s="50"/>
      <c r="AA978" s="50"/>
      <c r="AB978" s="50"/>
      <c r="AC978" s="50"/>
    </row>
    <row r="979">
      <c r="S979" s="50"/>
      <c r="V979" s="50"/>
      <c r="W979" s="50"/>
      <c r="AA979" s="50"/>
      <c r="AB979" s="50"/>
      <c r="AC979" s="50"/>
    </row>
    <row r="980">
      <c r="S980" s="50"/>
      <c r="V980" s="50"/>
      <c r="W980" s="50"/>
      <c r="AA980" s="50"/>
      <c r="AB980" s="50"/>
      <c r="AC980" s="50"/>
    </row>
    <row r="981">
      <c r="S981" s="50"/>
      <c r="V981" s="50"/>
      <c r="W981" s="50"/>
      <c r="AA981" s="50"/>
      <c r="AB981" s="50"/>
      <c r="AC981" s="50"/>
    </row>
    <row r="982">
      <c r="S982" s="50"/>
      <c r="V982" s="50"/>
      <c r="W982" s="50"/>
      <c r="AA982" s="50"/>
      <c r="AB982" s="50"/>
      <c r="AC982" s="50"/>
    </row>
    <row r="983">
      <c r="S983" s="50"/>
      <c r="V983" s="50"/>
      <c r="W983" s="50"/>
      <c r="AA983" s="50"/>
      <c r="AB983" s="50"/>
      <c r="AC983" s="50"/>
    </row>
    <row r="984">
      <c r="S984" s="50"/>
      <c r="V984" s="50"/>
      <c r="W984" s="50"/>
      <c r="AA984" s="50"/>
      <c r="AB984" s="50"/>
      <c r="AC984" s="50"/>
    </row>
    <row r="985">
      <c r="S985" s="50"/>
      <c r="V985" s="50"/>
      <c r="W985" s="50"/>
      <c r="AA985" s="50"/>
      <c r="AB985" s="50"/>
      <c r="AC985" s="50"/>
    </row>
    <row r="986">
      <c r="S986" s="50"/>
      <c r="V986" s="50"/>
      <c r="W986" s="50"/>
      <c r="AA986" s="50"/>
      <c r="AB986" s="50"/>
      <c r="AC986" s="50"/>
    </row>
    <row r="987">
      <c r="S987" s="50"/>
      <c r="V987" s="50"/>
      <c r="W987" s="50"/>
      <c r="AA987" s="50"/>
      <c r="AB987" s="50"/>
      <c r="AC987" s="50"/>
    </row>
    <row r="988">
      <c r="S988" s="50"/>
      <c r="V988" s="50"/>
      <c r="W988" s="50"/>
      <c r="AA988" s="50"/>
      <c r="AB988" s="50"/>
      <c r="AC988" s="50"/>
    </row>
    <row r="989">
      <c r="S989" s="50"/>
      <c r="V989" s="50"/>
      <c r="W989" s="50"/>
      <c r="AA989" s="50"/>
      <c r="AB989" s="50"/>
      <c r="AC989" s="50"/>
    </row>
    <row r="990">
      <c r="S990" s="50"/>
      <c r="V990" s="50"/>
      <c r="W990" s="50"/>
      <c r="AA990" s="50"/>
      <c r="AB990" s="50"/>
      <c r="AC990" s="50"/>
    </row>
    <row r="991">
      <c r="S991" s="50"/>
      <c r="V991" s="50"/>
      <c r="W991" s="50"/>
      <c r="AA991" s="50"/>
      <c r="AB991" s="50"/>
      <c r="AC991" s="50"/>
    </row>
    <row r="992">
      <c r="S992" s="50"/>
      <c r="V992" s="50"/>
      <c r="W992" s="50"/>
      <c r="AA992" s="50"/>
      <c r="AB992" s="50"/>
      <c r="AC992" s="50"/>
    </row>
    <row r="993">
      <c r="S993" s="50"/>
      <c r="V993" s="50"/>
      <c r="W993" s="50"/>
      <c r="AA993" s="50"/>
      <c r="AB993" s="50"/>
      <c r="AC993" s="50"/>
    </row>
    <row r="994">
      <c r="S994" s="50"/>
      <c r="V994" s="50"/>
      <c r="W994" s="50"/>
      <c r="AA994" s="50"/>
      <c r="AB994" s="50"/>
      <c r="AC994" s="50"/>
    </row>
    <row r="995">
      <c r="S995" s="50"/>
      <c r="V995" s="50"/>
      <c r="W995" s="50"/>
      <c r="AA995" s="50"/>
      <c r="AB995" s="50"/>
      <c r="AC995" s="50"/>
    </row>
    <row r="996">
      <c r="S996" s="50"/>
      <c r="V996" s="50"/>
      <c r="W996" s="50"/>
      <c r="AA996" s="50"/>
      <c r="AB996" s="50"/>
      <c r="AC996" s="50"/>
    </row>
    <row r="997">
      <c r="S997" s="50"/>
      <c r="V997" s="50"/>
      <c r="W997" s="50"/>
      <c r="AA997" s="50"/>
      <c r="AB997" s="50"/>
      <c r="AC997" s="50"/>
    </row>
    <row r="998">
      <c r="S998" s="50"/>
      <c r="V998" s="50"/>
      <c r="W998" s="50"/>
      <c r="AA998" s="50"/>
      <c r="AB998" s="50"/>
      <c r="AC998" s="50"/>
    </row>
  </sheetData>
  <mergeCells count="5">
    <mergeCell ref="A1:D1"/>
    <mergeCell ref="E1:H1"/>
    <mergeCell ref="I1:P1"/>
    <mergeCell ref="Q1:U1"/>
    <mergeCell ref="V1:Y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R15"/>
    <hyperlink r:id="rId12" ref="R16"/>
    <hyperlink r:id="rId13" ref="R17"/>
    <hyperlink r:id="rId14" ref="R18"/>
    <hyperlink r:id="rId15" ref="R19"/>
    <hyperlink r:id="rId16" ref="R20"/>
    <hyperlink r:id="rId17" ref="R21"/>
    <hyperlink r:id="rId18" ref="R22"/>
    <hyperlink r:id="rId19" ref="R23"/>
    <hyperlink r:id="rId20" ref="R24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7.75"/>
    <col customWidth="1" min="5" max="5" width="14.25"/>
    <col customWidth="1" min="6" max="6" width="3.75"/>
    <col customWidth="1" min="9" max="9" width="5.25"/>
    <col customWidth="1" min="10" max="10" width="4.75"/>
    <col customWidth="1" min="11" max="11" width="3.88"/>
    <col customWidth="1" min="12" max="12" width="9.63"/>
    <col customWidth="1" min="13" max="13" width="3.38"/>
    <col customWidth="1" min="14" max="14" width="4.5"/>
    <col customWidth="1" min="15" max="15" width="5.13"/>
    <col customWidth="1" min="16" max="16" width="3.38"/>
    <col customWidth="1" min="17" max="17" width="5.25"/>
    <col customWidth="1" min="18" max="19" width="5.13"/>
    <col customWidth="1" min="20" max="20" width="10.0"/>
    <col customWidth="1" min="21" max="21" width="3.88"/>
    <col customWidth="1" min="22" max="22" width="4.5"/>
    <col customWidth="1" min="23" max="23" width="5.13"/>
    <col customWidth="1" min="24" max="24" width="7.38"/>
  </cols>
  <sheetData>
    <row r="1">
      <c r="A1" s="67" t="s">
        <v>811</v>
      </c>
      <c r="C1" s="50"/>
    </row>
    <row r="2">
      <c r="A2" s="68"/>
      <c r="C2" s="50"/>
      <c r="Z2" s="1"/>
    </row>
    <row r="3">
      <c r="A3" s="69"/>
      <c r="C3" s="50"/>
    </row>
    <row r="4">
      <c r="A4" s="69"/>
      <c r="C4" s="50"/>
    </row>
    <row r="5">
      <c r="A5" s="27"/>
      <c r="B5" s="70"/>
      <c r="C5" s="70"/>
      <c r="D5" s="70"/>
      <c r="E5" s="70"/>
      <c r="F5" s="70"/>
      <c r="G5" s="70"/>
      <c r="H5" s="29" t="s">
        <v>653</v>
      </c>
      <c r="I5" s="28"/>
      <c r="J5" s="28"/>
      <c r="K5" s="28"/>
      <c r="L5" s="29" t="s">
        <v>654</v>
      </c>
      <c r="M5" s="28"/>
      <c r="N5" s="28"/>
      <c r="O5" s="28"/>
      <c r="P5" s="28"/>
      <c r="Q5" s="28"/>
      <c r="R5" s="28"/>
      <c r="S5" s="28"/>
      <c r="T5" s="29" t="s">
        <v>655</v>
      </c>
      <c r="U5" s="28"/>
      <c r="V5" s="28"/>
      <c r="W5" s="28"/>
      <c r="X5" s="28"/>
      <c r="Y5" s="71"/>
    </row>
    <row r="6">
      <c r="A6" s="72" t="s">
        <v>812</v>
      </c>
      <c r="B6" s="73" t="s">
        <v>0</v>
      </c>
      <c r="C6" s="73" t="s">
        <v>1</v>
      </c>
      <c r="D6" s="73" t="s">
        <v>2</v>
      </c>
      <c r="E6" s="73" t="s">
        <v>3</v>
      </c>
      <c r="F6" s="73" t="s">
        <v>4</v>
      </c>
      <c r="G6" s="73" t="s">
        <v>5</v>
      </c>
      <c r="H6" s="29" t="s">
        <v>6</v>
      </c>
      <c r="I6" s="73" t="s">
        <v>7</v>
      </c>
      <c r="J6" s="73" t="s">
        <v>8</v>
      </c>
      <c r="K6" s="73" t="s">
        <v>9</v>
      </c>
      <c r="L6" s="29" t="s">
        <v>10</v>
      </c>
      <c r="M6" s="73" t="s">
        <v>11</v>
      </c>
      <c r="N6" s="73" t="s">
        <v>659</v>
      </c>
      <c r="O6" s="73" t="s">
        <v>13</v>
      </c>
      <c r="P6" s="73" t="s">
        <v>14</v>
      </c>
      <c r="Q6" s="73" t="s">
        <v>15</v>
      </c>
      <c r="R6" s="73" t="s">
        <v>16</v>
      </c>
      <c r="S6" s="73" t="s">
        <v>17</v>
      </c>
      <c r="T6" s="29" t="s">
        <v>10</v>
      </c>
      <c r="U6" s="73" t="s">
        <v>11</v>
      </c>
      <c r="V6" s="73" t="s">
        <v>659</v>
      </c>
      <c r="W6" s="73" t="s">
        <v>13</v>
      </c>
      <c r="X6" s="73" t="s">
        <v>661</v>
      </c>
      <c r="Y6" s="29" t="s">
        <v>23</v>
      </c>
    </row>
    <row r="7">
      <c r="A7" s="74">
        <v>1.0</v>
      </c>
      <c r="B7" s="7" t="s">
        <v>235</v>
      </c>
      <c r="C7" s="8" t="s">
        <v>34</v>
      </c>
      <c r="D7" s="9" t="s">
        <v>87</v>
      </c>
      <c r="E7" s="7" t="s">
        <v>36</v>
      </c>
      <c r="F7" s="9">
        <v>20.0</v>
      </c>
      <c r="G7" s="9">
        <v>2003.0</v>
      </c>
      <c r="H7" s="10">
        <v>14.0</v>
      </c>
      <c r="I7" s="11">
        <v>14.0</v>
      </c>
      <c r="J7" s="15">
        <v>1101.0</v>
      </c>
      <c r="K7" s="11">
        <v>12.2</v>
      </c>
      <c r="L7" s="10">
        <v>1.0</v>
      </c>
      <c r="M7" s="13">
        <v>0.0</v>
      </c>
      <c r="N7" s="11">
        <v>1.0</v>
      </c>
      <c r="O7" s="11">
        <v>1.0</v>
      </c>
      <c r="P7" s="13">
        <v>0.0</v>
      </c>
      <c r="Q7" s="13">
        <v>0.0</v>
      </c>
      <c r="R7" s="11">
        <v>4.0</v>
      </c>
      <c r="S7" s="13">
        <v>0.0</v>
      </c>
      <c r="T7" s="10">
        <v>0.08</v>
      </c>
      <c r="U7" s="13">
        <v>0.0</v>
      </c>
      <c r="V7" s="11">
        <v>0.08</v>
      </c>
      <c r="W7" s="11">
        <v>0.08</v>
      </c>
      <c r="X7" s="11">
        <v>0.08</v>
      </c>
      <c r="Y7" s="14" t="s">
        <v>813</v>
      </c>
    </row>
    <row r="8">
      <c r="A8" s="74">
        <v>2.0</v>
      </c>
      <c r="B8" s="7" t="s">
        <v>538</v>
      </c>
      <c r="C8" s="8" t="s">
        <v>25</v>
      </c>
      <c r="D8" s="9" t="s">
        <v>26</v>
      </c>
      <c r="E8" s="7" t="s">
        <v>98</v>
      </c>
      <c r="F8" s="9">
        <v>17.0</v>
      </c>
      <c r="G8" s="9">
        <v>2006.0</v>
      </c>
      <c r="H8" s="10">
        <v>7.0</v>
      </c>
      <c r="I8" s="13">
        <v>0.0</v>
      </c>
      <c r="J8" s="11">
        <v>90.0</v>
      </c>
      <c r="K8" s="11">
        <v>1.0</v>
      </c>
      <c r="L8" s="12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2">
        <v>0.0</v>
      </c>
      <c r="U8" s="13">
        <v>0.0</v>
      </c>
      <c r="V8" s="13">
        <v>0.0</v>
      </c>
      <c r="W8" s="13">
        <v>0.0</v>
      </c>
      <c r="X8" s="13">
        <v>0.0</v>
      </c>
      <c r="Y8" s="14" t="s">
        <v>814</v>
      </c>
    </row>
    <row r="9">
      <c r="A9" s="74">
        <v>3.0</v>
      </c>
      <c r="B9" s="7" t="s">
        <v>307</v>
      </c>
      <c r="C9" s="8" t="s">
        <v>34</v>
      </c>
      <c r="D9" s="9" t="s">
        <v>30</v>
      </c>
      <c r="E9" s="7" t="s">
        <v>44</v>
      </c>
      <c r="F9" s="9">
        <v>27.0</v>
      </c>
      <c r="G9" s="9">
        <v>1996.0</v>
      </c>
      <c r="H9" s="10">
        <v>27.0</v>
      </c>
      <c r="I9" s="11">
        <v>19.0</v>
      </c>
      <c r="J9" s="15">
        <v>1793.0</v>
      </c>
      <c r="K9" s="11">
        <v>19.9</v>
      </c>
      <c r="L9" s="10">
        <v>5.0</v>
      </c>
      <c r="M9" s="11">
        <v>2.0</v>
      </c>
      <c r="N9" s="11">
        <v>7.0</v>
      </c>
      <c r="O9" s="11">
        <v>5.0</v>
      </c>
      <c r="P9" s="13">
        <v>0.0</v>
      </c>
      <c r="Q9" s="11">
        <v>1.0</v>
      </c>
      <c r="R9" s="11">
        <v>1.0</v>
      </c>
      <c r="S9" s="13">
        <v>0.0</v>
      </c>
      <c r="T9" s="10">
        <v>0.25</v>
      </c>
      <c r="U9" s="11">
        <v>0.1</v>
      </c>
      <c r="V9" s="11">
        <v>0.35</v>
      </c>
      <c r="W9" s="11">
        <v>0.25</v>
      </c>
      <c r="X9" s="11">
        <v>0.35</v>
      </c>
      <c r="Y9" s="14" t="s">
        <v>815</v>
      </c>
    </row>
    <row r="10">
      <c r="A10" s="74">
        <v>4.0</v>
      </c>
      <c r="B10" s="7" t="s">
        <v>60</v>
      </c>
      <c r="C10" s="8" t="s">
        <v>34</v>
      </c>
      <c r="D10" s="9" t="s">
        <v>35</v>
      </c>
      <c r="E10" s="7" t="s">
        <v>27</v>
      </c>
      <c r="F10" s="9">
        <v>21.0</v>
      </c>
      <c r="G10" s="9">
        <v>2002.0</v>
      </c>
      <c r="H10" s="10">
        <v>8.0</v>
      </c>
      <c r="I10" s="11">
        <v>2.0</v>
      </c>
      <c r="J10" s="11">
        <v>210.0</v>
      </c>
      <c r="K10" s="11">
        <v>2.3</v>
      </c>
      <c r="L10" s="10">
        <v>1.0</v>
      </c>
      <c r="M10" s="13">
        <v>0.0</v>
      </c>
      <c r="N10" s="11">
        <v>1.0</v>
      </c>
      <c r="O10" s="11">
        <v>1.0</v>
      </c>
      <c r="P10" s="13">
        <v>0.0</v>
      </c>
      <c r="Q10" s="13">
        <v>0.0</v>
      </c>
      <c r="R10" s="11">
        <v>1.0</v>
      </c>
      <c r="S10" s="13">
        <v>0.0</v>
      </c>
      <c r="T10" s="10">
        <v>0.43</v>
      </c>
      <c r="U10" s="13">
        <v>0.0</v>
      </c>
      <c r="V10" s="11">
        <v>0.43</v>
      </c>
      <c r="W10" s="11">
        <v>0.43</v>
      </c>
      <c r="X10" s="11">
        <v>0.43</v>
      </c>
      <c r="Y10" s="14" t="s">
        <v>816</v>
      </c>
    </row>
    <row r="11">
      <c r="A11" s="74">
        <v>5.0</v>
      </c>
      <c r="B11" s="7" t="s">
        <v>60</v>
      </c>
      <c r="C11" s="8" t="s">
        <v>34</v>
      </c>
      <c r="D11" s="9" t="s">
        <v>35</v>
      </c>
      <c r="E11" s="7" t="s">
        <v>62</v>
      </c>
      <c r="F11" s="9">
        <v>21.0</v>
      </c>
      <c r="G11" s="9">
        <v>2002.0</v>
      </c>
      <c r="H11" s="10">
        <v>20.0</v>
      </c>
      <c r="I11" s="11">
        <v>14.0</v>
      </c>
      <c r="J11" s="15">
        <v>1360.0</v>
      </c>
      <c r="K11" s="11">
        <v>15.1</v>
      </c>
      <c r="L11" s="12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1">
        <v>4.0</v>
      </c>
      <c r="S11" s="13">
        <v>0.0</v>
      </c>
      <c r="T11" s="12">
        <v>0.0</v>
      </c>
      <c r="U11" s="13">
        <v>0.0</v>
      </c>
      <c r="V11" s="13">
        <v>0.0</v>
      </c>
      <c r="W11" s="13">
        <v>0.0</v>
      </c>
      <c r="X11" s="13">
        <v>0.0</v>
      </c>
      <c r="Y11" s="14" t="s">
        <v>817</v>
      </c>
    </row>
    <row r="12">
      <c r="A12" s="74">
        <v>6.0</v>
      </c>
      <c r="B12" s="7" t="s">
        <v>497</v>
      </c>
      <c r="C12" s="8" t="s">
        <v>25</v>
      </c>
      <c r="D12" s="9" t="s">
        <v>55</v>
      </c>
      <c r="E12" s="7" t="s">
        <v>98</v>
      </c>
      <c r="F12" s="9">
        <v>35.0</v>
      </c>
      <c r="G12" s="9">
        <v>1988.0</v>
      </c>
      <c r="H12" s="10">
        <v>36.0</v>
      </c>
      <c r="I12" s="11">
        <v>36.0</v>
      </c>
      <c r="J12" s="15">
        <v>3230.0</v>
      </c>
      <c r="K12" s="11">
        <v>35.9</v>
      </c>
      <c r="L12" s="10">
        <v>14.0</v>
      </c>
      <c r="M12" s="11">
        <v>2.0</v>
      </c>
      <c r="N12" s="11">
        <v>16.0</v>
      </c>
      <c r="O12" s="11">
        <v>12.0</v>
      </c>
      <c r="P12" s="11">
        <v>2.0</v>
      </c>
      <c r="Q12" s="11">
        <v>3.0</v>
      </c>
      <c r="R12" s="11">
        <v>1.0</v>
      </c>
      <c r="S12" s="13">
        <v>0.0</v>
      </c>
      <c r="T12" s="10">
        <v>0.39</v>
      </c>
      <c r="U12" s="11">
        <v>0.06</v>
      </c>
      <c r="V12" s="11">
        <v>0.45</v>
      </c>
      <c r="W12" s="11">
        <v>0.33</v>
      </c>
      <c r="X12" s="11">
        <v>0.39</v>
      </c>
      <c r="Y12" s="14" t="s">
        <v>818</v>
      </c>
    </row>
    <row r="13">
      <c r="A13" s="74">
        <v>7.0</v>
      </c>
      <c r="B13" s="7" t="s">
        <v>358</v>
      </c>
      <c r="C13" s="8" t="s">
        <v>359</v>
      </c>
      <c r="D13" s="9" t="s">
        <v>77</v>
      </c>
      <c r="E13" s="7" t="s">
        <v>27</v>
      </c>
      <c r="F13" s="9">
        <v>23.0</v>
      </c>
      <c r="G13" s="9">
        <v>2000.0</v>
      </c>
      <c r="H13" s="10">
        <v>12.0</v>
      </c>
      <c r="I13" s="11">
        <v>12.0</v>
      </c>
      <c r="J13" s="15">
        <v>1080.0</v>
      </c>
      <c r="K13" s="11">
        <v>12.0</v>
      </c>
      <c r="L13" s="12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2">
        <v>0.0</v>
      </c>
      <c r="U13" s="13">
        <v>0.0</v>
      </c>
      <c r="V13" s="13">
        <v>0.0</v>
      </c>
      <c r="W13" s="13">
        <v>0.0</v>
      </c>
      <c r="X13" s="13">
        <v>0.0</v>
      </c>
      <c r="Y13" s="14" t="s">
        <v>819</v>
      </c>
    </row>
    <row r="14">
      <c r="A14" s="74">
        <v>8.0</v>
      </c>
      <c r="B14" s="7" t="s">
        <v>467</v>
      </c>
      <c r="C14" s="8" t="s">
        <v>25</v>
      </c>
      <c r="D14" s="9" t="s">
        <v>35</v>
      </c>
      <c r="E14" s="7" t="s">
        <v>80</v>
      </c>
      <c r="F14" s="9">
        <v>20.0</v>
      </c>
      <c r="G14" s="9">
        <v>2003.0</v>
      </c>
      <c r="H14" s="10">
        <v>19.0</v>
      </c>
      <c r="I14" s="11">
        <v>16.0</v>
      </c>
      <c r="J14" s="15">
        <v>1275.0</v>
      </c>
      <c r="K14" s="11">
        <v>14.2</v>
      </c>
      <c r="L14" s="12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1">
        <v>5.0</v>
      </c>
      <c r="S14" s="13">
        <v>0.0</v>
      </c>
      <c r="T14" s="12">
        <v>0.0</v>
      </c>
      <c r="U14" s="13">
        <v>0.0</v>
      </c>
      <c r="V14" s="13">
        <v>0.0</v>
      </c>
      <c r="W14" s="13">
        <v>0.0</v>
      </c>
      <c r="X14" s="13">
        <v>0.0</v>
      </c>
      <c r="Y14" s="14" t="s">
        <v>820</v>
      </c>
    </row>
    <row r="15">
      <c r="A15" s="74">
        <v>9.0</v>
      </c>
      <c r="B15" s="7" t="s">
        <v>415</v>
      </c>
      <c r="C15" s="8" t="s">
        <v>416</v>
      </c>
      <c r="D15" s="9" t="s">
        <v>35</v>
      </c>
      <c r="E15" s="7" t="s">
        <v>80</v>
      </c>
      <c r="F15" s="9">
        <v>23.0</v>
      </c>
      <c r="G15" s="9">
        <v>2000.0</v>
      </c>
      <c r="H15" s="10">
        <v>5.0</v>
      </c>
      <c r="I15" s="11">
        <v>3.0</v>
      </c>
      <c r="J15" s="11">
        <v>353.0</v>
      </c>
      <c r="K15" s="11">
        <v>3.9</v>
      </c>
      <c r="L15" s="12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1">
        <v>2.0</v>
      </c>
      <c r="S15" s="13">
        <v>0.0</v>
      </c>
      <c r="T15" s="12">
        <v>0.0</v>
      </c>
      <c r="U15" s="13">
        <v>0.0</v>
      </c>
      <c r="V15" s="13">
        <v>0.0</v>
      </c>
      <c r="W15" s="13">
        <v>0.0</v>
      </c>
      <c r="X15" s="13">
        <v>0.0</v>
      </c>
      <c r="Y15" s="14" t="s">
        <v>821</v>
      </c>
    </row>
    <row r="16">
      <c r="A16" s="74">
        <v>10.0</v>
      </c>
      <c r="B16" s="7" t="s">
        <v>598</v>
      </c>
      <c r="C16" s="8" t="s">
        <v>25</v>
      </c>
      <c r="D16" s="9" t="s">
        <v>35</v>
      </c>
      <c r="E16" s="7" t="s">
        <v>58</v>
      </c>
      <c r="F16" s="9">
        <v>29.0</v>
      </c>
      <c r="G16" s="9">
        <v>1994.0</v>
      </c>
      <c r="H16" s="10">
        <v>12.0</v>
      </c>
      <c r="I16" s="11">
        <v>8.0</v>
      </c>
      <c r="J16" s="11">
        <v>595.0</v>
      </c>
      <c r="K16" s="11">
        <v>6.6</v>
      </c>
      <c r="L16" s="12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1">
        <v>4.0</v>
      </c>
      <c r="S16" s="13">
        <v>0.0</v>
      </c>
      <c r="T16" s="12">
        <v>0.0</v>
      </c>
      <c r="U16" s="13">
        <v>0.0</v>
      </c>
      <c r="V16" s="13">
        <v>0.0</v>
      </c>
      <c r="W16" s="13">
        <v>0.0</v>
      </c>
      <c r="X16" s="13">
        <v>0.0</v>
      </c>
      <c r="Y16" s="14" t="s">
        <v>822</v>
      </c>
    </row>
    <row r="17">
      <c r="A17" s="74">
        <v>11.0</v>
      </c>
      <c r="B17" s="7" t="s">
        <v>634</v>
      </c>
      <c r="C17" s="8" t="s">
        <v>635</v>
      </c>
      <c r="D17" s="9" t="s">
        <v>55</v>
      </c>
      <c r="E17" s="7" t="s">
        <v>62</v>
      </c>
      <c r="F17" s="9">
        <v>23.0</v>
      </c>
      <c r="G17" s="9">
        <v>2000.0</v>
      </c>
      <c r="H17" s="10">
        <v>9.0</v>
      </c>
      <c r="I17" s="11">
        <v>1.0</v>
      </c>
      <c r="J17" s="11">
        <v>147.0</v>
      </c>
      <c r="K17" s="11">
        <v>1.6</v>
      </c>
      <c r="L17" s="12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2">
        <v>0.0</v>
      </c>
      <c r="U17" s="13">
        <v>0.0</v>
      </c>
      <c r="V17" s="13">
        <v>0.0</v>
      </c>
      <c r="W17" s="13">
        <v>0.0</v>
      </c>
      <c r="X17" s="13">
        <v>0.0</v>
      </c>
      <c r="Y17" s="14" t="s">
        <v>823</v>
      </c>
    </row>
    <row r="18">
      <c r="A18" s="74">
        <v>12.0</v>
      </c>
      <c r="B18" s="7" t="s">
        <v>271</v>
      </c>
      <c r="C18" s="8" t="s">
        <v>25</v>
      </c>
      <c r="D18" s="9" t="s">
        <v>55</v>
      </c>
      <c r="E18" s="7" t="s">
        <v>98</v>
      </c>
      <c r="F18" s="9">
        <v>19.0</v>
      </c>
      <c r="G18" s="9">
        <v>2004.0</v>
      </c>
      <c r="H18" s="10">
        <v>13.0</v>
      </c>
      <c r="I18" s="13">
        <v>0.0</v>
      </c>
      <c r="J18" s="11">
        <v>152.0</v>
      </c>
      <c r="K18" s="11">
        <v>1.7</v>
      </c>
      <c r="L18" s="12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2">
        <v>0.0</v>
      </c>
      <c r="U18" s="13">
        <v>0.0</v>
      </c>
      <c r="V18" s="13">
        <v>0.0</v>
      </c>
      <c r="W18" s="13">
        <v>0.0</v>
      </c>
      <c r="X18" s="13">
        <v>0.0</v>
      </c>
      <c r="Y18" s="14" t="s">
        <v>824</v>
      </c>
    </row>
    <row r="19">
      <c r="A19" s="74">
        <v>13.0</v>
      </c>
      <c r="B19" s="7" t="s">
        <v>432</v>
      </c>
      <c r="C19" s="8" t="s">
        <v>34</v>
      </c>
      <c r="D19" s="9" t="s">
        <v>26</v>
      </c>
      <c r="E19" s="7" t="s">
        <v>98</v>
      </c>
      <c r="F19" s="9">
        <v>21.0</v>
      </c>
      <c r="G19" s="9">
        <v>2002.0</v>
      </c>
      <c r="H19" s="10">
        <v>17.0</v>
      </c>
      <c r="I19" s="11">
        <v>14.0</v>
      </c>
      <c r="J19" s="15">
        <v>1114.0</v>
      </c>
      <c r="K19" s="11">
        <v>12.4</v>
      </c>
      <c r="L19" s="10">
        <v>6.0</v>
      </c>
      <c r="M19" s="11">
        <v>1.0</v>
      </c>
      <c r="N19" s="11">
        <v>7.0</v>
      </c>
      <c r="O19" s="11">
        <v>6.0</v>
      </c>
      <c r="P19" s="13">
        <v>0.0</v>
      </c>
      <c r="Q19" s="13">
        <v>0.0</v>
      </c>
      <c r="R19" s="11">
        <v>3.0</v>
      </c>
      <c r="S19" s="13">
        <v>0.0</v>
      </c>
      <c r="T19" s="10">
        <v>0.48</v>
      </c>
      <c r="U19" s="11">
        <v>0.08</v>
      </c>
      <c r="V19" s="11">
        <v>0.57</v>
      </c>
      <c r="W19" s="11">
        <v>0.48</v>
      </c>
      <c r="X19" s="11">
        <v>0.57</v>
      </c>
      <c r="Y19" s="14" t="s">
        <v>825</v>
      </c>
    </row>
    <row r="20">
      <c r="A20" s="74">
        <v>14.0</v>
      </c>
      <c r="B20" s="7" t="s">
        <v>376</v>
      </c>
      <c r="C20" s="8" t="s">
        <v>25</v>
      </c>
      <c r="D20" s="9" t="s">
        <v>30</v>
      </c>
      <c r="E20" s="7" t="s">
        <v>128</v>
      </c>
      <c r="F20" s="9">
        <v>20.0</v>
      </c>
      <c r="G20" s="9">
        <v>2003.0</v>
      </c>
      <c r="H20" s="10">
        <v>26.0</v>
      </c>
      <c r="I20" s="11">
        <v>7.0</v>
      </c>
      <c r="J20" s="11">
        <v>883.0</v>
      </c>
      <c r="K20" s="11">
        <v>9.8</v>
      </c>
      <c r="L20" s="10">
        <v>1.0</v>
      </c>
      <c r="M20" s="13">
        <v>0.0</v>
      </c>
      <c r="N20" s="11">
        <v>1.0</v>
      </c>
      <c r="O20" s="11">
        <v>1.0</v>
      </c>
      <c r="P20" s="13">
        <v>0.0</v>
      </c>
      <c r="Q20" s="13">
        <v>0.0</v>
      </c>
      <c r="R20" s="11">
        <v>3.0</v>
      </c>
      <c r="S20" s="13">
        <v>0.0</v>
      </c>
      <c r="T20" s="10">
        <v>0.1</v>
      </c>
      <c r="U20" s="13">
        <v>0.0</v>
      </c>
      <c r="V20" s="11">
        <v>0.1</v>
      </c>
      <c r="W20" s="11">
        <v>0.1</v>
      </c>
      <c r="X20" s="11">
        <v>0.1</v>
      </c>
      <c r="Y20" s="14" t="s">
        <v>826</v>
      </c>
    </row>
    <row r="21">
      <c r="A21" s="74">
        <v>15.0</v>
      </c>
      <c r="B21" s="7" t="s">
        <v>330</v>
      </c>
      <c r="C21" s="8" t="s">
        <v>331</v>
      </c>
      <c r="D21" s="9" t="s">
        <v>77</v>
      </c>
      <c r="E21" s="7" t="s">
        <v>36</v>
      </c>
      <c r="F21" s="9">
        <v>28.0</v>
      </c>
      <c r="G21" s="9">
        <v>1995.0</v>
      </c>
      <c r="H21" s="10">
        <v>7.0</v>
      </c>
      <c r="I21" s="11">
        <v>7.0</v>
      </c>
      <c r="J21" s="11">
        <v>613.0</v>
      </c>
      <c r="K21" s="11">
        <v>6.8</v>
      </c>
      <c r="L21" s="12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1">
        <v>1.0</v>
      </c>
      <c r="T21" s="12">
        <v>0.0</v>
      </c>
      <c r="U21" s="13">
        <v>0.0</v>
      </c>
      <c r="V21" s="13">
        <v>0.0</v>
      </c>
      <c r="W21" s="13">
        <v>0.0</v>
      </c>
      <c r="X21" s="13">
        <v>0.0</v>
      </c>
      <c r="Y21" s="14" t="s">
        <v>827</v>
      </c>
    </row>
    <row r="22">
      <c r="A22" s="74">
        <v>16.0</v>
      </c>
      <c r="B22" s="7" t="s">
        <v>134</v>
      </c>
      <c r="C22" s="8" t="s">
        <v>25</v>
      </c>
      <c r="D22" s="9" t="s">
        <v>26</v>
      </c>
      <c r="E22" s="7" t="s">
        <v>31</v>
      </c>
      <c r="F22" s="9">
        <v>18.0</v>
      </c>
      <c r="G22" s="9">
        <v>2005.0</v>
      </c>
      <c r="H22" s="10">
        <v>5.0</v>
      </c>
      <c r="I22" s="13">
        <v>0.0</v>
      </c>
      <c r="J22" s="11">
        <v>62.0</v>
      </c>
      <c r="K22" s="11">
        <v>0.7</v>
      </c>
      <c r="L22" s="12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2">
        <v>0.0</v>
      </c>
      <c r="U22" s="13">
        <v>0.0</v>
      </c>
      <c r="V22" s="13">
        <v>0.0</v>
      </c>
      <c r="W22" s="13">
        <v>0.0</v>
      </c>
      <c r="X22" s="13">
        <v>0.0</v>
      </c>
      <c r="Y22" s="14" t="s">
        <v>828</v>
      </c>
    </row>
    <row r="23">
      <c r="A23" s="74">
        <v>17.0</v>
      </c>
      <c r="B23" s="7" t="s">
        <v>493</v>
      </c>
      <c r="C23" s="8" t="s">
        <v>25</v>
      </c>
      <c r="D23" s="9" t="s">
        <v>35</v>
      </c>
      <c r="E23" s="7" t="s">
        <v>58</v>
      </c>
      <c r="F23" s="9">
        <v>30.0</v>
      </c>
      <c r="G23" s="9">
        <v>1993.0</v>
      </c>
      <c r="H23" s="10">
        <v>31.0</v>
      </c>
      <c r="I23" s="11">
        <v>31.0</v>
      </c>
      <c r="J23" s="15">
        <v>2762.0</v>
      </c>
      <c r="K23" s="11">
        <v>30.7</v>
      </c>
      <c r="L23" s="12">
        <v>0.0</v>
      </c>
      <c r="M23" s="11">
        <v>1.0</v>
      </c>
      <c r="N23" s="11">
        <v>1.0</v>
      </c>
      <c r="O23" s="13">
        <v>0.0</v>
      </c>
      <c r="P23" s="13">
        <v>0.0</v>
      </c>
      <c r="Q23" s="13">
        <v>0.0</v>
      </c>
      <c r="R23" s="11">
        <v>12.0</v>
      </c>
      <c r="S23" s="11">
        <v>1.0</v>
      </c>
      <c r="T23" s="12">
        <v>0.0</v>
      </c>
      <c r="U23" s="11">
        <v>0.03</v>
      </c>
      <c r="V23" s="11">
        <v>0.03</v>
      </c>
      <c r="W23" s="13">
        <v>0.0</v>
      </c>
      <c r="X23" s="11">
        <v>0.03</v>
      </c>
      <c r="Y23" s="14" t="s">
        <v>829</v>
      </c>
    </row>
    <row r="24">
      <c r="A24" s="74">
        <v>18.0</v>
      </c>
      <c r="B24" s="7" t="s">
        <v>651</v>
      </c>
      <c r="C24" s="8" t="s">
        <v>43</v>
      </c>
      <c r="D24" s="9" t="s">
        <v>30</v>
      </c>
      <c r="E24" s="7" t="s">
        <v>36</v>
      </c>
      <c r="F24" s="9">
        <v>21.0</v>
      </c>
      <c r="G24" s="9">
        <v>2002.0</v>
      </c>
      <c r="H24" s="10">
        <v>17.0</v>
      </c>
      <c r="I24" s="11">
        <v>13.0</v>
      </c>
      <c r="J24" s="15">
        <v>1137.0</v>
      </c>
      <c r="K24" s="11">
        <v>12.6</v>
      </c>
      <c r="L24" s="10">
        <v>3.0</v>
      </c>
      <c r="M24" s="13">
        <v>0.0</v>
      </c>
      <c r="N24" s="11">
        <v>3.0</v>
      </c>
      <c r="O24" s="11">
        <v>3.0</v>
      </c>
      <c r="P24" s="13">
        <v>0.0</v>
      </c>
      <c r="Q24" s="13">
        <v>0.0</v>
      </c>
      <c r="R24" s="11">
        <v>1.0</v>
      </c>
      <c r="S24" s="13">
        <v>0.0</v>
      </c>
      <c r="T24" s="10">
        <v>0.24</v>
      </c>
      <c r="U24" s="13">
        <v>0.0</v>
      </c>
      <c r="V24" s="11">
        <v>0.24</v>
      </c>
      <c r="W24" s="11">
        <v>0.24</v>
      </c>
      <c r="X24" s="11">
        <v>0.24</v>
      </c>
      <c r="Y24" s="14" t="s">
        <v>830</v>
      </c>
    </row>
    <row r="25">
      <c r="A25" s="74">
        <v>19.0</v>
      </c>
      <c r="B25" s="7" t="s">
        <v>562</v>
      </c>
      <c r="C25" s="8" t="s">
        <v>34</v>
      </c>
      <c r="D25" s="9" t="s">
        <v>55</v>
      </c>
      <c r="E25" s="7" t="s">
        <v>98</v>
      </c>
      <c r="F25" s="9">
        <v>21.0</v>
      </c>
      <c r="G25" s="9">
        <v>2002.0</v>
      </c>
      <c r="H25" s="10">
        <v>8.0</v>
      </c>
      <c r="I25" s="11">
        <v>3.0</v>
      </c>
      <c r="J25" s="11">
        <v>285.0</v>
      </c>
      <c r="K25" s="11">
        <v>3.2</v>
      </c>
      <c r="L25" s="10">
        <v>1.0</v>
      </c>
      <c r="M25" s="13">
        <v>0.0</v>
      </c>
      <c r="N25" s="11">
        <v>1.0</v>
      </c>
      <c r="O25" s="11">
        <v>1.0</v>
      </c>
      <c r="P25" s="13">
        <v>0.0</v>
      </c>
      <c r="Q25" s="13">
        <v>0.0</v>
      </c>
      <c r="R25" s="13">
        <v>0.0</v>
      </c>
      <c r="S25" s="13">
        <v>0.0</v>
      </c>
      <c r="T25" s="10">
        <v>0.32</v>
      </c>
      <c r="U25" s="13">
        <v>0.0</v>
      </c>
      <c r="V25" s="11">
        <v>0.32</v>
      </c>
      <c r="W25" s="11">
        <v>0.32</v>
      </c>
      <c r="X25" s="11">
        <v>0.32</v>
      </c>
      <c r="Y25" s="14" t="s">
        <v>831</v>
      </c>
    </row>
    <row r="26">
      <c r="A26" s="74">
        <v>20.0</v>
      </c>
      <c r="B26" s="7" t="s">
        <v>530</v>
      </c>
      <c r="C26" s="8" t="s">
        <v>25</v>
      </c>
      <c r="D26" s="9" t="s">
        <v>26</v>
      </c>
      <c r="E26" s="7" t="s">
        <v>80</v>
      </c>
      <c r="F26" s="9">
        <v>31.0</v>
      </c>
      <c r="G26" s="9">
        <v>1992.0</v>
      </c>
      <c r="H26" s="10">
        <v>30.0</v>
      </c>
      <c r="I26" s="11">
        <v>28.0</v>
      </c>
      <c r="J26" s="15">
        <v>2232.0</v>
      </c>
      <c r="K26" s="11">
        <v>24.8</v>
      </c>
      <c r="L26" s="10">
        <v>4.0</v>
      </c>
      <c r="M26" s="11">
        <v>1.0</v>
      </c>
      <c r="N26" s="11">
        <v>5.0</v>
      </c>
      <c r="O26" s="11">
        <v>3.0</v>
      </c>
      <c r="P26" s="11">
        <v>1.0</v>
      </c>
      <c r="Q26" s="11">
        <v>1.0</v>
      </c>
      <c r="R26" s="11">
        <v>8.0</v>
      </c>
      <c r="S26" s="13">
        <v>0.0</v>
      </c>
      <c r="T26" s="10">
        <v>0.16</v>
      </c>
      <c r="U26" s="11">
        <v>0.04</v>
      </c>
      <c r="V26" s="11">
        <v>0.2</v>
      </c>
      <c r="W26" s="11">
        <v>0.12</v>
      </c>
      <c r="X26" s="11">
        <v>0.16</v>
      </c>
      <c r="Y26" s="14" t="s">
        <v>832</v>
      </c>
    </row>
    <row r="27">
      <c r="A27" s="74">
        <v>21.0</v>
      </c>
      <c r="B27" s="7" t="s">
        <v>24</v>
      </c>
      <c r="C27" s="8" t="s">
        <v>25</v>
      </c>
      <c r="D27" s="9" t="s">
        <v>26</v>
      </c>
      <c r="E27" s="7" t="s">
        <v>27</v>
      </c>
      <c r="F27" s="9">
        <v>23.0</v>
      </c>
      <c r="G27" s="9">
        <v>2000.0</v>
      </c>
      <c r="H27" s="10">
        <v>17.0</v>
      </c>
      <c r="I27" s="11">
        <v>10.0</v>
      </c>
      <c r="J27" s="11">
        <v>960.0</v>
      </c>
      <c r="K27" s="11">
        <v>10.7</v>
      </c>
      <c r="L27" s="12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1">
        <v>3.0</v>
      </c>
      <c r="S27" s="13">
        <v>0.0</v>
      </c>
      <c r="T27" s="12">
        <v>0.0</v>
      </c>
      <c r="U27" s="13">
        <v>0.0</v>
      </c>
      <c r="V27" s="13">
        <v>0.0</v>
      </c>
      <c r="W27" s="13">
        <v>0.0</v>
      </c>
      <c r="X27" s="13">
        <v>0.0</v>
      </c>
      <c r="Y27" s="14" t="s">
        <v>833</v>
      </c>
    </row>
    <row r="28">
      <c r="A28" s="74">
        <v>22.0</v>
      </c>
      <c r="B28" s="7" t="s">
        <v>309</v>
      </c>
      <c r="C28" s="8" t="s">
        <v>25</v>
      </c>
      <c r="D28" s="9" t="s">
        <v>35</v>
      </c>
      <c r="E28" s="7" t="s">
        <v>36</v>
      </c>
      <c r="F28" s="9">
        <v>23.0</v>
      </c>
      <c r="G28" s="9">
        <v>2000.0</v>
      </c>
      <c r="H28" s="10">
        <v>12.0</v>
      </c>
      <c r="I28" s="11">
        <v>12.0</v>
      </c>
      <c r="J28" s="15">
        <v>1031.0</v>
      </c>
      <c r="K28" s="11">
        <v>11.5</v>
      </c>
      <c r="L28" s="12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1">
        <v>3.0</v>
      </c>
      <c r="S28" s="13">
        <v>0.0</v>
      </c>
      <c r="T28" s="12">
        <v>0.0</v>
      </c>
      <c r="U28" s="13">
        <v>0.0</v>
      </c>
      <c r="V28" s="13">
        <v>0.0</v>
      </c>
      <c r="W28" s="13">
        <v>0.0</v>
      </c>
      <c r="X28" s="13">
        <v>0.0</v>
      </c>
      <c r="Y28" s="14" t="s">
        <v>834</v>
      </c>
    </row>
    <row r="29">
      <c r="A29" s="74">
        <v>23.0</v>
      </c>
      <c r="B29" s="7" t="s">
        <v>564</v>
      </c>
      <c r="C29" s="8" t="s">
        <v>34</v>
      </c>
      <c r="D29" s="9" t="s">
        <v>35</v>
      </c>
      <c r="E29" s="7" t="s">
        <v>58</v>
      </c>
      <c r="F29" s="9">
        <v>25.0</v>
      </c>
      <c r="G29" s="9">
        <v>1998.0</v>
      </c>
      <c r="H29" s="10">
        <v>4.0</v>
      </c>
      <c r="I29" s="11">
        <v>2.0</v>
      </c>
      <c r="J29" s="11">
        <v>171.0</v>
      </c>
      <c r="K29" s="11">
        <v>1.9</v>
      </c>
      <c r="L29" s="12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2">
        <v>0.0</v>
      </c>
      <c r="U29" s="13">
        <v>0.0</v>
      </c>
      <c r="V29" s="13">
        <v>0.0</v>
      </c>
      <c r="W29" s="13">
        <v>0.0</v>
      </c>
      <c r="X29" s="13">
        <v>0.0</v>
      </c>
      <c r="Y29" s="14" t="s">
        <v>835</v>
      </c>
    </row>
    <row r="30">
      <c r="A30" s="74">
        <v>24.0</v>
      </c>
      <c r="B30" s="7" t="s">
        <v>628</v>
      </c>
      <c r="C30" s="8" t="s">
        <v>43</v>
      </c>
      <c r="D30" s="9" t="s">
        <v>26</v>
      </c>
      <c r="E30" s="7" t="s">
        <v>62</v>
      </c>
      <c r="F30" s="9">
        <v>24.0</v>
      </c>
      <c r="G30" s="9">
        <v>1999.0</v>
      </c>
      <c r="H30" s="10">
        <v>27.0</v>
      </c>
      <c r="I30" s="11">
        <v>23.0</v>
      </c>
      <c r="J30" s="15">
        <v>1862.0</v>
      </c>
      <c r="K30" s="11">
        <v>20.7</v>
      </c>
      <c r="L30" s="10">
        <v>1.0</v>
      </c>
      <c r="M30" s="13">
        <v>0.0</v>
      </c>
      <c r="N30" s="11">
        <v>1.0</v>
      </c>
      <c r="O30" s="11">
        <v>1.0</v>
      </c>
      <c r="P30" s="13">
        <v>0.0</v>
      </c>
      <c r="Q30" s="13">
        <v>0.0</v>
      </c>
      <c r="R30" s="11">
        <v>1.0</v>
      </c>
      <c r="S30" s="13">
        <v>0.0</v>
      </c>
      <c r="T30" s="10">
        <v>0.05</v>
      </c>
      <c r="U30" s="13">
        <v>0.0</v>
      </c>
      <c r="V30" s="11">
        <v>0.05</v>
      </c>
      <c r="W30" s="11">
        <v>0.05</v>
      </c>
      <c r="X30" s="11">
        <v>0.05</v>
      </c>
      <c r="Y30" s="14" t="s">
        <v>836</v>
      </c>
    </row>
    <row r="31">
      <c r="A31" s="74">
        <v>25.0</v>
      </c>
      <c r="B31" s="7" t="s">
        <v>119</v>
      </c>
      <c r="C31" s="8" t="s">
        <v>25</v>
      </c>
      <c r="D31" s="9" t="s">
        <v>55</v>
      </c>
      <c r="E31" s="7" t="s">
        <v>36</v>
      </c>
      <c r="F31" s="9">
        <v>20.0</v>
      </c>
      <c r="G31" s="9">
        <v>2003.0</v>
      </c>
      <c r="H31" s="10">
        <v>1.0</v>
      </c>
      <c r="I31" s="13">
        <v>0.0</v>
      </c>
      <c r="J31" s="11">
        <v>34.0</v>
      </c>
      <c r="K31" s="11">
        <v>0.4</v>
      </c>
      <c r="L31" s="10">
        <v>1.0</v>
      </c>
      <c r="M31" s="13">
        <v>0.0</v>
      </c>
      <c r="N31" s="11">
        <v>1.0</v>
      </c>
      <c r="O31" s="11">
        <v>1.0</v>
      </c>
      <c r="P31" s="13">
        <v>0.0</v>
      </c>
      <c r="Q31" s="13">
        <v>0.0</v>
      </c>
      <c r="R31" s="13">
        <v>0.0</v>
      </c>
      <c r="S31" s="13">
        <v>0.0</v>
      </c>
      <c r="T31" s="10">
        <v>2.65</v>
      </c>
      <c r="U31" s="13">
        <v>0.0</v>
      </c>
      <c r="V31" s="11">
        <v>2.65</v>
      </c>
      <c r="W31" s="11">
        <v>2.65</v>
      </c>
      <c r="X31" s="11">
        <v>2.65</v>
      </c>
      <c r="Y31" s="14" t="s">
        <v>837</v>
      </c>
    </row>
    <row r="32">
      <c r="A32" s="74">
        <v>26.0</v>
      </c>
      <c r="B32" s="7" t="s">
        <v>540</v>
      </c>
      <c r="C32" s="8" t="s">
        <v>25</v>
      </c>
      <c r="D32" s="9" t="s">
        <v>83</v>
      </c>
      <c r="E32" s="7" t="s">
        <v>52</v>
      </c>
      <c r="F32" s="9">
        <v>21.0</v>
      </c>
      <c r="G32" s="9">
        <v>2002.0</v>
      </c>
      <c r="H32" s="10">
        <v>30.0</v>
      </c>
      <c r="I32" s="11">
        <v>25.0</v>
      </c>
      <c r="J32" s="15">
        <v>2163.0</v>
      </c>
      <c r="K32" s="11">
        <v>24.0</v>
      </c>
      <c r="L32" s="10">
        <v>2.0</v>
      </c>
      <c r="M32" s="13">
        <v>0.0</v>
      </c>
      <c r="N32" s="11">
        <v>2.0</v>
      </c>
      <c r="O32" s="11">
        <v>2.0</v>
      </c>
      <c r="P32" s="13">
        <v>0.0</v>
      </c>
      <c r="Q32" s="13">
        <v>0.0</v>
      </c>
      <c r="R32" s="11">
        <v>2.0</v>
      </c>
      <c r="S32" s="13">
        <v>0.0</v>
      </c>
      <c r="T32" s="10">
        <v>0.08</v>
      </c>
      <c r="U32" s="13">
        <v>0.0</v>
      </c>
      <c r="V32" s="11">
        <v>0.08</v>
      </c>
      <c r="W32" s="11">
        <v>0.08</v>
      </c>
      <c r="X32" s="11">
        <v>0.08</v>
      </c>
      <c r="Y32" s="14" t="s">
        <v>838</v>
      </c>
    </row>
    <row r="33">
      <c r="A33" s="74">
        <v>27.0</v>
      </c>
      <c r="B33" s="7" t="s">
        <v>579</v>
      </c>
      <c r="C33" s="8" t="s">
        <v>25</v>
      </c>
      <c r="D33" s="9" t="s">
        <v>55</v>
      </c>
      <c r="E33" s="7" t="s">
        <v>58</v>
      </c>
      <c r="F33" s="9">
        <v>25.0</v>
      </c>
      <c r="G33" s="9">
        <v>1998.0</v>
      </c>
      <c r="H33" s="10">
        <v>27.0</v>
      </c>
      <c r="I33" s="11">
        <v>12.0</v>
      </c>
      <c r="J33" s="15">
        <v>1399.0</v>
      </c>
      <c r="K33" s="11">
        <v>15.5</v>
      </c>
      <c r="L33" s="10">
        <v>10.0</v>
      </c>
      <c r="M33" s="11">
        <v>4.0</v>
      </c>
      <c r="N33" s="11">
        <v>14.0</v>
      </c>
      <c r="O33" s="11">
        <v>9.0</v>
      </c>
      <c r="P33" s="11">
        <v>1.0</v>
      </c>
      <c r="Q33" s="11">
        <v>1.0</v>
      </c>
      <c r="R33" s="11">
        <v>6.0</v>
      </c>
      <c r="S33" s="11">
        <v>1.0</v>
      </c>
      <c r="T33" s="10">
        <v>0.64</v>
      </c>
      <c r="U33" s="11">
        <v>0.26</v>
      </c>
      <c r="V33" s="11">
        <v>0.9</v>
      </c>
      <c r="W33" s="11">
        <v>0.58</v>
      </c>
      <c r="X33" s="11">
        <v>0.84</v>
      </c>
      <c r="Y33" s="14" t="s">
        <v>839</v>
      </c>
    </row>
    <row r="34">
      <c r="A34" s="74">
        <v>28.0</v>
      </c>
      <c r="B34" s="7" t="s">
        <v>79</v>
      </c>
      <c r="C34" s="8" t="s">
        <v>25</v>
      </c>
      <c r="D34" s="9" t="s">
        <v>35</v>
      </c>
      <c r="E34" s="7" t="s">
        <v>80</v>
      </c>
      <c r="F34" s="9">
        <v>32.0</v>
      </c>
      <c r="G34" s="9">
        <v>1991.0</v>
      </c>
      <c r="H34" s="10">
        <v>26.0</v>
      </c>
      <c r="I34" s="11">
        <v>26.0</v>
      </c>
      <c r="J34" s="15">
        <v>2340.0</v>
      </c>
      <c r="K34" s="11">
        <v>26.0</v>
      </c>
      <c r="L34" s="12">
        <v>0.0</v>
      </c>
      <c r="M34" s="13">
        <v>0.0</v>
      </c>
      <c r="N34" s="13">
        <v>0.0</v>
      </c>
      <c r="O34" s="13">
        <v>0.0</v>
      </c>
      <c r="P34" s="13">
        <v>0.0</v>
      </c>
      <c r="Q34" s="13">
        <v>0.0</v>
      </c>
      <c r="R34" s="11">
        <v>3.0</v>
      </c>
      <c r="S34" s="13">
        <v>0.0</v>
      </c>
      <c r="T34" s="12">
        <v>0.0</v>
      </c>
      <c r="U34" s="13">
        <v>0.0</v>
      </c>
      <c r="V34" s="13">
        <v>0.0</v>
      </c>
      <c r="W34" s="13">
        <v>0.0</v>
      </c>
      <c r="X34" s="13">
        <v>0.0</v>
      </c>
      <c r="Y34" s="14" t="s">
        <v>840</v>
      </c>
    </row>
    <row r="35">
      <c r="A35" s="74">
        <v>29.0</v>
      </c>
      <c r="B35" s="7" t="s">
        <v>649</v>
      </c>
      <c r="C35" s="8" t="s">
        <v>34</v>
      </c>
      <c r="D35" s="9" t="s">
        <v>83</v>
      </c>
      <c r="E35" s="7" t="s">
        <v>80</v>
      </c>
      <c r="F35" s="9">
        <v>20.0</v>
      </c>
      <c r="G35" s="9">
        <v>2003.0</v>
      </c>
      <c r="H35" s="10">
        <v>18.0</v>
      </c>
      <c r="I35" s="11">
        <v>17.0</v>
      </c>
      <c r="J35" s="15">
        <v>1388.0</v>
      </c>
      <c r="K35" s="11">
        <v>15.4</v>
      </c>
      <c r="L35" s="12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1">
        <v>5.0</v>
      </c>
      <c r="S35" s="13">
        <v>0.0</v>
      </c>
      <c r="T35" s="12">
        <v>0.0</v>
      </c>
      <c r="U35" s="13">
        <v>0.0</v>
      </c>
      <c r="V35" s="13">
        <v>0.0</v>
      </c>
      <c r="W35" s="13">
        <v>0.0</v>
      </c>
      <c r="X35" s="13">
        <v>0.0</v>
      </c>
      <c r="Y35" s="14" t="s">
        <v>841</v>
      </c>
    </row>
    <row r="36">
      <c r="A36" s="74">
        <v>30.0</v>
      </c>
      <c r="B36" s="7" t="s">
        <v>520</v>
      </c>
      <c r="C36" s="8" t="s">
        <v>25</v>
      </c>
      <c r="D36" s="9" t="s">
        <v>26</v>
      </c>
      <c r="E36" s="7" t="s">
        <v>44</v>
      </c>
      <c r="F36" s="9">
        <v>17.0</v>
      </c>
      <c r="G36" s="9">
        <v>2006.0</v>
      </c>
      <c r="H36" s="10">
        <v>1.0</v>
      </c>
      <c r="I36" s="13">
        <v>0.0</v>
      </c>
      <c r="J36" s="11">
        <v>26.0</v>
      </c>
      <c r="K36" s="11">
        <v>0.3</v>
      </c>
      <c r="L36" s="12">
        <v>0.0</v>
      </c>
      <c r="M36" s="13">
        <v>0.0</v>
      </c>
      <c r="N36" s="13">
        <v>0.0</v>
      </c>
      <c r="O36" s="13">
        <v>0.0</v>
      </c>
      <c r="P36" s="13">
        <v>0.0</v>
      </c>
      <c r="Q36" s="13">
        <v>0.0</v>
      </c>
      <c r="R36" s="13">
        <v>0.0</v>
      </c>
      <c r="S36" s="13">
        <v>0.0</v>
      </c>
      <c r="T36" s="12">
        <v>0.0</v>
      </c>
      <c r="U36" s="13">
        <v>0.0</v>
      </c>
      <c r="V36" s="13">
        <v>0.0</v>
      </c>
      <c r="W36" s="13">
        <v>0.0</v>
      </c>
      <c r="X36" s="13">
        <v>0.0</v>
      </c>
      <c r="Y36" s="14" t="s">
        <v>842</v>
      </c>
    </row>
    <row r="37">
      <c r="A37" s="74">
        <v>31.0</v>
      </c>
      <c r="B37" s="7" t="s">
        <v>552</v>
      </c>
      <c r="C37" s="8" t="s">
        <v>25</v>
      </c>
      <c r="D37" s="9" t="s">
        <v>47</v>
      </c>
      <c r="E37" s="7" t="s">
        <v>36</v>
      </c>
      <c r="F37" s="9">
        <v>32.0</v>
      </c>
      <c r="G37" s="9">
        <v>1991.0</v>
      </c>
      <c r="H37" s="10">
        <v>33.0</v>
      </c>
      <c r="I37" s="11">
        <v>23.0</v>
      </c>
      <c r="J37" s="15">
        <v>2092.0</v>
      </c>
      <c r="K37" s="11">
        <v>23.2</v>
      </c>
      <c r="L37" s="12">
        <v>0.0</v>
      </c>
      <c r="M37" s="13">
        <v>0.0</v>
      </c>
      <c r="N37" s="13">
        <v>0.0</v>
      </c>
      <c r="O37" s="13">
        <v>0.0</v>
      </c>
      <c r="P37" s="13">
        <v>0.0</v>
      </c>
      <c r="Q37" s="11">
        <v>1.0</v>
      </c>
      <c r="R37" s="11">
        <v>8.0</v>
      </c>
      <c r="S37" s="13">
        <v>0.0</v>
      </c>
      <c r="T37" s="12">
        <v>0.0</v>
      </c>
      <c r="U37" s="13">
        <v>0.0</v>
      </c>
      <c r="V37" s="13">
        <v>0.0</v>
      </c>
      <c r="W37" s="13">
        <v>0.0</v>
      </c>
      <c r="X37" s="13">
        <v>0.0</v>
      </c>
      <c r="Y37" s="14" t="s">
        <v>843</v>
      </c>
    </row>
    <row r="38">
      <c r="A38" s="74">
        <v>32.0</v>
      </c>
      <c r="B38" s="7" t="s">
        <v>82</v>
      </c>
      <c r="C38" s="8" t="s">
        <v>25</v>
      </c>
      <c r="D38" s="9" t="s">
        <v>83</v>
      </c>
      <c r="E38" s="7" t="s">
        <v>27</v>
      </c>
      <c r="F38" s="9">
        <v>26.0</v>
      </c>
      <c r="G38" s="9">
        <v>1997.0</v>
      </c>
      <c r="H38" s="10">
        <v>30.0</v>
      </c>
      <c r="I38" s="11">
        <v>29.0</v>
      </c>
      <c r="J38" s="15">
        <v>2552.0</v>
      </c>
      <c r="K38" s="11">
        <v>28.4</v>
      </c>
      <c r="L38" s="10">
        <v>1.0</v>
      </c>
      <c r="M38" s="11">
        <v>1.0</v>
      </c>
      <c r="N38" s="11">
        <v>2.0</v>
      </c>
      <c r="O38" s="11">
        <v>1.0</v>
      </c>
      <c r="P38" s="13">
        <v>0.0</v>
      </c>
      <c r="Q38" s="13">
        <v>0.0</v>
      </c>
      <c r="R38" s="11">
        <v>5.0</v>
      </c>
      <c r="S38" s="13">
        <v>0.0</v>
      </c>
      <c r="T38" s="10">
        <v>0.04</v>
      </c>
      <c r="U38" s="11">
        <v>0.04</v>
      </c>
      <c r="V38" s="11">
        <v>0.07</v>
      </c>
      <c r="W38" s="11">
        <v>0.04</v>
      </c>
      <c r="X38" s="11">
        <v>0.07</v>
      </c>
      <c r="Y38" s="14" t="s">
        <v>844</v>
      </c>
    </row>
    <row r="39">
      <c r="A39" s="74">
        <v>33.0</v>
      </c>
      <c r="B39" s="7" t="s">
        <v>455</v>
      </c>
      <c r="C39" s="8" t="s">
        <v>25</v>
      </c>
      <c r="D39" s="9" t="s">
        <v>26</v>
      </c>
      <c r="E39" s="7" t="s">
        <v>31</v>
      </c>
      <c r="F39" s="9">
        <v>16.0</v>
      </c>
      <c r="G39" s="9">
        <v>2007.0</v>
      </c>
      <c r="H39" s="10">
        <v>1.0</v>
      </c>
      <c r="I39" s="13">
        <v>0.0</v>
      </c>
      <c r="J39" s="11">
        <v>12.0</v>
      </c>
      <c r="K39" s="11">
        <v>0.1</v>
      </c>
      <c r="L39" s="12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  <c r="T39" s="12">
        <v>0.0</v>
      </c>
      <c r="U39" s="13">
        <v>0.0</v>
      </c>
      <c r="V39" s="13">
        <v>0.0</v>
      </c>
      <c r="W39" s="13">
        <v>0.0</v>
      </c>
      <c r="X39" s="13">
        <v>0.0</v>
      </c>
      <c r="Y39" s="14" t="s">
        <v>845</v>
      </c>
    </row>
    <row r="40">
      <c r="A40" s="74">
        <v>34.0</v>
      </c>
      <c r="B40" s="7" t="s">
        <v>388</v>
      </c>
      <c r="C40" s="8" t="s">
        <v>25</v>
      </c>
      <c r="D40" s="9" t="s">
        <v>35</v>
      </c>
      <c r="E40" s="7" t="s">
        <v>62</v>
      </c>
      <c r="F40" s="9">
        <v>25.0</v>
      </c>
      <c r="G40" s="9">
        <v>1998.0</v>
      </c>
      <c r="H40" s="10">
        <v>35.0</v>
      </c>
      <c r="I40" s="11">
        <v>35.0</v>
      </c>
      <c r="J40" s="15">
        <v>3111.0</v>
      </c>
      <c r="K40" s="11">
        <v>34.6</v>
      </c>
      <c r="L40" s="10">
        <v>1.0</v>
      </c>
      <c r="M40" s="13">
        <v>0.0</v>
      </c>
      <c r="N40" s="11">
        <v>1.0</v>
      </c>
      <c r="O40" s="11">
        <v>1.0</v>
      </c>
      <c r="P40" s="13">
        <v>0.0</v>
      </c>
      <c r="Q40" s="13">
        <v>0.0</v>
      </c>
      <c r="R40" s="11">
        <v>4.0</v>
      </c>
      <c r="S40" s="13">
        <v>0.0</v>
      </c>
      <c r="T40" s="10">
        <v>0.03</v>
      </c>
      <c r="U40" s="13">
        <v>0.0</v>
      </c>
      <c r="V40" s="11">
        <v>0.03</v>
      </c>
      <c r="W40" s="11">
        <v>0.03</v>
      </c>
      <c r="X40" s="11">
        <v>0.03</v>
      </c>
      <c r="Y40" s="14" t="s">
        <v>846</v>
      </c>
    </row>
    <row r="41">
      <c r="A41" s="74">
        <v>35.0</v>
      </c>
      <c r="B41" s="7" t="s">
        <v>522</v>
      </c>
      <c r="C41" s="8" t="s">
        <v>34</v>
      </c>
      <c r="D41" s="9" t="s">
        <v>77</v>
      </c>
      <c r="E41" s="7" t="s">
        <v>128</v>
      </c>
      <c r="F41" s="9">
        <v>39.0</v>
      </c>
      <c r="G41" s="9">
        <v>1984.0</v>
      </c>
      <c r="H41" s="10">
        <v>1.0</v>
      </c>
      <c r="I41" s="13">
        <v>0.0</v>
      </c>
      <c r="J41" s="11">
        <v>9.0</v>
      </c>
      <c r="K41" s="11">
        <v>0.1</v>
      </c>
      <c r="L41" s="12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2">
        <v>0.0</v>
      </c>
      <c r="U41" s="13">
        <v>0.0</v>
      </c>
      <c r="V41" s="13">
        <v>0.0</v>
      </c>
      <c r="W41" s="13">
        <v>0.0</v>
      </c>
      <c r="X41" s="13">
        <v>0.0</v>
      </c>
      <c r="Y41" s="14" t="s">
        <v>847</v>
      </c>
    </row>
    <row r="42">
      <c r="A42" s="74">
        <v>36.0</v>
      </c>
      <c r="B42" s="7" t="s">
        <v>263</v>
      </c>
      <c r="C42" s="8" t="s">
        <v>25</v>
      </c>
      <c r="D42" s="9" t="s">
        <v>83</v>
      </c>
      <c r="E42" s="7" t="s">
        <v>62</v>
      </c>
      <c r="F42" s="9">
        <v>30.0</v>
      </c>
      <c r="G42" s="9">
        <v>1993.0</v>
      </c>
      <c r="H42" s="10">
        <v>21.0</v>
      </c>
      <c r="I42" s="11">
        <v>18.0</v>
      </c>
      <c r="J42" s="15">
        <v>1649.0</v>
      </c>
      <c r="K42" s="11">
        <v>18.3</v>
      </c>
      <c r="L42" s="12">
        <v>0.0</v>
      </c>
      <c r="M42" s="13">
        <v>0.0</v>
      </c>
      <c r="N42" s="13">
        <v>0.0</v>
      </c>
      <c r="O42" s="13">
        <v>0.0</v>
      </c>
      <c r="P42" s="13">
        <v>0.0</v>
      </c>
      <c r="Q42" s="13">
        <v>0.0</v>
      </c>
      <c r="R42" s="11">
        <v>4.0</v>
      </c>
      <c r="S42" s="13">
        <v>0.0</v>
      </c>
      <c r="T42" s="12">
        <v>0.0</v>
      </c>
      <c r="U42" s="13">
        <v>0.0</v>
      </c>
      <c r="V42" s="13">
        <v>0.0</v>
      </c>
      <c r="W42" s="13">
        <v>0.0</v>
      </c>
      <c r="X42" s="13">
        <v>0.0</v>
      </c>
      <c r="Y42" s="14" t="s">
        <v>848</v>
      </c>
    </row>
    <row r="43">
      <c r="A43" s="74">
        <v>37.0</v>
      </c>
      <c r="B43" s="7" t="s">
        <v>277</v>
      </c>
      <c r="C43" s="8" t="s">
        <v>25</v>
      </c>
      <c r="D43" s="9" t="s">
        <v>47</v>
      </c>
      <c r="E43" s="7" t="s">
        <v>31</v>
      </c>
      <c r="F43" s="9">
        <v>30.0</v>
      </c>
      <c r="G43" s="9">
        <v>1993.0</v>
      </c>
      <c r="H43" s="10">
        <v>27.0</v>
      </c>
      <c r="I43" s="11">
        <v>18.0</v>
      </c>
      <c r="J43" s="15">
        <v>1667.0</v>
      </c>
      <c r="K43" s="11">
        <v>18.5</v>
      </c>
      <c r="L43" s="10">
        <v>4.0</v>
      </c>
      <c r="M43" s="11">
        <v>4.0</v>
      </c>
      <c r="N43" s="11">
        <v>8.0</v>
      </c>
      <c r="O43" s="11">
        <v>4.0</v>
      </c>
      <c r="P43" s="13">
        <v>0.0</v>
      </c>
      <c r="Q43" s="11">
        <v>1.0</v>
      </c>
      <c r="R43" s="11">
        <v>6.0</v>
      </c>
      <c r="S43" s="13">
        <v>0.0</v>
      </c>
      <c r="T43" s="10">
        <v>0.22</v>
      </c>
      <c r="U43" s="11">
        <v>0.22</v>
      </c>
      <c r="V43" s="11">
        <v>0.43</v>
      </c>
      <c r="W43" s="11">
        <v>0.22</v>
      </c>
      <c r="X43" s="11">
        <v>0.43</v>
      </c>
      <c r="Y43" s="14" t="s">
        <v>849</v>
      </c>
    </row>
    <row r="44">
      <c r="A44" s="74">
        <v>38.0</v>
      </c>
      <c r="B44" s="7" t="s">
        <v>554</v>
      </c>
      <c r="C44" s="8" t="s">
        <v>25</v>
      </c>
      <c r="D44" s="9" t="s">
        <v>35</v>
      </c>
      <c r="E44" s="7" t="s">
        <v>98</v>
      </c>
      <c r="F44" s="9">
        <v>23.0</v>
      </c>
      <c r="G44" s="9">
        <v>2000.0</v>
      </c>
      <c r="H44" s="10">
        <v>24.0</v>
      </c>
      <c r="I44" s="11">
        <v>17.0</v>
      </c>
      <c r="J44" s="15">
        <v>1597.0</v>
      </c>
      <c r="K44" s="11">
        <v>17.7</v>
      </c>
      <c r="L44" s="12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1">
        <v>7.0</v>
      </c>
      <c r="S44" s="11">
        <v>1.0</v>
      </c>
      <c r="T44" s="12">
        <v>0.0</v>
      </c>
      <c r="U44" s="13">
        <v>0.0</v>
      </c>
      <c r="V44" s="13">
        <v>0.0</v>
      </c>
      <c r="W44" s="13">
        <v>0.0</v>
      </c>
      <c r="X44" s="13">
        <v>0.0</v>
      </c>
      <c r="Y44" s="14" t="s">
        <v>850</v>
      </c>
    </row>
    <row r="45">
      <c r="A45" s="74">
        <v>39.0</v>
      </c>
      <c r="B45" s="7" t="s">
        <v>107</v>
      </c>
      <c r="C45" s="8" t="s">
        <v>97</v>
      </c>
      <c r="D45" s="9" t="s">
        <v>35</v>
      </c>
      <c r="E45" s="7" t="s">
        <v>62</v>
      </c>
      <c r="F45" s="9">
        <v>24.0</v>
      </c>
      <c r="G45" s="9">
        <v>1999.0</v>
      </c>
      <c r="H45" s="10">
        <v>11.0</v>
      </c>
      <c r="I45" s="11">
        <v>4.0</v>
      </c>
      <c r="J45" s="11">
        <v>385.0</v>
      </c>
      <c r="K45" s="11">
        <v>4.3</v>
      </c>
      <c r="L45" s="12">
        <v>0.0</v>
      </c>
      <c r="M45" s="13">
        <v>0.0</v>
      </c>
      <c r="N45" s="13">
        <v>0.0</v>
      </c>
      <c r="O45" s="13">
        <v>0.0</v>
      </c>
      <c r="P45" s="13">
        <v>0.0</v>
      </c>
      <c r="Q45" s="13">
        <v>0.0</v>
      </c>
      <c r="R45" s="11">
        <v>2.0</v>
      </c>
      <c r="S45" s="13">
        <v>0.0</v>
      </c>
      <c r="T45" s="12">
        <v>0.0</v>
      </c>
      <c r="U45" s="13">
        <v>0.0</v>
      </c>
      <c r="V45" s="13">
        <v>0.0</v>
      </c>
      <c r="W45" s="13">
        <v>0.0</v>
      </c>
      <c r="X45" s="13">
        <v>0.0</v>
      </c>
      <c r="Y45" s="14" t="s">
        <v>851</v>
      </c>
    </row>
    <row r="46">
      <c r="A46" s="74">
        <v>40.0</v>
      </c>
      <c r="B46" s="7" t="s">
        <v>197</v>
      </c>
      <c r="C46" s="8" t="s">
        <v>97</v>
      </c>
      <c r="D46" s="9" t="s">
        <v>26</v>
      </c>
      <c r="E46" s="7" t="s">
        <v>31</v>
      </c>
      <c r="F46" s="9">
        <v>21.0</v>
      </c>
      <c r="G46" s="9">
        <v>2002.0</v>
      </c>
      <c r="H46" s="10">
        <v>28.0</v>
      </c>
      <c r="I46" s="11">
        <v>23.0</v>
      </c>
      <c r="J46" s="15">
        <v>2086.0</v>
      </c>
      <c r="K46" s="11">
        <v>23.2</v>
      </c>
      <c r="L46" s="10">
        <v>5.0</v>
      </c>
      <c r="M46" s="11">
        <v>5.0</v>
      </c>
      <c r="N46" s="11">
        <v>10.0</v>
      </c>
      <c r="O46" s="11">
        <v>5.0</v>
      </c>
      <c r="P46" s="13">
        <v>0.0</v>
      </c>
      <c r="Q46" s="13">
        <v>0.0</v>
      </c>
      <c r="R46" s="11">
        <v>4.0</v>
      </c>
      <c r="S46" s="13">
        <v>0.0</v>
      </c>
      <c r="T46" s="10">
        <v>0.22</v>
      </c>
      <c r="U46" s="11">
        <v>0.22</v>
      </c>
      <c r="V46" s="11">
        <v>0.43</v>
      </c>
      <c r="W46" s="11">
        <v>0.22</v>
      </c>
      <c r="X46" s="11">
        <v>0.43</v>
      </c>
      <c r="Y46" s="14" t="s">
        <v>852</v>
      </c>
    </row>
    <row r="47">
      <c r="A47" s="74">
        <v>41.0</v>
      </c>
      <c r="B47" s="7" t="s">
        <v>411</v>
      </c>
      <c r="C47" s="8" t="s">
        <v>70</v>
      </c>
      <c r="D47" s="9" t="s">
        <v>47</v>
      </c>
      <c r="E47" s="7" t="s">
        <v>58</v>
      </c>
      <c r="F47" s="9">
        <v>24.0</v>
      </c>
      <c r="G47" s="9">
        <v>1999.0</v>
      </c>
      <c r="H47" s="10">
        <v>31.0</v>
      </c>
      <c r="I47" s="11">
        <v>22.0</v>
      </c>
      <c r="J47" s="15">
        <v>1982.0</v>
      </c>
      <c r="K47" s="11">
        <v>22.0</v>
      </c>
      <c r="L47" s="10">
        <v>2.0</v>
      </c>
      <c r="M47" s="11">
        <v>1.0</v>
      </c>
      <c r="N47" s="11">
        <v>3.0</v>
      </c>
      <c r="O47" s="11">
        <v>2.0</v>
      </c>
      <c r="P47" s="13">
        <v>0.0</v>
      </c>
      <c r="Q47" s="13">
        <v>0.0</v>
      </c>
      <c r="R47" s="11">
        <v>5.0</v>
      </c>
      <c r="S47" s="13">
        <v>0.0</v>
      </c>
      <c r="T47" s="10">
        <v>0.09</v>
      </c>
      <c r="U47" s="11">
        <v>0.05</v>
      </c>
      <c r="V47" s="11">
        <v>0.14</v>
      </c>
      <c r="W47" s="11">
        <v>0.09</v>
      </c>
      <c r="X47" s="11">
        <v>0.14</v>
      </c>
      <c r="Y47" s="14" t="s">
        <v>853</v>
      </c>
    </row>
    <row r="48">
      <c r="A48" s="74">
        <v>42.0</v>
      </c>
      <c r="B48" s="7" t="s">
        <v>136</v>
      </c>
      <c r="C48" s="8" t="s">
        <v>25</v>
      </c>
      <c r="D48" s="9" t="s">
        <v>35</v>
      </c>
      <c r="E48" s="7" t="s">
        <v>44</v>
      </c>
      <c r="F48" s="9">
        <v>21.0</v>
      </c>
      <c r="G48" s="9">
        <v>2003.0</v>
      </c>
      <c r="H48" s="10">
        <v>26.0</v>
      </c>
      <c r="I48" s="11">
        <v>23.0</v>
      </c>
      <c r="J48" s="15">
        <v>2076.0</v>
      </c>
      <c r="K48" s="11">
        <v>23.1</v>
      </c>
      <c r="L48" s="12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0.0</v>
      </c>
      <c r="R48" s="11">
        <v>7.0</v>
      </c>
      <c r="S48" s="13">
        <v>0.0</v>
      </c>
      <c r="T48" s="12">
        <v>0.0</v>
      </c>
      <c r="U48" s="13">
        <v>0.0</v>
      </c>
      <c r="V48" s="13">
        <v>0.0</v>
      </c>
      <c r="W48" s="13">
        <v>0.0</v>
      </c>
      <c r="X48" s="13">
        <v>0.0</v>
      </c>
      <c r="Y48" s="14" t="s">
        <v>854</v>
      </c>
    </row>
    <row r="49">
      <c r="A49" s="74">
        <v>43.0</v>
      </c>
      <c r="B49" s="7" t="s">
        <v>292</v>
      </c>
      <c r="C49" s="8" t="s">
        <v>25</v>
      </c>
      <c r="D49" s="9" t="s">
        <v>47</v>
      </c>
      <c r="E49" s="7" t="s">
        <v>31</v>
      </c>
      <c r="F49" s="9">
        <v>27.0</v>
      </c>
      <c r="G49" s="9">
        <v>1996.0</v>
      </c>
      <c r="H49" s="10">
        <v>20.0</v>
      </c>
      <c r="I49" s="11">
        <v>14.0</v>
      </c>
      <c r="J49" s="15">
        <v>1231.0</v>
      </c>
      <c r="K49" s="11">
        <v>13.7</v>
      </c>
      <c r="L49" s="10">
        <v>1.0</v>
      </c>
      <c r="M49" s="11">
        <v>4.0</v>
      </c>
      <c r="N49" s="11">
        <v>5.0</v>
      </c>
      <c r="O49" s="11">
        <v>1.0</v>
      </c>
      <c r="P49" s="13">
        <v>0.0</v>
      </c>
      <c r="Q49" s="13">
        <v>0.0</v>
      </c>
      <c r="R49" s="11">
        <v>2.0</v>
      </c>
      <c r="S49" s="13">
        <v>0.0</v>
      </c>
      <c r="T49" s="10">
        <v>0.07</v>
      </c>
      <c r="U49" s="11">
        <v>0.29</v>
      </c>
      <c r="V49" s="11">
        <v>0.37</v>
      </c>
      <c r="W49" s="11">
        <v>0.07</v>
      </c>
      <c r="X49" s="11">
        <v>0.37</v>
      </c>
      <c r="Y49" s="14" t="s">
        <v>855</v>
      </c>
    </row>
    <row r="50">
      <c r="A50" s="74">
        <v>44.0</v>
      </c>
      <c r="B50" s="7" t="s">
        <v>311</v>
      </c>
      <c r="C50" s="8" t="e">
        <v>#VALUE!</v>
      </c>
      <c r="D50" s="9" t="s">
        <v>26</v>
      </c>
      <c r="E50" s="7" t="s">
        <v>36</v>
      </c>
      <c r="F50" s="16"/>
      <c r="G50" s="16"/>
      <c r="H50" s="10">
        <v>1.0</v>
      </c>
      <c r="I50" s="13">
        <v>0.0</v>
      </c>
      <c r="J50" s="11">
        <v>20.0</v>
      </c>
      <c r="K50" s="11">
        <v>0.2</v>
      </c>
      <c r="L50" s="12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2">
        <v>0.0</v>
      </c>
      <c r="U50" s="13">
        <v>0.0</v>
      </c>
      <c r="V50" s="13">
        <v>0.0</v>
      </c>
      <c r="W50" s="13">
        <v>0.0</v>
      </c>
      <c r="X50" s="13">
        <v>0.0</v>
      </c>
      <c r="Y50" s="14" t="s">
        <v>856</v>
      </c>
    </row>
    <row r="51">
      <c r="A51" s="74">
        <v>45.0</v>
      </c>
      <c r="B51" s="7" t="s">
        <v>243</v>
      </c>
      <c r="C51" s="8" t="s">
        <v>25</v>
      </c>
      <c r="D51" s="9" t="s">
        <v>26</v>
      </c>
      <c r="E51" s="7" t="s">
        <v>58</v>
      </c>
      <c r="F51" s="9">
        <v>20.0</v>
      </c>
      <c r="G51" s="9">
        <v>2003.0</v>
      </c>
      <c r="H51" s="10">
        <v>34.0</v>
      </c>
      <c r="I51" s="11">
        <v>17.0</v>
      </c>
      <c r="J51" s="15">
        <v>1822.0</v>
      </c>
      <c r="K51" s="11">
        <v>20.2</v>
      </c>
      <c r="L51" s="10">
        <v>3.0</v>
      </c>
      <c r="M51" s="11">
        <v>2.0</v>
      </c>
      <c r="N51" s="11">
        <v>5.0</v>
      </c>
      <c r="O51" s="11">
        <v>3.0</v>
      </c>
      <c r="P51" s="13">
        <v>0.0</v>
      </c>
      <c r="Q51" s="13">
        <v>0.0</v>
      </c>
      <c r="R51" s="11">
        <v>4.0</v>
      </c>
      <c r="S51" s="13">
        <v>0.0</v>
      </c>
      <c r="T51" s="10">
        <v>0.15</v>
      </c>
      <c r="U51" s="11">
        <v>0.1</v>
      </c>
      <c r="V51" s="11">
        <v>0.25</v>
      </c>
      <c r="W51" s="11">
        <v>0.15</v>
      </c>
      <c r="X51" s="11">
        <v>0.25</v>
      </c>
      <c r="Y51" s="14" t="s">
        <v>857</v>
      </c>
    </row>
    <row r="52">
      <c r="A52" s="74">
        <v>46.0</v>
      </c>
      <c r="B52" s="7" t="s">
        <v>390</v>
      </c>
      <c r="C52" s="8" t="s">
        <v>25</v>
      </c>
      <c r="D52" s="9" t="s">
        <v>55</v>
      </c>
      <c r="E52" s="7" t="s">
        <v>36</v>
      </c>
      <c r="F52" s="9">
        <v>18.0</v>
      </c>
      <c r="G52" s="9">
        <v>2005.0</v>
      </c>
      <c r="H52" s="10">
        <v>15.0</v>
      </c>
      <c r="I52" s="13">
        <v>0.0</v>
      </c>
      <c r="J52" s="11">
        <v>231.0</v>
      </c>
      <c r="K52" s="11">
        <v>2.6</v>
      </c>
      <c r="L52" s="12">
        <v>0.0</v>
      </c>
      <c r="M52" s="13">
        <v>0.0</v>
      </c>
      <c r="N52" s="13">
        <v>0.0</v>
      </c>
      <c r="O52" s="13">
        <v>0.0</v>
      </c>
      <c r="P52" s="13">
        <v>0.0</v>
      </c>
      <c r="Q52" s="13">
        <v>0.0</v>
      </c>
      <c r="R52" s="11">
        <v>1.0</v>
      </c>
      <c r="S52" s="13">
        <v>0.0</v>
      </c>
      <c r="T52" s="12">
        <v>0.0</v>
      </c>
      <c r="U52" s="13">
        <v>0.0</v>
      </c>
      <c r="V52" s="13">
        <v>0.0</v>
      </c>
      <c r="W52" s="13">
        <v>0.0</v>
      </c>
      <c r="X52" s="13">
        <v>0.0</v>
      </c>
      <c r="Y52" s="14" t="s">
        <v>858</v>
      </c>
    </row>
    <row r="53">
      <c r="A53" s="74">
        <v>47.0</v>
      </c>
      <c r="B53" s="7" t="s">
        <v>287</v>
      </c>
      <c r="C53" s="8" t="s">
        <v>34</v>
      </c>
      <c r="D53" s="9" t="s">
        <v>35</v>
      </c>
      <c r="E53" s="7" t="s">
        <v>36</v>
      </c>
      <c r="F53" s="9">
        <v>20.0</v>
      </c>
      <c r="G53" s="9">
        <v>2003.0</v>
      </c>
      <c r="H53" s="10">
        <v>17.0</v>
      </c>
      <c r="I53" s="11">
        <v>17.0</v>
      </c>
      <c r="J53" s="15">
        <v>1530.0</v>
      </c>
      <c r="K53" s="11">
        <v>17.0</v>
      </c>
      <c r="L53" s="10">
        <v>1.0</v>
      </c>
      <c r="M53" s="13">
        <v>0.0</v>
      </c>
      <c r="N53" s="11">
        <v>1.0</v>
      </c>
      <c r="O53" s="11">
        <v>1.0</v>
      </c>
      <c r="P53" s="13">
        <v>0.0</v>
      </c>
      <c r="Q53" s="13">
        <v>0.0</v>
      </c>
      <c r="R53" s="11">
        <v>2.0</v>
      </c>
      <c r="S53" s="13">
        <v>0.0</v>
      </c>
      <c r="T53" s="10">
        <v>0.06</v>
      </c>
      <c r="U53" s="13">
        <v>0.0</v>
      </c>
      <c r="V53" s="11">
        <v>0.06</v>
      </c>
      <c r="W53" s="11">
        <v>0.06</v>
      </c>
      <c r="X53" s="11">
        <v>0.06</v>
      </c>
      <c r="Y53" s="14" t="s">
        <v>859</v>
      </c>
    </row>
    <row r="54">
      <c r="A54" s="74">
        <v>48.0</v>
      </c>
      <c r="B54" s="7" t="s">
        <v>287</v>
      </c>
      <c r="C54" s="8" t="s">
        <v>34</v>
      </c>
      <c r="D54" s="9" t="s">
        <v>35</v>
      </c>
      <c r="E54" s="7" t="s">
        <v>80</v>
      </c>
      <c r="F54" s="9">
        <v>20.0</v>
      </c>
      <c r="G54" s="9">
        <v>2003.0</v>
      </c>
      <c r="H54" s="10">
        <v>9.0</v>
      </c>
      <c r="I54" s="11">
        <v>9.0</v>
      </c>
      <c r="J54" s="11">
        <v>794.0</v>
      </c>
      <c r="K54" s="11">
        <v>8.8</v>
      </c>
      <c r="L54" s="12">
        <v>0.0</v>
      </c>
      <c r="M54" s="11">
        <v>1.0</v>
      </c>
      <c r="N54" s="11">
        <v>1.0</v>
      </c>
      <c r="O54" s="13">
        <v>0.0</v>
      </c>
      <c r="P54" s="13">
        <v>0.0</v>
      </c>
      <c r="Q54" s="13">
        <v>0.0</v>
      </c>
      <c r="R54" s="11">
        <v>1.0</v>
      </c>
      <c r="S54" s="11">
        <v>1.0</v>
      </c>
      <c r="T54" s="12">
        <v>0.0</v>
      </c>
      <c r="U54" s="11">
        <v>0.11</v>
      </c>
      <c r="V54" s="11">
        <v>0.11</v>
      </c>
      <c r="W54" s="13">
        <v>0.0</v>
      </c>
      <c r="X54" s="11">
        <v>0.11</v>
      </c>
      <c r="Y54" s="14" t="s">
        <v>860</v>
      </c>
    </row>
    <row r="55">
      <c r="A55" s="74">
        <v>49.0</v>
      </c>
      <c r="B55" s="7" t="s">
        <v>303</v>
      </c>
      <c r="C55" s="8" t="s">
        <v>25</v>
      </c>
      <c r="D55" s="9" t="s">
        <v>35</v>
      </c>
      <c r="E55" s="7" t="s">
        <v>44</v>
      </c>
      <c r="F55" s="9">
        <v>32.0</v>
      </c>
      <c r="G55" s="9">
        <v>1991.0</v>
      </c>
      <c r="H55" s="10">
        <v>9.0</v>
      </c>
      <c r="I55" s="11">
        <v>7.0</v>
      </c>
      <c r="J55" s="11">
        <v>636.0</v>
      </c>
      <c r="K55" s="11">
        <v>7.1</v>
      </c>
      <c r="L55" s="12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1">
        <v>1.0</v>
      </c>
      <c r="S55" s="13">
        <v>0.0</v>
      </c>
      <c r="T55" s="12">
        <v>0.0</v>
      </c>
      <c r="U55" s="13">
        <v>0.0</v>
      </c>
      <c r="V55" s="13">
        <v>0.0</v>
      </c>
      <c r="W55" s="13">
        <v>0.0</v>
      </c>
      <c r="X55" s="13">
        <v>0.0</v>
      </c>
      <c r="Y55" s="14" t="s">
        <v>861</v>
      </c>
    </row>
    <row r="56">
      <c r="A56" s="74">
        <v>50.0</v>
      </c>
      <c r="B56" s="7" t="s">
        <v>237</v>
      </c>
      <c r="C56" s="8" t="s">
        <v>34</v>
      </c>
      <c r="D56" s="9" t="s">
        <v>26</v>
      </c>
      <c r="E56" s="7" t="s">
        <v>128</v>
      </c>
      <c r="F56" s="9">
        <v>23.0</v>
      </c>
      <c r="G56" s="9">
        <v>2001.0</v>
      </c>
      <c r="H56" s="10">
        <v>34.0</v>
      </c>
      <c r="I56" s="11">
        <v>33.0</v>
      </c>
      <c r="J56" s="15">
        <v>2764.0</v>
      </c>
      <c r="K56" s="11">
        <v>30.7</v>
      </c>
      <c r="L56" s="10">
        <v>9.0</v>
      </c>
      <c r="M56" s="11">
        <v>4.0</v>
      </c>
      <c r="N56" s="11">
        <v>13.0</v>
      </c>
      <c r="O56" s="11">
        <v>7.0</v>
      </c>
      <c r="P56" s="11">
        <v>2.0</v>
      </c>
      <c r="Q56" s="11">
        <v>2.0</v>
      </c>
      <c r="R56" s="11">
        <v>7.0</v>
      </c>
      <c r="S56" s="13">
        <v>0.0</v>
      </c>
      <c r="T56" s="10">
        <v>0.29</v>
      </c>
      <c r="U56" s="11">
        <v>0.13</v>
      </c>
      <c r="V56" s="11">
        <v>0.42</v>
      </c>
      <c r="W56" s="11">
        <v>0.23</v>
      </c>
      <c r="X56" s="11">
        <v>0.36</v>
      </c>
      <c r="Y56" s="14" t="s">
        <v>862</v>
      </c>
    </row>
    <row r="57">
      <c r="A57" s="74">
        <v>51.0</v>
      </c>
      <c r="B57" s="7" t="s">
        <v>370</v>
      </c>
      <c r="C57" s="8" t="s">
        <v>101</v>
      </c>
      <c r="D57" s="9" t="s">
        <v>77</v>
      </c>
      <c r="E57" s="7" t="s">
        <v>44</v>
      </c>
      <c r="F57" s="9">
        <v>24.0</v>
      </c>
      <c r="G57" s="9">
        <v>1999.0</v>
      </c>
      <c r="H57" s="10">
        <v>34.0</v>
      </c>
      <c r="I57" s="11">
        <v>34.0</v>
      </c>
      <c r="J57" s="15">
        <v>3060.0</v>
      </c>
      <c r="K57" s="11">
        <v>34.0</v>
      </c>
      <c r="L57" s="12">
        <v>0.0</v>
      </c>
      <c r="M57" s="13">
        <v>0.0</v>
      </c>
      <c r="N57" s="13">
        <v>0.0</v>
      </c>
      <c r="O57" s="13">
        <v>0.0</v>
      </c>
      <c r="P57" s="13">
        <v>0.0</v>
      </c>
      <c r="Q57" s="13">
        <v>0.0</v>
      </c>
      <c r="R57" s="11">
        <v>1.0</v>
      </c>
      <c r="S57" s="13">
        <v>0.0</v>
      </c>
      <c r="T57" s="12">
        <v>0.0</v>
      </c>
      <c r="U57" s="13">
        <v>0.0</v>
      </c>
      <c r="V57" s="13">
        <v>0.0</v>
      </c>
      <c r="W57" s="13">
        <v>0.0</v>
      </c>
      <c r="X57" s="13">
        <v>0.0</v>
      </c>
      <c r="Y57" s="14" t="s">
        <v>863</v>
      </c>
    </row>
    <row r="58">
      <c r="A58" s="74">
        <v>52.0</v>
      </c>
      <c r="B58" s="7" t="s">
        <v>113</v>
      </c>
      <c r="C58" s="8" t="s">
        <v>25</v>
      </c>
      <c r="D58" s="9" t="s">
        <v>77</v>
      </c>
      <c r="E58" s="7" t="s">
        <v>62</v>
      </c>
      <c r="F58" s="9">
        <v>38.0</v>
      </c>
      <c r="G58" s="9">
        <v>1985.0</v>
      </c>
      <c r="H58" s="10">
        <v>36.0</v>
      </c>
      <c r="I58" s="11">
        <v>36.0</v>
      </c>
      <c r="J58" s="15">
        <v>3240.0</v>
      </c>
      <c r="K58" s="11">
        <v>36.0</v>
      </c>
      <c r="L58" s="12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1">
        <v>2.0</v>
      </c>
      <c r="S58" s="13">
        <v>0.0</v>
      </c>
      <c r="T58" s="12">
        <v>0.0</v>
      </c>
      <c r="U58" s="13">
        <v>0.0</v>
      </c>
      <c r="V58" s="13">
        <v>0.0</v>
      </c>
      <c r="W58" s="13">
        <v>0.0</v>
      </c>
      <c r="X58" s="13">
        <v>0.0</v>
      </c>
      <c r="Y58" s="14" t="s">
        <v>864</v>
      </c>
    </row>
    <row r="59">
      <c r="A59" s="74">
        <v>53.0</v>
      </c>
      <c r="B59" s="7" t="s">
        <v>313</v>
      </c>
      <c r="C59" s="8" t="s">
        <v>25</v>
      </c>
      <c r="D59" s="9" t="s">
        <v>47</v>
      </c>
      <c r="E59" s="7" t="s">
        <v>44</v>
      </c>
      <c r="F59" s="9">
        <v>23.0</v>
      </c>
      <c r="G59" s="9">
        <v>2001.0</v>
      </c>
      <c r="H59" s="10">
        <v>34.0</v>
      </c>
      <c r="I59" s="11">
        <v>26.0</v>
      </c>
      <c r="J59" s="15">
        <v>2295.0</v>
      </c>
      <c r="K59" s="11">
        <v>25.5</v>
      </c>
      <c r="L59" s="10">
        <v>4.0</v>
      </c>
      <c r="M59" s="11">
        <v>1.0</v>
      </c>
      <c r="N59" s="11">
        <v>5.0</v>
      </c>
      <c r="O59" s="11">
        <v>4.0</v>
      </c>
      <c r="P59" s="13">
        <v>0.0</v>
      </c>
      <c r="Q59" s="13">
        <v>0.0</v>
      </c>
      <c r="R59" s="11">
        <v>7.0</v>
      </c>
      <c r="S59" s="13">
        <v>0.0</v>
      </c>
      <c r="T59" s="10">
        <v>0.16</v>
      </c>
      <c r="U59" s="11">
        <v>0.04</v>
      </c>
      <c r="V59" s="11">
        <v>0.2</v>
      </c>
      <c r="W59" s="11">
        <v>0.16</v>
      </c>
      <c r="X59" s="11">
        <v>0.2</v>
      </c>
      <c r="Y59" s="14" t="s">
        <v>865</v>
      </c>
    </row>
    <row r="60">
      <c r="A60" s="74">
        <v>54.0</v>
      </c>
      <c r="B60" s="7" t="s">
        <v>624</v>
      </c>
      <c r="C60" s="8" t="s">
        <v>25</v>
      </c>
      <c r="D60" s="9" t="s">
        <v>26</v>
      </c>
      <c r="E60" s="7" t="s">
        <v>31</v>
      </c>
      <c r="F60" s="9">
        <v>25.0</v>
      </c>
      <c r="G60" s="9">
        <v>1998.0</v>
      </c>
      <c r="H60" s="10">
        <v>21.0</v>
      </c>
      <c r="I60" s="11">
        <v>11.0</v>
      </c>
      <c r="J60" s="11">
        <v>917.0</v>
      </c>
      <c r="K60" s="11">
        <v>10.2</v>
      </c>
      <c r="L60" s="12">
        <v>0.0</v>
      </c>
      <c r="M60" s="11">
        <v>1.0</v>
      </c>
      <c r="N60" s="11">
        <v>1.0</v>
      </c>
      <c r="O60" s="13">
        <v>0.0</v>
      </c>
      <c r="P60" s="13">
        <v>0.0</v>
      </c>
      <c r="Q60" s="13">
        <v>0.0</v>
      </c>
      <c r="R60" s="11">
        <v>5.0</v>
      </c>
      <c r="S60" s="13">
        <v>0.0</v>
      </c>
      <c r="T60" s="12">
        <v>0.0</v>
      </c>
      <c r="U60" s="11">
        <v>0.1</v>
      </c>
      <c r="V60" s="11">
        <v>0.1</v>
      </c>
      <c r="W60" s="13">
        <v>0.0</v>
      </c>
      <c r="X60" s="11">
        <v>0.1</v>
      </c>
      <c r="Y60" s="14" t="s">
        <v>866</v>
      </c>
    </row>
    <row r="61">
      <c r="A61" s="74">
        <v>55.0</v>
      </c>
      <c r="B61" s="7" t="s">
        <v>181</v>
      </c>
      <c r="C61" s="8" t="s">
        <v>25</v>
      </c>
      <c r="D61" s="9" t="s">
        <v>35</v>
      </c>
      <c r="E61" s="7" t="s">
        <v>31</v>
      </c>
      <c r="F61" s="9">
        <v>27.0</v>
      </c>
      <c r="G61" s="9">
        <v>1996.0</v>
      </c>
      <c r="H61" s="10">
        <v>31.0</v>
      </c>
      <c r="I61" s="11">
        <v>29.0</v>
      </c>
      <c r="J61" s="15">
        <v>2514.0</v>
      </c>
      <c r="K61" s="11">
        <v>27.9</v>
      </c>
      <c r="L61" s="10">
        <v>1.0</v>
      </c>
      <c r="M61" s="11">
        <v>1.0</v>
      </c>
      <c r="N61" s="11">
        <v>2.0</v>
      </c>
      <c r="O61" s="11">
        <v>1.0</v>
      </c>
      <c r="P61" s="13">
        <v>0.0</v>
      </c>
      <c r="Q61" s="13">
        <v>0.0</v>
      </c>
      <c r="R61" s="11">
        <v>10.0</v>
      </c>
      <c r="S61" s="13">
        <v>0.0</v>
      </c>
      <c r="T61" s="10">
        <v>0.04</v>
      </c>
      <c r="U61" s="11">
        <v>0.04</v>
      </c>
      <c r="V61" s="11">
        <v>0.07</v>
      </c>
      <c r="W61" s="11">
        <v>0.04</v>
      </c>
      <c r="X61" s="11">
        <v>0.07</v>
      </c>
      <c r="Y61" s="14" t="s">
        <v>867</v>
      </c>
    </row>
    <row r="62">
      <c r="A62" s="74">
        <v>56.0</v>
      </c>
      <c r="B62" s="7" t="s">
        <v>142</v>
      </c>
      <c r="C62" s="8" t="s">
        <v>25</v>
      </c>
      <c r="D62" s="9" t="s">
        <v>35</v>
      </c>
      <c r="E62" s="7" t="s">
        <v>52</v>
      </c>
      <c r="F62" s="9">
        <v>32.0</v>
      </c>
      <c r="G62" s="9">
        <v>1991.0</v>
      </c>
      <c r="H62" s="10">
        <v>24.0</v>
      </c>
      <c r="I62" s="11">
        <v>18.0</v>
      </c>
      <c r="J62" s="15">
        <v>1622.0</v>
      </c>
      <c r="K62" s="11">
        <v>18.0</v>
      </c>
      <c r="L62" s="10">
        <v>1.0</v>
      </c>
      <c r="M62" s="11">
        <v>1.0</v>
      </c>
      <c r="N62" s="11">
        <v>2.0</v>
      </c>
      <c r="O62" s="11">
        <v>1.0</v>
      </c>
      <c r="P62" s="13">
        <v>0.0</v>
      </c>
      <c r="Q62" s="13">
        <v>0.0</v>
      </c>
      <c r="R62" s="11">
        <v>4.0</v>
      </c>
      <c r="S62" s="13">
        <v>0.0</v>
      </c>
      <c r="T62" s="10">
        <v>0.06</v>
      </c>
      <c r="U62" s="11">
        <v>0.06</v>
      </c>
      <c r="V62" s="11">
        <v>0.11</v>
      </c>
      <c r="W62" s="11">
        <v>0.06</v>
      </c>
      <c r="X62" s="11">
        <v>0.11</v>
      </c>
      <c r="Y62" s="14" t="s">
        <v>868</v>
      </c>
    </row>
    <row r="63">
      <c r="A63" s="74">
        <v>57.0</v>
      </c>
      <c r="B63" s="7" t="s">
        <v>227</v>
      </c>
      <c r="C63" s="8" t="s">
        <v>25</v>
      </c>
      <c r="D63" s="9" t="s">
        <v>26</v>
      </c>
      <c r="E63" s="7" t="s">
        <v>44</v>
      </c>
      <c r="F63" s="9">
        <v>28.0</v>
      </c>
      <c r="G63" s="9">
        <v>1995.0</v>
      </c>
      <c r="H63" s="10">
        <v>19.0</v>
      </c>
      <c r="I63" s="11">
        <v>10.0</v>
      </c>
      <c r="J63" s="11">
        <v>967.0</v>
      </c>
      <c r="K63" s="11">
        <v>10.7</v>
      </c>
      <c r="L63" s="12">
        <v>0.0</v>
      </c>
      <c r="M63" s="11">
        <v>2.0</v>
      </c>
      <c r="N63" s="11">
        <v>2.0</v>
      </c>
      <c r="O63" s="13">
        <v>0.0</v>
      </c>
      <c r="P63" s="13">
        <v>0.0</v>
      </c>
      <c r="Q63" s="13">
        <v>0.0</v>
      </c>
      <c r="R63" s="11">
        <v>4.0</v>
      </c>
      <c r="S63" s="13">
        <v>0.0</v>
      </c>
      <c r="T63" s="12">
        <v>0.0</v>
      </c>
      <c r="U63" s="11">
        <v>0.19</v>
      </c>
      <c r="V63" s="11">
        <v>0.19</v>
      </c>
      <c r="W63" s="13">
        <v>0.0</v>
      </c>
      <c r="X63" s="11">
        <v>0.19</v>
      </c>
      <c r="Y63" s="14" t="s">
        <v>869</v>
      </c>
    </row>
    <row r="64">
      <c r="A64" s="74">
        <v>58.0</v>
      </c>
      <c r="B64" s="7" t="s">
        <v>439</v>
      </c>
      <c r="C64" s="8" t="s">
        <v>25</v>
      </c>
      <c r="D64" s="9" t="s">
        <v>35</v>
      </c>
      <c r="E64" s="7" t="s">
        <v>52</v>
      </c>
      <c r="F64" s="9">
        <v>32.0</v>
      </c>
      <c r="G64" s="9">
        <v>1991.0</v>
      </c>
      <c r="H64" s="10">
        <v>32.0</v>
      </c>
      <c r="I64" s="11">
        <v>32.0</v>
      </c>
      <c r="J64" s="15">
        <v>2766.0</v>
      </c>
      <c r="K64" s="11">
        <v>30.7</v>
      </c>
      <c r="L64" s="10">
        <v>1.0</v>
      </c>
      <c r="M64" s="11">
        <v>2.0</v>
      </c>
      <c r="N64" s="11">
        <v>3.0</v>
      </c>
      <c r="O64" s="11">
        <v>1.0</v>
      </c>
      <c r="P64" s="13">
        <v>0.0</v>
      </c>
      <c r="Q64" s="13">
        <v>0.0</v>
      </c>
      <c r="R64" s="11">
        <v>10.0</v>
      </c>
      <c r="S64" s="13">
        <v>0.0</v>
      </c>
      <c r="T64" s="10">
        <v>0.03</v>
      </c>
      <c r="U64" s="11">
        <v>0.07</v>
      </c>
      <c r="V64" s="11">
        <v>0.1</v>
      </c>
      <c r="W64" s="11">
        <v>0.03</v>
      </c>
      <c r="X64" s="11">
        <v>0.1</v>
      </c>
      <c r="Y64" s="14" t="s">
        <v>870</v>
      </c>
    </row>
    <row r="65">
      <c r="A65" s="74">
        <v>59.0</v>
      </c>
      <c r="B65" s="7" t="s">
        <v>69</v>
      </c>
      <c r="C65" s="8" t="s">
        <v>70</v>
      </c>
      <c r="D65" s="9" t="s">
        <v>47</v>
      </c>
      <c r="E65" s="7" t="s">
        <v>58</v>
      </c>
      <c r="F65" s="9">
        <v>25.0</v>
      </c>
      <c r="G65" s="9">
        <v>1998.0</v>
      </c>
      <c r="H65" s="10">
        <v>13.0</v>
      </c>
      <c r="I65" s="11">
        <v>8.0</v>
      </c>
      <c r="J65" s="11">
        <v>669.0</v>
      </c>
      <c r="K65" s="11">
        <v>7.4</v>
      </c>
      <c r="L65" s="10">
        <v>1.0</v>
      </c>
      <c r="M65" s="13">
        <v>0.0</v>
      </c>
      <c r="N65" s="11">
        <v>1.0</v>
      </c>
      <c r="O65" s="11">
        <v>1.0</v>
      </c>
      <c r="P65" s="13">
        <v>0.0</v>
      </c>
      <c r="Q65" s="13">
        <v>0.0</v>
      </c>
      <c r="R65" s="11">
        <v>3.0</v>
      </c>
      <c r="S65" s="13">
        <v>0.0</v>
      </c>
      <c r="T65" s="10">
        <v>0.13</v>
      </c>
      <c r="U65" s="13">
        <v>0.0</v>
      </c>
      <c r="V65" s="11">
        <v>0.13</v>
      </c>
      <c r="W65" s="11">
        <v>0.13</v>
      </c>
      <c r="X65" s="11">
        <v>0.13</v>
      </c>
      <c r="Y65" s="14" t="s">
        <v>871</v>
      </c>
    </row>
    <row r="66">
      <c r="A66" s="74">
        <v>60.0</v>
      </c>
      <c r="B66" s="7" t="s">
        <v>526</v>
      </c>
      <c r="C66" s="8" t="s">
        <v>25</v>
      </c>
      <c r="D66" s="9" t="s">
        <v>35</v>
      </c>
      <c r="E66" s="7" t="s">
        <v>44</v>
      </c>
      <c r="F66" s="9">
        <v>29.0</v>
      </c>
      <c r="G66" s="9">
        <v>1994.0</v>
      </c>
      <c r="H66" s="10">
        <v>1.0</v>
      </c>
      <c r="I66" s="11">
        <v>1.0</v>
      </c>
      <c r="J66" s="11">
        <v>33.0</v>
      </c>
      <c r="K66" s="11">
        <v>0.4</v>
      </c>
      <c r="L66" s="12">
        <v>0.0</v>
      </c>
      <c r="M66" s="13">
        <v>0.0</v>
      </c>
      <c r="N66" s="13">
        <v>0.0</v>
      </c>
      <c r="O66" s="13">
        <v>0.0</v>
      </c>
      <c r="P66" s="13">
        <v>0.0</v>
      </c>
      <c r="Q66" s="13">
        <v>0.0</v>
      </c>
      <c r="R66" s="13">
        <v>0.0</v>
      </c>
      <c r="S66" s="13">
        <v>0.0</v>
      </c>
      <c r="T66" s="12">
        <v>0.0</v>
      </c>
      <c r="U66" s="13">
        <v>0.0</v>
      </c>
      <c r="V66" s="13">
        <v>0.0</v>
      </c>
      <c r="W66" s="13">
        <v>0.0</v>
      </c>
      <c r="X66" s="13">
        <v>0.0</v>
      </c>
      <c r="Y66" s="14" t="s">
        <v>872</v>
      </c>
    </row>
    <row r="67">
      <c r="A67" s="74">
        <v>61.0</v>
      </c>
      <c r="B67" s="7" t="s">
        <v>620</v>
      </c>
      <c r="C67" s="8" t="s">
        <v>34</v>
      </c>
      <c r="D67" s="9" t="s">
        <v>55</v>
      </c>
      <c r="E67" s="7" t="s">
        <v>62</v>
      </c>
      <c r="F67" s="9">
        <v>20.0</v>
      </c>
      <c r="G67" s="9">
        <v>2003.0</v>
      </c>
      <c r="H67" s="10">
        <v>3.0</v>
      </c>
      <c r="I67" s="13">
        <v>0.0</v>
      </c>
      <c r="J67" s="11">
        <v>29.0</v>
      </c>
      <c r="K67" s="11">
        <v>0.3</v>
      </c>
      <c r="L67" s="12">
        <v>0.0</v>
      </c>
      <c r="M67" s="13">
        <v>0.0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13">
        <v>0.0</v>
      </c>
      <c r="T67" s="12">
        <v>0.0</v>
      </c>
      <c r="U67" s="13">
        <v>0.0</v>
      </c>
      <c r="V67" s="13">
        <v>0.0</v>
      </c>
      <c r="W67" s="13">
        <v>0.0</v>
      </c>
      <c r="X67" s="13">
        <v>0.0</v>
      </c>
      <c r="Y67" s="14" t="s">
        <v>873</v>
      </c>
    </row>
    <row r="68">
      <c r="A68" s="74">
        <v>62.0</v>
      </c>
      <c r="B68" s="7" t="s">
        <v>441</v>
      </c>
      <c r="C68" s="8" t="s">
        <v>25</v>
      </c>
      <c r="D68" s="9" t="s">
        <v>26</v>
      </c>
      <c r="E68" s="7" t="s">
        <v>58</v>
      </c>
      <c r="F68" s="9">
        <v>26.0</v>
      </c>
      <c r="G68" s="9">
        <v>1997.0</v>
      </c>
      <c r="H68" s="10">
        <v>31.0</v>
      </c>
      <c r="I68" s="11">
        <v>31.0</v>
      </c>
      <c r="J68" s="15">
        <v>2510.0</v>
      </c>
      <c r="K68" s="11">
        <v>27.9</v>
      </c>
      <c r="L68" s="10">
        <v>2.0</v>
      </c>
      <c r="M68" s="11">
        <v>1.0</v>
      </c>
      <c r="N68" s="11">
        <v>3.0</v>
      </c>
      <c r="O68" s="11">
        <v>2.0</v>
      </c>
      <c r="P68" s="13">
        <v>0.0</v>
      </c>
      <c r="Q68" s="13">
        <v>0.0</v>
      </c>
      <c r="R68" s="11">
        <v>15.0</v>
      </c>
      <c r="S68" s="13">
        <v>0.0</v>
      </c>
      <c r="T68" s="10">
        <v>0.07</v>
      </c>
      <c r="U68" s="11">
        <v>0.04</v>
      </c>
      <c r="V68" s="11">
        <v>0.11</v>
      </c>
      <c r="W68" s="11">
        <v>0.07</v>
      </c>
      <c r="X68" s="11">
        <v>0.11</v>
      </c>
      <c r="Y68" s="14" t="s">
        <v>874</v>
      </c>
    </row>
    <row r="69">
      <c r="A69" s="74">
        <v>63.0</v>
      </c>
      <c r="B69" s="7" t="s">
        <v>96</v>
      </c>
      <c r="C69" s="8" t="s">
        <v>97</v>
      </c>
      <c r="D69" s="9" t="s">
        <v>26</v>
      </c>
      <c r="E69" s="7" t="s">
        <v>98</v>
      </c>
      <c r="F69" s="9">
        <v>22.0</v>
      </c>
      <c r="G69" s="9">
        <v>2002.0</v>
      </c>
      <c r="H69" s="10">
        <v>18.0</v>
      </c>
      <c r="I69" s="11">
        <v>16.0</v>
      </c>
      <c r="J69" s="15">
        <v>1446.0</v>
      </c>
      <c r="K69" s="11">
        <v>16.1</v>
      </c>
      <c r="L69" s="12">
        <v>0.0</v>
      </c>
      <c r="M69" s="11">
        <v>3.0</v>
      </c>
      <c r="N69" s="11">
        <v>3.0</v>
      </c>
      <c r="O69" s="13">
        <v>0.0</v>
      </c>
      <c r="P69" s="13">
        <v>0.0</v>
      </c>
      <c r="Q69" s="13">
        <v>0.0</v>
      </c>
      <c r="R69" s="13">
        <v>0.0</v>
      </c>
      <c r="S69" s="13">
        <v>0.0</v>
      </c>
      <c r="T69" s="12">
        <v>0.0</v>
      </c>
      <c r="U69" s="11">
        <v>0.19</v>
      </c>
      <c r="V69" s="11">
        <v>0.19</v>
      </c>
      <c r="W69" s="13">
        <v>0.0</v>
      </c>
      <c r="X69" s="11">
        <v>0.19</v>
      </c>
      <c r="Y69" s="14" t="s">
        <v>875</v>
      </c>
    </row>
    <row r="70">
      <c r="A70" s="74">
        <v>64.0</v>
      </c>
      <c r="B70" s="7" t="s">
        <v>281</v>
      </c>
      <c r="C70" s="8" t="s">
        <v>25</v>
      </c>
      <c r="D70" s="9" t="s">
        <v>83</v>
      </c>
      <c r="E70" s="7" t="s">
        <v>62</v>
      </c>
      <c r="F70" s="9">
        <v>33.0</v>
      </c>
      <c r="G70" s="9">
        <v>1991.0</v>
      </c>
      <c r="H70" s="10">
        <v>10.0</v>
      </c>
      <c r="I70" s="11">
        <v>8.0</v>
      </c>
      <c r="J70" s="11">
        <v>749.0</v>
      </c>
      <c r="K70" s="11">
        <v>8.3</v>
      </c>
      <c r="L70" s="12">
        <v>0.0</v>
      </c>
      <c r="M70" s="13">
        <v>0.0</v>
      </c>
      <c r="N70" s="13">
        <v>0.0</v>
      </c>
      <c r="O70" s="13">
        <v>0.0</v>
      </c>
      <c r="P70" s="13">
        <v>0.0</v>
      </c>
      <c r="Q70" s="13">
        <v>0.0</v>
      </c>
      <c r="R70" s="11">
        <v>5.0</v>
      </c>
      <c r="S70" s="13">
        <v>0.0</v>
      </c>
      <c r="T70" s="12">
        <v>0.0</v>
      </c>
      <c r="U70" s="13">
        <v>0.0</v>
      </c>
      <c r="V70" s="13">
        <v>0.0</v>
      </c>
      <c r="W70" s="13">
        <v>0.0</v>
      </c>
      <c r="X70" s="13">
        <v>0.0</v>
      </c>
      <c r="Y70" s="14" t="s">
        <v>876</v>
      </c>
    </row>
    <row r="71">
      <c r="A71" s="74">
        <v>65.0</v>
      </c>
      <c r="B71" s="7" t="s">
        <v>298</v>
      </c>
      <c r="C71" s="8" t="s">
        <v>34</v>
      </c>
      <c r="D71" s="9" t="s">
        <v>35</v>
      </c>
      <c r="E71" s="7" t="s">
        <v>52</v>
      </c>
      <c r="F71" s="9">
        <v>25.0</v>
      </c>
      <c r="G71" s="9">
        <v>1998.0</v>
      </c>
      <c r="H71" s="10">
        <v>7.0</v>
      </c>
      <c r="I71" s="11">
        <v>1.0</v>
      </c>
      <c r="J71" s="11">
        <v>197.0</v>
      </c>
      <c r="K71" s="11">
        <v>2.2</v>
      </c>
      <c r="L71" s="12">
        <v>0.0</v>
      </c>
      <c r="M71" s="11">
        <v>1.0</v>
      </c>
      <c r="N71" s="11">
        <v>1.0</v>
      </c>
      <c r="O71" s="13">
        <v>0.0</v>
      </c>
      <c r="P71" s="13">
        <v>0.0</v>
      </c>
      <c r="Q71" s="13">
        <v>0.0</v>
      </c>
      <c r="R71" s="11">
        <v>2.0</v>
      </c>
      <c r="S71" s="13">
        <v>0.0</v>
      </c>
      <c r="T71" s="12">
        <v>0.0</v>
      </c>
      <c r="U71" s="11">
        <v>0.46</v>
      </c>
      <c r="V71" s="11">
        <v>0.46</v>
      </c>
      <c r="W71" s="13">
        <v>0.0</v>
      </c>
      <c r="X71" s="11">
        <v>0.46</v>
      </c>
      <c r="Y71" s="14" t="s">
        <v>877</v>
      </c>
    </row>
    <row r="72">
      <c r="A72" s="74">
        <v>66.0</v>
      </c>
      <c r="B72" s="7" t="s">
        <v>89</v>
      </c>
      <c r="C72" s="8" t="s">
        <v>34</v>
      </c>
      <c r="D72" s="9" t="s">
        <v>35</v>
      </c>
      <c r="E72" s="7" t="s">
        <v>80</v>
      </c>
      <c r="F72" s="9">
        <v>25.0</v>
      </c>
      <c r="G72" s="9">
        <v>1998.0</v>
      </c>
      <c r="H72" s="10">
        <v>22.0</v>
      </c>
      <c r="I72" s="11">
        <v>22.0</v>
      </c>
      <c r="J72" s="15">
        <v>1979.0</v>
      </c>
      <c r="K72" s="11">
        <v>22.0</v>
      </c>
      <c r="L72" s="12">
        <v>0.0</v>
      </c>
      <c r="M72" s="11">
        <v>1.0</v>
      </c>
      <c r="N72" s="11">
        <v>1.0</v>
      </c>
      <c r="O72" s="13">
        <v>0.0</v>
      </c>
      <c r="P72" s="13">
        <v>0.0</v>
      </c>
      <c r="Q72" s="13">
        <v>0.0</v>
      </c>
      <c r="R72" s="11">
        <v>5.0</v>
      </c>
      <c r="S72" s="11">
        <v>1.0</v>
      </c>
      <c r="T72" s="12">
        <v>0.0</v>
      </c>
      <c r="U72" s="11">
        <v>0.05</v>
      </c>
      <c r="V72" s="11">
        <v>0.05</v>
      </c>
      <c r="W72" s="13">
        <v>0.0</v>
      </c>
      <c r="X72" s="11">
        <v>0.05</v>
      </c>
      <c r="Y72" s="14" t="s">
        <v>878</v>
      </c>
    </row>
    <row r="73">
      <c r="A73" s="74">
        <v>67.0</v>
      </c>
      <c r="B73" s="7" t="s">
        <v>632</v>
      </c>
      <c r="C73" s="8" t="s">
        <v>25</v>
      </c>
      <c r="D73" s="9" t="s">
        <v>26</v>
      </c>
      <c r="E73" s="7" t="s">
        <v>36</v>
      </c>
      <c r="F73" s="9">
        <v>18.0</v>
      </c>
      <c r="G73" s="9">
        <v>2005.0</v>
      </c>
      <c r="H73" s="10">
        <v>28.0</v>
      </c>
      <c r="I73" s="11">
        <v>15.0</v>
      </c>
      <c r="J73" s="15">
        <v>1431.0</v>
      </c>
      <c r="K73" s="11">
        <v>15.9</v>
      </c>
      <c r="L73" s="10">
        <v>1.0</v>
      </c>
      <c r="M73" s="13">
        <v>0.0</v>
      </c>
      <c r="N73" s="11">
        <v>1.0</v>
      </c>
      <c r="O73" s="11">
        <v>1.0</v>
      </c>
      <c r="P73" s="13">
        <v>0.0</v>
      </c>
      <c r="Q73" s="13">
        <v>0.0</v>
      </c>
      <c r="R73" s="11">
        <v>2.0</v>
      </c>
      <c r="S73" s="13">
        <v>0.0</v>
      </c>
      <c r="T73" s="10">
        <v>0.06</v>
      </c>
      <c r="U73" s="13">
        <v>0.0</v>
      </c>
      <c r="V73" s="11">
        <v>0.06</v>
      </c>
      <c r="W73" s="11">
        <v>0.06</v>
      </c>
      <c r="X73" s="11">
        <v>0.06</v>
      </c>
      <c r="Y73" s="14" t="s">
        <v>879</v>
      </c>
    </row>
    <row r="74">
      <c r="A74" s="74">
        <v>68.0</v>
      </c>
      <c r="B74" s="7" t="s">
        <v>265</v>
      </c>
      <c r="C74" s="8" t="s">
        <v>25</v>
      </c>
      <c r="D74" s="9" t="s">
        <v>26</v>
      </c>
      <c r="E74" s="7" t="s">
        <v>36</v>
      </c>
      <c r="F74" s="9">
        <v>36.0</v>
      </c>
      <c r="G74" s="9">
        <v>1987.0</v>
      </c>
      <c r="H74" s="10">
        <v>22.0</v>
      </c>
      <c r="I74" s="11">
        <v>18.0</v>
      </c>
      <c r="J74" s="15">
        <v>1669.0</v>
      </c>
      <c r="K74" s="11">
        <v>18.5</v>
      </c>
      <c r="L74" s="12">
        <v>0.0</v>
      </c>
      <c r="M74" s="11">
        <v>1.0</v>
      </c>
      <c r="N74" s="11">
        <v>1.0</v>
      </c>
      <c r="O74" s="13">
        <v>0.0</v>
      </c>
      <c r="P74" s="13">
        <v>0.0</v>
      </c>
      <c r="Q74" s="13">
        <v>0.0</v>
      </c>
      <c r="R74" s="11">
        <v>6.0</v>
      </c>
      <c r="S74" s="13">
        <v>0.0</v>
      </c>
      <c r="T74" s="12">
        <v>0.0</v>
      </c>
      <c r="U74" s="11">
        <v>0.05</v>
      </c>
      <c r="V74" s="11">
        <v>0.05</v>
      </c>
      <c r="W74" s="13">
        <v>0.0</v>
      </c>
      <c r="X74" s="11">
        <v>0.05</v>
      </c>
      <c r="Y74" s="14" t="s">
        <v>880</v>
      </c>
    </row>
    <row r="75">
      <c r="A75" s="74">
        <v>69.0</v>
      </c>
      <c r="B75" s="7" t="s">
        <v>489</v>
      </c>
      <c r="C75" s="8" t="s">
        <v>157</v>
      </c>
      <c r="D75" s="9" t="s">
        <v>35</v>
      </c>
      <c r="E75" s="7" t="s">
        <v>128</v>
      </c>
      <c r="F75" s="9">
        <v>21.0</v>
      </c>
      <c r="G75" s="9">
        <v>2002.0</v>
      </c>
      <c r="H75" s="10">
        <v>35.0</v>
      </c>
      <c r="I75" s="11">
        <v>35.0</v>
      </c>
      <c r="J75" s="15">
        <v>3090.0</v>
      </c>
      <c r="K75" s="11">
        <v>34.3</v>
      </c>
      <c r="L75" s="12">
        <v>0.0</v>
      </c>
      <c r="M75" s="11">
        <v>2.0</v>
      </c>
      <c r="N75" s="11">
        <v>2.0</v>
      </c>
      <c r="O75" s="13">
        <v>0.0</v>
      </c>
      <c r="P75" s="13">
        <v>0.0</v>
      </c>
      <c r="Q75" s="13">
        <v>0.0</v>
      </c>
      <c r="R75" s="11">
        <v>8.0</v>
      </c>
      <c r="S75" s="13">
        <v>0.0</v>
      </c>
      <c r="T75" s="12">
        <v>0.0</v>
      </c>
      <c r="U75" s="11">
        <v>0.06</v>
      </c>
      <c r="V75" s="11">
        <v>0.06</v>
      </c>
      <c r="W75" s="13">
        <v>0.0</v>
      </c>
      <c r="X75" s="11">
        <v>0.06</v>
      </c>
      <c r="Y75" s="14" t="s">
        <v>881</v>
      </c>
    </row>
    <row r="76">
      <c r="A76" s="74">
        <v>70.0</v>
      </c>
      <c r="B76" s="7" t="s">
        <v>420</v>
      </c>
      <c r="C76" s="8" t="s">
        <v>43</v>
      </c>
      <c r="D76" s="9" t="s">
        <v>77</v>
      </c>
      <c r="E76" s="7" t="s">
        <v>36</v>
      </c>
      <c r="F76" s="9">
        <v>27.0</v>
      </c>
      <c r="G76" s="9">
        <v>1996.0</v>
      </c>
      <c r="H76" s="10">
        <v>12.0</v>
      </c>
      <c r="I76" s="11">
        <v>12.0</v>
      </c>
      <c r="J76" s="15">
        <v>1035.0</v>
      </c>
      <c r="K76" s="11">
        <v>11.5</v>
      </c>
      <c r="L76" s="12">
        <v>0.0</v>
      </c>
      <c r="M76" s="13">
        <v>0.0</v>
      </c>
      <c r="N76" s="13">
        <v>0.0</v>
      </c>
      <c r="O76" s="13">
        <v>0.0</v>
      </c>
      <c r="P76" s="13">
        <v>0.0</v>
      </c>
      <c r="Q76" s="13">
        <v>0.0</v>
      </c>
      <c r="R76" s="11">
        <v>3.0</v>
      </c>
      <c r="S76" s="13">
        <v>0.0</v>
      </c>
      <c r="T76" s="12">
        <v>0.0</v>
      </c>
      <c r="U76" s="13">
        <v>0.0</v>
      </c>
      <c r="V76" s="13">
        <v>0.0</v>
      </c>
      <c r="W76" s="13">
        <v>0.0</v>
      </c>
      <c r="X76" s="13">
        <v>0.0</v>
      </c>
      <c r="Y76" s="14" t="s">
        <v>882</v>
      </c>
    </row>
    <row r="77">
      <c r="A77" s="74">
        <v>71.0</v>
      </c>
      <c r="B77" s="7" t="s">
        <v>85</v>
      </c>
      <c r="C77" s="8" t="s">
        <v>25</v>
      </c>
      <c r="D77" s="9" t="s">
        <v>26</v>
      </c>
      <c r="E77" s="7" t="s">
        <v>62</v>
      </c>
      <c r="F77" s="9">
        <v>24.0</v>
      </c>
      <c r="G77" s="9">
        <v>1999.0</v>
      </c>
      <c r="H77" s="10">
        <v>16.0</v>
      </c>
      <c r="I77" s="11">
        <v>10.0</v>
      </c>
      <c r="J77" s="11">
        <v>796.0</v>
      </c>
      <c r="K77" s="11">
        <v>8.8</v>
      </c>
      <c r="L77" s="10">
        <v>1.0</v>
      </c>
      <c r="M77" s="11">
        <v>2.0</v>
      </c>
      <c r="N77" s="11">
        <v>3.0</v>
      </c>
      <c r="O77" s="11">
        <v>1.0</v>
      </c>
      <c r="P77" s="13">
        <v>0.0</v>
      </c>
      <c r="Q77" s="13">
        <v>0.0</v>
      </c>
      <c r="R77" s="11">
        <v>4.0</v>
      </c>
      <c r="S77" s="11">
        <v>1.0</v>
      </c>
      <c r="T77" s="10">
        <v>0.11</v>
      </c>
      <c r="U77" s="11">
        <v>0.23</v>
      </c>
      <c r="V77" s="11">
        <v>0.34</v>
      </c>
      <c r="W77" s="11">
        <v>0.11</v>
      </c>
      <c r="X77" s="11">
        <v>0.34</v>
      </c>
      <c r="Y77" s="14" t="s">
        <v>883</v>
      </c>
    </row>
    <row r="78">
      <c r="A78" s="74">
        <v>72.0</v>
      </c>
      <c r="B78" s="7" t="s">
        <v>85</v>
      </c>
      <c r="C78" s="8" t="s">
        <v>25</v>
      </c>
      <c r="D78" s="9" t="s">
        <v>87</v>
      </c>
      <c r="E78" s="7" t="s">
        <v>80</v>
      </c>
      <c r="F78" s="9">
        <v>24.0</v>
      </c>
      <c r="G78" s="9">
        <v>1999.0</v>
      </c>
      <c r="H78" s="10">
        <v>12.0</v>
      </c>
      <c r="I78" s="11">
        <v>12.0</v>
      </c>
      <c r="J78" s="15">
        <v>1025.0</v>
      </c>
      <c r="K78" s="11">
        <v>11.4</v>
      </c>
      <c r="L78" s="12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1">
        <v>5.0</v>
      </c>
      <c r="S78" s="13">
        <v>0.0</v>
      </c>
      <c r="T78" s="12">
        <v>0.0</v>
      </c>
      <c r="U78" s="13">
        <v>0.0</v>
      </c>
      <c r="V78" s="13">
        <v>0.0</v>
      </c>
      <c r="W78" s="13">
        <v>0.0</v>
      </c>
      <c r="X78" s="13">
        <v>0.0</v>
      </c>
      <c r="Y78" s="14" t="s">
        <v>884</v>
      </c>
    </row>
    <row r="79">
      <c r="A79" s="74">
        <v>73.0</v>
      </c>
      <c r="B79" s="7" t="s">
        <v>213</v>
      </c>
      <c r="C79" s="8" t="s">
        <v>25</v>
      </c>
      <c r="D79" s="9" t="s">
        <v>26</v>
      </c>
      <c r="E79" s="7" t="s">
        <v>44</v>
      </c>
      <c r="F79" s="9">
        <v>22.0</v>
      </c>
      <c r="G79" s="9">
        <v>2001.0</v>
      </c>
      <c r="H79" s="10">
        <v>13.0</v>
      </c>
      <c r="I79" s="11">
        <v>13.0</v>
      </c>
      <c r="J79" s="15">
        <v>1166.0</v>
      </c>
      <c r="K79" s="11">
        <v>13.0</v>
      </c>
      <c r="L79" s="10">
        <v>4.0</v>
      </c>
      <c r="M79" s="11">
        <v>3.0</v>
      </c>
      <c r="N79" s="11">
        <v>7.0</v>
      </c>
      <c r="O79" s="11">
        <v>4.0</v>
      </c>
      <c r="P79" s="13">
        <v>0.0</v>
      </c>
      <c r="Q79" s="11">
        <v>1.0</v>
      </c>
      <c r="R79" s="11">
        <v>6.0</v>
      </c>
      <c r="S79" s="13">
        <v>0.0</v>
      </c>
      <c r="T79" s="10">
        <v>0.31</v>
      </c>
      <c r="U79" s="11">
        <v>0.23</v>
      </c>
      <c r="V79" s="11">
        <v>0.54</v>
      </c>
      <c r="W79" s="11">
        <v>0.31</v>
      </c>
      <c r="X79" s="11">
        <v>0.54</v>
      </c>
      <c r="Y79" s="14" t="s">
        <v>885</v>
      </c>
    </row>
    <row r="80">
      <c r="A80" s="74">
        <v>74.0</v>
      </c>
      <c r="B80" s="7" t="s">
        <v>560</v>
      </c>
      <c r="C80" s="8" t="s">
        <v>34</v>
      </c>
      <c r="D80" s="9" t="s">
        <v>26</v>
      </c>
      <c r="E80" s="7" t="s">
        <v>52</v>
      </c>
      <c r="F80" s="9">
        <v>24.0</v>
      </c>
      <c r="G80" s="9">
        <v>1999.0</v>
      </c>
      <c r="H80" s="10">
        <v>21.0</v>
      </c>
      <c r="I80" s="11">
        <v>15.0</v>
      </c>
      <c r="J80" s="15">
        <v>1192.0</v>
      </c>
      <c r="K80" s="11">
        <v>13.2</v>
      </c>
      <c r="L80" s="10">
        <v>1.0</v>
      </c>
      <c r="M80" s="13">
        <v>0.0</v>
      </c>
      <c r="N80" s="11">
        <v>1.0</v>
      </c>
      <c r="O80" s="11">
        <v>1.0</v>
      </c>
      <c r="P80" s="13">
        <v>0.0</v>
      </c>
      <c r="Q80" s="13">
        <v>0.0</v>
      </c>
      <c r="R80" s="11">
        <v>4.0</v>
      </c>
      <c r="S80" s="13">
        <v>0.0</v>
      </c>
      <c r="T80" s="10">
        <v>0.08</v>
      </c>
      <c r="U80" s="13">
        <v>0.0</v>
      </c>
      <c r="V80" s="11">
        <v>0.08</v>
      </c>
      <c r="W80" s="11">
        <v>0.08</v>
      </c>
      <c r="X80" s="11">
        <v>0.08</v>
      </c>
      <c r="Y80" s="14" t="s">
        <v>886</v>
      </c>
    </row>
    <row r="81">
      <c r="A81" s="74">
        <v>75.0</v>
      </c>
      <c r="B81" s="7" t="s">
        <v>138</v>
      </c>
      <c r="C81" s="8" t="s">
        <v>25</v>
      </c>
      <c r="D81" s="9" t="s">
        <v>55</v>
      </c>
      <c r="E81" s="7" t="s">
        <v>31</v>
      </c>
      <c r="F81" s="9">
        <v>17.0</v>
      </c>
      <c r="G81" s="9">
        <v>2006.0</v>
      </c>
      <c r="H81" s="10">
        <v>2.0</v>
      </c>
      <c r="I81" s="13">
        <v>0.0</v>
      </c>
      <c r="J81" s="11">
        <v>19.0</v>
      </c>
      <c r="K81" s="11">
        <v>0.2</v>
      </c>
      <c r="L81" s="12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12">
        <v>0.0</v>
      </c>
      <c r="U81" s="13">
        <v>0.0</v>
      </c>
      <c r="V81" s="13">
        <v>0.0</v>
      </c>
      <c r="W81" s="13">
        <v>0.0</v>
      </c>
      <c r="X81" s="13">
        <v>0.0</v>
      </c>
      <c r="Y81" s="14" t="s">
        <v>887</v>
      </c>
    </row>
    <row r="82">
      <c r="A82" s="74">
        <v>76.0</v>
      </c>
      <c r="B82" s="7" t="s">
        <v>103</v>
      </c>
      <c r="C82" s="8" t="s">
        <v>97</v>
      </c>
      <c r="D82" s="9" t="s">
        <v>83</v>
      </c>
      <c r="E82" s="7" t="s">
        <v>52</v>
      </c>
      <c r="F82" s="9">
        <v>26.0</v>
      </c>
      <c r="G82" s="9">
        <v>1997.0</v>
      </c>
      <c r="H82" s="10">
        <v>26.0</v>
      </c>
      <c r="I82" s="11">
        <v>20.0</v>
      </c>
      <c r="J82" s="15">
        <v>1662.0</v>
      </c>
      <c r="K82" s="11">
        <v>18.5</v>
      </c>
      <c r="L82" s="10">
        <v>1.0</v>
      </c>
      <c r="M82" s="11">
        <v>2.0</v>
      </c>
      <c r="N82" s="11">
        <v>3.0</v>
      </c>
      <c r="O82" s="11">
        <v>1.0</v>
      </c>
      <c r="P82" s="13">
        <v>0.0</v>
      </c>
      <c r="Q82" s="13">
        <v>0.0</v>
      </c>
      <c r="R82" s="11">
        <v>2.0</v>
      </c>
      <c r="S82" s="13">
        <v>0.0</v>
      </c>
      <c r="T82" s="10">
        <v>0.05</v>
      </c>
      <c r="U82" s="11">
        <v>0.11</v>
      </c>
      <c r="V82" s="11">
        <v>0.16</v>
      </c>
      <c r="W82" s="11">
        <v>0.05</v>
      </c>
      <c r="X82" s="11">
        <v>0.16</v>
      </c>
      <c r="Y82" s="14" t="s">
        <v>888</v>
      </c>
    </row>
    <row r="83">
      <c r="A83" s="74">
        <v>77.0</v>
      </c>
      <c r="B83" s="7" t="s">
        <v>516</v>
      </c>
      <c r="C83" s="8" t="s">
        <v>25</v>
      </c>
      <c r="D83" s="9" t="s">
        <v>83</v>
      </c>
      <c r="E83" s="7" t="s">
        <v>62</v>
      </c>
      <c r="F83" s="9">
        <v>27.0</v>
      </c>
      <c r="G83" s="9">
        <v>1996.0</v>
      </c>
      <c r="H83" s="10">
        <v>13.0</v>
      </c>
      <c r="I83" s="11">
        <v>8.0</v>
      </c>
      <c r="J83" s="11">
        <v>660.0</v>
      </c>
      <c r="K83" s="11">
        <v>7.3</v>
      </c>
      <c r="L83" s="12">
        <v>0.0</v>
      </c>
      <c r="M83" s="11">
        <v>1.0</v>
      </c>
      <c r="N83" s="11">
        <v>1.0</v>
      </c>
      <c r="O83" s="13">
        <v>0.0</v>
      </c>
      <c r="P83" s="13">
        <v>0.0</v>
      </c>
      <c r="Q83" s="13">
        <v>0.0</v>
      </c>
      <c r="R83" s="13">
        <v>0.0</v>
      </c>
      <c r="S83" s="13">
        <v>0.0</v>
      </c>
      <c r="T83" s="12">
        <v>0.0</v>
      </c>
      <c r="U83" s="11">
        <v>0.14</v>
      </c>
      <c r="V83" s="11">
        <v>0.14</v>
      </c>
      <c r="W83" s="13">
        <v>0.0</v>
      </c>
      <c r="X83" s="11">
        <v>0.14</v>
      </c>
      <c r="Y83" s="14" t="s">
        <v>889</v>
      </c>
    </row>
    <row r="84">
      <c r="A84" s="74">
        <v>78.0</v>
      </c>
      <c r="B84" s="7" t="s">
        <v>505</v>
      </c>
      <c r="C84" s="8" t="s">
        <v>25</v>
      </c>
      <c r="D84" s="9" t="s">
        <v>26</v>
      </c>
      <c r="E84" s="7" t="s">
        <v>80</v>
      </c>
      <c r="F84" s="9">
        <v>25.0</v>
      </c>
      <c r="G84" s="9">
        <v>1998.0</v>
      </c>
      <c r="H84" s="10">
        <v>19.0</v>
      </c>
      <c r="I84" s="11">
        <v>15.0</v>
      </c>
      <c r="J84" s="15">
        <v>1137.0</v>
      </c>
      <c r="K84" s="11">
        <v>12.6</v>
      </c>
      <c r="L84" s="12">
        <v>0.0</v>
      </c>
      <c r="M84" s="11">
        <v>1.0</v>
      </c>
      <c r="N84" s="11">
        <v>1.0</v>
      </c>
      <c r="O84" s="13">
        <v>0.0</v>
      </c>
      <c r="P84" s="13">
        <v>0.0</v>
      </c>
      <c r="Q84" s="13">
        <v>0.0</v>
      </c>
      <c r="R84" s="11">
        <v>6.0</v>
      </c>
      <c r="S84" s="13">
        <v>0.0</v>
      </c>
      <c r="T84" s="12">
        <v>0.0</v>
      </c>
      <c r="U84" s="11">
        <v>0.08</v>
      </c>
      <c r="V84" s="11">
        <v>0.08</v>
      </c>
      <c r="W84" s="13">
        <v>0.0</v>
      </c>
      <c r="X84" s="11">
        <v>0.08</v>
      </c>
      <c r="Y84" s="14" t="s">
        <v>890</v>
      </c>
    </row>
    <row r="85">
      <c r="A85" s="74">
        <v>79.0</v>
      </c>
      <c r="B85" s="7" t="s">
        <v>469</v>
      </c>
      <c r="C85" s="8" t="s">
        <v>97</v>
      </c>
      <c r="D85" s="9" t="s">
        <v>47</v>
      </c>
      <c r="E85" s="7" t="s">
        <v>52</v>
      </c>
      <c r="F85" s="9">
        <v>29.0</v>
      </c>
      <c r="G85" s="9">
        <v>1994.0</v>
      </c>
      <c r="H85" s="10">
        <v>31.0</v>
      </c>
      <c r="I85" s="11">
        <v>27.0</v>
      </c>
      <c r="J85" s="15">
        <v>2404.0</v>
      </c>
      <c r="K85" s="11">
        <v>26.7</v>
      </c>
      <c r="L85" s="10">
        <v>5.0</v>
      </c>
      <c r="M85" s="11">
        <v>5.0</v>
      </c>
      <c r="N85" s="11">
        <v>10.0</v>
      </c>
      <c r="O85" s="11">
        <v>5.0</v>
      </c>
      <c r="P85" s="13">
        <v>0.0</v>
      </c>
      <c r="Q85" s="13">
        <v>0.0</v>
      </c>
      <c r="R85" s="11">
        <v>4.0</v>
      </c>
      <c r="S85" s="13">
        <v>0.0</v>
      </c>
      <c r="T85" s="10">
        <v>0.19</v>
      </c>
      <c r="U85" s="11">
        <v>0.19</v>
      </c>
      <c r="V85" s="11">
        <v>0.37</v>
      </c>
      <c r="W85" s="11">
        <v>0.19</v>
      </c>
      <c r="X85" s="11">
        <v>0.37</v>
      </c>
      <c r="Y85" s="14" t="s">
        <v>891</v>
      </c>
    </row>
    <row r="86">
      <c r="A86" s="74">
        <v>80.0</v>
      </c>
      <c r="B86" s="7" t="s">
        <v>121</v>
      </c>
      <c r="C86" s="8" t="s">
        <v>97</v>
      </c>
      <c r="D86" s="9" t="s">
        <v>83</v>
      </c>
      <c r="E86" s="7" t="s">
        <v>52</v>
      </c>
      <c r="F86" s="9">
        <v>27.0</v>
      </c>
      <c r="G86" s="9">
        <v>1996.0</v>
      </c>
      <c r="H86" s="10">
        <v>15.0</v>
      </c>
      <c r="I86" s="11">
        <v>12.0</v>
      </c>
      <c r="J86" s="15">
        <v>1039.0</v>
      </c>
      <c r="K86" s="11">
        <v>11.5</v>
      </c>
      <c r="L86" s="10">
        <v>1.0</v>
      </c>
      <c r="M86" s="13">
        <v>0.0</v>
      </c>
      <c r="N86" s="11">
        <v>1.0</v>
      </c>
      <c r="O86" s="11">
        <v>1.0</v>
      </c>
      <c r="P86" s="13">
        <v>0.0</v>
      </c>
      <c r="Q86" s="13">
        <v>0.0</v>
      </c>
      <c r="R86" s="13">
        <v>0.0</v>
      </c>
      <c r="S86" s="13">
        <v>0.0</v>
      </c>
      <c r="T86" s="10">
        <v>0.09</v>
      </c>
      <c r="U86" s="13">
        <v>0.0</v>
      </c>
      <c r="V86" s="11">
        <v>0.09</v>
      </c>
      <c r="W86" s="11">
        <v>0.09</v>
      </c>
      <c r="X86" s="11">
        <v>0.09</v>
      </c>
      <c r="Y86" s="14" t="s">
        <v>892</v>
      </c>
    </row>
    <row r="87">
      <c r="A87" s="74">
        <v>81.0</v>
      </c>
      <c r="B87" s="7" t="s">
        <v>566</v>
      </c>
      <c r="C87" s="8" t="s">
        <v>567</v>
      </c>
      <c r="D87" s="9" t="s">
        <v>47</v>
      </c>
      <c r="E87" s="7" t="s">
        <v>80</v>
      </c>
      <c r="F87" s="9">
        <v>21.0</v>
      </c>
      <c r="G87" s="9">
        <v>2002.0</v>
      </c>
      <c r="H87" s="10">
        <v>18.0</v>
      </c>
      <c r="I87" s="11">
        <v>6.0</v>
      </c>
      <c r="J87" s="11">
        <v>678.0</v>
      </c>
      <c r="K87" s="11">
        <v>7.5</v>
      </c>
      <c r="L87" s="12">
        <v>0.0</v>
      </c>
      <c r="M87" s="11">
        <v>1.0</v>
      </c>
      <c r="N87" s="11">
        <v>1.0</v>
      </c>
      <c r="O87" s="13">
        <v>0.0</v>
      </c>
      <c r="P87" s="13">
        <v>0.0</v>
      </c>
      <c r="Q87" s="13">
        <v>0.0</v>
      </c>
      <c r="R87" s="11">
        <v>4.0</v>
      </c>
      <c r="S87" s="13">
        <v>0.0</v>
      </c>
      <c r="T87" s="12">
        <v>0.0</v>
      </c>
      <c r="U87" s="11">
        <v>0.13</v>
      </c>
      <c r="V87" s="11">
        <v>0.13</v>
      </c>
      <c r="W87" s="13">
        <v>0.0</v>
      </c>
      <c r="X87" s="11">
        <v>0.13</v>
      </c>
      <c r="Y87" s="14" t="s">
        <v>893</v>
      </c>
    </row>
    <row r="88">
      <c r="A88" s="74">
        <v>82.0</v>
      </c>
      <c r="B88" s="7" t="s">
        <v>647</v>
      </c>
      <c r="C88" s="8" t="s">
        <v>25</v>
      </c>
      <c r="D88" s="9" t="s">
        <v>55</v>
      </c>
      <c r="E88" s="7" t="s">
        <v>27</v>
      </c>
      <c r="F88" s="9">
        <v>25.0</v>
      </c>
      <c r="G88" s="9">
        <v>1998.0</v>
      </c>
      <c r="H88" s="10">
        <v>11.0</v>
      </c>
      <c r="I88" s="11">
        <v>8.0</v>
      </c>
      <c r="J88" s="11">
        <v>659.0</v>
      </c>
      <c r="K88" s="11">
        <v>7.3</v>
      </c>
      <c r="L88" s="10">
        <v>1.0</v>
      </c>
      <c r="M88" s="11">
        <v>5.0</v>
      </c>
      <c r="N88" s="11">
        <v>6.0</v>
      </c>
      <c r="O88" s="11">
        <v>1.0</v>
      </c>
      <c r="P88" s="13">
        <v>0.0</v>
      </c>
      <c r="Q88" s="13">
        <v>0.0</v>
      </c>
      <c r="R88" s="13">
        <v>0.0</v>
      </c>
      <c r="S88" s="13">
        <v>0.0</v>
      </c>
      <c r="T88" s="10">
        <v>0.14</v>
      </c>
      <c r="U88" s="11">
        <v>0.68</v>
      </c>
      <c r="V88" s="11">
        <v>0.82</v>
      </c>
      <c r="W88" s="11">
        <v>0.14</v>
      </c>
      <c r="X88" s="11">
        <v>0.82</v>
      </c>
      <c r="Y88" s="14" t="s">
        <v>894</v>
      </c>
    </row>
    <row r="89">
      <c r="A89" s="74">
        <v>83.0</v>
      </c>
      <c r="B89" s="7" t="s">
        <v>491</v>
      </c>
      <c r="C89" s="8" t="s">
        <v>25</v>
      </c>
      <c r="D89" s="9" t="s">
        <v>26</v>
      </c>
      <c r="E89" s="7" t="s">
        <v>128</v>
      </c>
      <c r="F89" s="9">
        <v>17.0</v>
      </c>
      <c r="G89" s="9">
        <v>2006.0</v>
      </c>
      <c r="H89" s="10">
        <v>22.0</v>
      </c>
      <c r="I89" s="11">
        <v>2.0</v>
      </c>
      <c r="J89" s="11">
        <v>593.0</v>
      </c>
      <c r="K89" s="11">
        <v>6.6</v>
      </c>
      <c r="L89" s="12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1">
        <v>2.0</v>
      </c>
      <c r="S89" s="13">
        <v>0.0</v>
      </c>
      <c r="T89" s="12">
        <v>0.0</v>
      </c>
      <c r="U89" s="13">
        <v>0.0</v>
      </c>
      <c r="V89" s="13">
        <v>0.0</v>
      </c>
      <c r="W89" s="13">
        <v>0.0</v>
      </c>
      <c r="X89" s="13">
        <v>0.0</v>
      </c>
      <c r="Y89" s="14" t="s">
        <v>895</v>
      </c>
    </row>
    <row r="90">
      <c r="A90" s="74">
        <v>84.0</v>
      </c>
      <c r="B90" s="7" t="s">
        <v>123</v>
      </c>
      <c r="C90" s="8" t="s">
        <v>70</v>
      </c>
      <c r="D90" s="9" t="s">
        <v>30</v>
      </c>
      <c r="E90" s="7" t="s">
        <v>80</v>
      </c>
      <c r="F90" s="9">
        <v>24.0</v>
      </c>
      <c r="G90" s="9">
        <v>1999.0</v>
      </c>
      <c r="H90" s="10">
        <v>17.0</v>
      </c>
      <c r="I90" s="11">
        <v>7.0</v>
      </c>
      <c r="J90" s="11">
        <v>801.0</v>
      </c>
      <c r="K90" s="11">
        <v>8.9</v>
      </c>
      <c r="L90" s="12">
        <v>0.0</v>
      </c>
      <c r="M90" s="13">
        <v>0.0</v>
      </c>
      <c r="N90" s="13">
        <v>0.0</v>
      </c>
      <c r="O90" s="13">
        <v>0.0</v>
      </c>
      <c r="P90" s="13">
        <v>0.0</v>
      </c>
      <c r="Q90" s="13">
        <v>0.0</v>
      </c>
      <c r="R90" s="11">
        <v>5.0</v>
      </c>
      <c r="S90" s="13">
        <v>0.0</v>
      </c>
      <c r="T90" s="12">
        <v>0.0</v>
      </c>
      <c r="U90" s="13">
        <v>0.0</v>
      </c>
      <c r="V90" s="13">
        <v>0.0</v>
      </c>
      <c r="W90" s="13">
        <v>0.0</v>
      </c>
      <c r="X90" s="13">
        <v>0.0</v>
      </c>
      <c r="Y90" s="14" t="s">
        <v>896</v>
      </c>
    </row>
    <row r="91">
      <c r="A91" s="74">
        <v>85.0</v>
      </c>
      <c r="B91" s="7" t="s">
        <v>327</v>
      </c>
      <c r="C91" s="8" t="s">
        <v>328</v>
      </c>
      <c r="D91" s="9" t="s">
        <v>35</v>
      </c>
      <c r="E91" s="7" t="s">
        <v>62</v>
      </c>
      <c r="F91" s="9">
        <v>27.0</v>
      </c>
      <c r="G91" s="9">
        <v>1996.0</v>
      </c>
      <c r="H91" s="10">
        <v>27.0</v>
      </c>
      <c r="I91" s="11">
        <v>23.0</v>
      </c>
      <c r="J91" s="15">
        <v>2093.0</v>
      </c>
      <c r="K91" s="11">
        <v>23.3</v>
      </c>
      <c r="L91" s="12">
        <v>0.0</v>
      </c>
      <c r="M91" s="13">
        <v>0.0</v>
      </c>
      <c r="N91" s="13">
        <v>0.0</v>
      </c>
      <c r="O91" s="13">
        <v>0.0</v>
      </c>
      <c r="P91" s="13">
        <v>0.0</v>
      </c>
      <c r="Q91" s="13">
        <v>0.0</v>
      </c>
      <c r="R91" s="11">
        <v>2.0</v>
      </c>
      <c r="S91" s="13">
        <v>0.0</v>
      </c>
      <c r="T91" s="12">
        <v>0.0</v>
      </c>
      <c r="U91" s="13">
        <v>0.0</v>
      </c>
      <c r="V91" s="13">
        <v>0.0</v>
      </c>
      <c r="W91" s="13">
        <v>0.0</v>
      </c>
      <c r="X91" s="13">
        <v>0.0</v>
      </c>
      <c r="Y91" s="14" t="s">
        <v>897</v>
      </c>
    </row>
    <row r="92">
      <c r="A92" s="74">
        <v>86.0</v>
      </c>
      <c r="B92" s="7" t="s">
        <v>156</v>
      </c>
      <c r="C92" s="8" t="s">
        <v>157</v>
      </c>
      <c r="D92" s="9" t="s">
        <v>47</v>
      </c>
      <c r="E92" s="7" t="s">
        <v>98</v>
      </c>
      <c r="F92" s="9">
        <v>20.0</v>
      </c>
      <c r="G92" s="9">
        <v>2003.0</v>
      </c>
      <c r="H92" s="10">
        <v>13.0</v>
      </c>
      <c r="I92" s="11">
        <v>2.0</v>
      </c>
      <c r="J92" s="11">
        <v>219.0</v>
      </c>
      <c r="K92" s="11">
        <v>2.4</v>
      </c>
      <c r="L92" s="12">
        <v>0.0</v>
      </c>
      <c r="M92" s="13">
        <v>0.0</v>
      </c>
      <c r="N92" s="13">
        <v>0.0</v>
      </c>
      <c r="O92" s="13">
        <v>0.0</v>
      </c>
      <c r="P92" s="13">
        <v>0.0</v>
      </c>
      <c r="Q92" s="13">
        <v>0.0</v>
      </c>
      <c r="R92" s="11">
        <v>1.0</v>
      </c>
      <c r="S92" s="13">
        <v>0.0</v>
      </c>
      <c r="T92" s="12">
        <v>0.0</v>
      </c>
      <c r="U92" s="13">
        <v>0.0</v>
      </c>
      <c r="V92" s="13">
        <v>0.0</v>
      </c>
      <c r="W92" s="13">
        <v>0.0</v>
      </c>
      <c r="X92" s="13">
        <v>0.0</v>
      </c>
      <c r="Y92" s="14" t="s">
        <v>898</v>
      </c>
    </row>
    <row r="93">
      <c r="A93" s="74">
        <v>87.0</v>
      </c>
      <c r="B93" s="7" t="s">
        <v>600</v>
      </c>
      <c r="C93" s="8" t="s">
        <v>25</v>
      </c>
      <c r="D93" s="9" t="s">
        <v>26</v>
      </c>
      <c r="E93" s="7" t="s">
        <v>36</v>
      </c>
      <c r="F93" s="9">
        <v>23.0</v>
      </c>
      <c r="G93" s="9">
        <v>2000.0</v>
      </c>
      <c r="H93" s="10">
        <v>11.0</v>
      </c>
      <c r="I93" s="11">
        <v>10.0</v>
      </c>
      <c r="J93" s="11">
        <v>871.0</v>
      </c>
      <c r="K93" s="11">
        <v>9.7</v>
      </c>
      <c r="L93" s="10">
        <v>1.0</v>
      </c>
      <c r="M93" s="11">
        <v>1.0</v>
      </c>
      <c r="N93" s="11">
        <v>2.0</v>
      </c>
      <c r="O93" s="11">
        <v>1.0</v>
      </c>
      <c r="P93" s="13">
        <v>0.0</v>
      </c>
      <c r="Q93" s="13">
        <v>0.0</v>
      </c>
      <c r="R93" s="11">
        <v>5.0</v>
      </c>
      <c r="S93" s="13">
        <v>0.0</v>
      </c>
      <c r="T93" s="10">
        <v>0.1</v>
      </c>
      <c r="U93" s="11">
        <v>0.1</v>
      </c>
      <c r="V93" s="11">
        <v>0.21</v>
      </c>
      <c r="W93" s="11">
        <v>0.1</v>
      </c>
      <c r="X93" s="11">
        <v>0.21</v>
      </c>
      <c r="Y93" s="14" t="s">
        <v>899</v>
      </c>
    </row>
    <row r="94">
      <c r="A94" s="74">
        <v>88.0</v>
      </c>
      <c r="B94" s="7" t="s">
        <v>600</v>
      </c>
      <c r="C94" s="8" t="s">
        <v>25</v>
      </c>
      <c r="D94" s="9" t="s">
        <v>26</v>
      </c>
      <c r="E94" s="7" t="s">
        <v>58</v>
      </c>
      <c r="F94" s="9">
        <v>23.0</v>
      </c>
      <c r="G94" s="9">
        <v>2000.0</v>
      </c>
      <c r="H94" s="10">
        <v>17.0</v>
      </c>
      <c r="I94" s="11">
        <v>2.0</v>
      </c>
      <c r="J94" s="11">
        <v>333.0</v>
      </c>
      <c r="K94" s="11">
        <v>3.7</v>
      </c>
      <c r="L94" s="12">
        <v>0.0</v>
      </c>
      <c r="M94" s="11">
        <v>1.0</v>
      </c>
      <c r="N94" s="11">
        <v>1.0</v>
      </c>
      <c r="O94" s="13">
        <v>0.0</v>
      </c>
      <c r="P94" s="13">
        <v>0.0</v>
      </c>
      <c r="Q94" s="13">
        <v>0.0</v>
      </c>
      <c r="R94" s="11">
        <v>5.0</v>
      </c>
      <c r="S94" s="11">
        <v>1.0</v>
      </c>
      <c r="T94" s="12">
        <v>0.0</v>
      </c>
      <c r="U94" s="11">
        <v>0.27</v>
      </c>
      <c r="V94" s="11">
        <v>0.27</v>
      </c>
      <c r="W94" s="13">
        <v>0.0</v>
      </c>
      <c r="X94" s="11">
        <v>0.27</v>
      </c>
      <c r="Y94" s="14" t="s">
        <v>900</v>
      </c>
    </row>
    <row r="95">
      <c r="A95" s="74">
        <v>89.0</v>
      </c>
      <c r="B95" s="7" t="s">
        <v>477</v>
      </c>
      <c r="C95" s="8" t="s">
        <v>25</v>
      </c>
      <c r="D95" s="9" t="s">
        <v>26</v>
      </c>
      <c r="E95" s="7" t="s">
        <v>31</v>
      </c>
      <c r="F95" s="9">
        <v>24.0</v>
      </c>
      <c r="G95" s="9">
        <v>1999.0</v>
      </c>
      <c r="H95" s="10">
        <v>22.0</v>
      </c>
      <c r="I95" s="11">
        <v>14.0</v>
      </c>
      <c r="J95" s="15">
        <v>1404.0</v>
      </c>
      <c r="K95" s="11">
        <v>15.6</v>
      </c>
      <c r="L95" s="10">
        <v>2.0</v>
      </c>
      <c r="M95" s="11">
        <v>3.0</v>
      </c>
      <c r="N95" s="11">
        <v>5.0</v>
      </c>
      <c r="O95" s="11">
        <v>2.0</v>
      </c>
      <c r="P95" s="13">
        <v>0.0</v>
      </c>
      <c r="Q95" s="13">
        <v>0.0</v>
      </c>
      <c r="R95" s="11">
        <v>2.0</v>
      </c>
      <c r="S95" s="13">
        <v>0.0</v>
      </c>
      <c r="T95" s="10">
        <v>0.13</v>
      </c>
      <c r="U95" s="11">
        <v>0.19</v>
      </c>
      <c r="V95" s="11">
        <v>0.32</v>
      </c>
      <c r="W95" s="11">
        <v>0.13</v>
      </c>
      <c r="X95" s="11">
        <v>0.32</v>
      </c>
      <c r="Y95" s="14" t="s">
        <v>901</v>
      </c>
    </row>
    <row r="96">
      <c r="A96" s="74">
        <v>90.0</v>
      </c>
      <c r="B96" s="7" t="s">
        <v>109</v>
      </c>
      <c r="C96" s="8" t="s">
        <v>34</v>
      </c>
      <c r="D96" s="9" t="s">
        <v>35</v>
      </c>
      <c r="E96" s="7" t="s">
        <v>80</v>
      </c>
      <c r="F96" s="9">
        <v>19.0</v>
      </c>
      <c r="G96" s="9">
        <v>2004.0</v>
      </c>
      <c r="H96" s="10">
        <v>4.0</v>
      </c>
      <c r="I96" s="11">
        <v>3.0</v>
      </c>
      <c r="J96" s="11">
        <v>284.0</v>
      </c>
      <c r="K96" s="11">
        <v>3.2</v>
      </c>
      <c r="L96" s="12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1">
        <v>1.0</v>
      </c>
      <c r="S96" s="13">
        <v>0.0</v>
      </c>
      <c r="T96" s="12">
        <v>0.0</v>
      </c>
      <c r="U96" s="13">
        <v>0.0</v>
      </c>
      <c r="V96" s="13">
        <v>0.0</v>
      </c>
      <c r="W96" s="13">
        <v>0.0</v>
      </c>
      <c r="X96" s="13">
        <v>0.0</v>
      </c>
      <c r="Y96" s="14" t="s">
        <v>902</v>
      </c>
    </row>
    <row r="97">
      <c r="A97" s="74">
        <v>91.0</v>
      </c>
      <c r="B97" s="7" t="s">
        <v>395</v>
      </c>
      <c r="C97" s="8" t="s">
        <v>25</v>
      </c>
      <c r="D97" s="9" t="s">
        <v>26</v>
      </c>
      <c r="E97" s="7" t="s">
        <v>62</v>
      </c>
      <c r="F97" s="9">
        <v>17.0</v>
      </c>
      <c r="G97" s="9">
        <v>2007.0</v>
      </c>
      <c r="H97" s="10">
        <v>1.0</v>
      </c>
      <c r="I97" s="13">
        <v>0.0</v>
      </c>
      <c r="J97" s="11">
        <v>1.0</v>
      </c>
      <c r="K97" s="13">
        <v>0.0</v>
      </c>
      <c r="L97" s="12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12">
        <v>0.0</v>
      </c>
      <c r="U97" s="13">
        <v>0.0</v>
      </c>
      <c r="V97" s="13">
        <v>0.0</v>
      </c>
      <c r="W97" s="13">
        <v>0.0</v>
      </c>
      <c r="X97" s="13">
        <v>0.0</v>
      </c>
      <c r="Y97" s="14" t="s">
        <v>903</v>
      </c>
    </row>
    <row r="98">
      <c r="A98" s="74">
        <v>92.0</v>
      </c>
      <c r="B98" s="7" t="s">
        <v>639</v>
      </c>
      <c r="C98" s="8" t="s">
        <v>25</v>
      </c>
      <c r="D98" s="9" t="s">
        <v>26</v>
      </c>
      <c r="E98" s="7" t="s">
        <v>128</v>
      </c>
      <c r="F98" s="9">
        <v>24.0</v>
      </c>
      <c r="G98" s="9">
        <v>1999.0</v>
      </c>
      <c r="H98" s="10">
        <v>30.0</v>
      </c>
      <c r="I98" s="11">
        <v>21.0</v>
      </c>
      <c r="J98" s="15">
        <v>1983.0</v>
      </c>
      <c r="K98" s="11">
        <v>22.0</v>
      </c>
      <c r="L98" s="10">
        <v>2.0</v>
      </c>
      <c r="M98" s="11">
        <v>4.0</v>
      </c>
      <c r="N98" s="11">
        <v>6.0</v>
      </c>
      <c r="O98" s="11">
        <v>2.0</v>
      </c>
      <c r="P98" s="13">
        <v>0.0</v>
      </c>
      <c r="Q98" s="13">
        <v>0.0</v>
      </c>
      <c r="R98" s="11">
        <v>3.0</v>
      </c>
      <c r="S98" s="13">
        <v>0.0</v>
      </c>
      <c r="T98" s="10">
        <v>0.09</v>
      </c>
      <c r="U98" s="11">
        <v>0.18</v>
      </c>
      <c r="V98" s="11">
        <v>0.27</v>
      </c>
      <c r="W98" s="11">
        <v>0.09</v>
      </c>
      <c r="X98" s="11">
        <v>0.27</v>
      </c>
      <c r="Y98" s="14" t="s">
        <v>904</v>
      </c>
    </row>
    <row r="99">
      <c r="A99" s="74">
        <v>93.0</v>
      </c>
      <c r="B99" s="7" t="s">
        <v>354</v>
      </c>
      <c r="C99" s="8" t="s">
        <v>34</v>
      </c>
      <c r="D99" s="9" t="s">
        <v>87</v>
      </c>
      <c r="E99" s="7" t="s">
        <v>44</v>
      </c>
      <c r="F99" s="9">
        <v>28.0</v>
      </c>
      <c r="G99" s="9">
        <v>1995.0</v>
      </c>
      <c r="H99" s="10">
        <v>29.0</v>
      </c>
      <c r="I99" s="11">
        <v>28.0</v>
      </c>
      <c r="J99" s="15">
        <v>2328.0</v>
      </c>
      <c r="K99" s="11">
        <v>25.9</v>
      </c>
      <c r="L99" s="10">
        <v>3.0</v>
      </c>
      <c r="M99" s="11">
        <v>1.0</v>
      </c>
      <c r="N99" s="11">
        <v>4.0</v>
      </c>
      <c r="O99" s="11">
        <v>1.0</v>
      </c>
      <c r="P99" s="11">
        <v>2.0</v>
      </c>
      <c r="Q99" s="11">
        <v>3.0</v>
      </c>
      <c r="R99" s="11">
        <v>11.0</v>
      </c>
      <c r="S99" s="13">
        <v>0.0</v>
      </c>
      <c r="T99" s="10">
        <v>0.12</v>
      </c>
      <c r="U99" s="11">
        <v>0.04</v>
      </c>
      <c r="V99" s="11">
        <v>0.15</v>
      </c>
      <c r="W99" s="11">
        <v>0.04</v>
      </c>
      <c r="X99" s="11">
        <v>0.08</v>
      </c>
      <c r="Y99" s="14" t="s">
        <v>905</v>
      </c>
    </row>
    <row r="100">
      <c r="A100" s="74">
        <v>94.0</v>
      </c>
      <c r="B100" s="7" t="s">
        <v>603</v>
      </c>
      <c r="C100" s="8" t="s">
        <v>25</v>
      </c>
      <c r="D100" s="9" t="s">
        <v>26</v>
      </c>
      <c r="E100" s="7" t="s">
        <v>98</v>
      </c>
      <c r="F100" s="9">
        <v>22.0</v>
      </c>
      <c r="G100" s="9">
        <v>2001.0</v>
      </c>
      <c r="H100" s="10">
        <v>8.0</v>
      </c>
      <c r="I100" s="11">
        <v>3.0</v>
      </c>
      <c r="J100" s="11">
        <v>260.0</v>
      </c>
      <c r="K100" s="11">
        <v>2.9</v>
      </c>
      <c r="L100" s="12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1">
        <v>1.0</v>
      </c>
      <c r="S100" s="13">
        <v>0.0</v>
      </c>
      <c r="T100" s="12">
        <v>0.0</v>
      </c>
      <c r="U100" s="13">
        <v>0.0</v>
      </c>
      <c r="V100" s="13">
        <v>0.0</v>
      </c>
      <c r="W100" s="13">
        <v>0.0</v>
      </c>
      <c r="X100" s="13">
        <v>0.0</v>
      </c>
      <c r="Y100" s="14" t="s">
        <v>906</v>
      </c>
    </row>
    <row r="101">
      <c r="A101" s="74">
        <v>95.0</v>
      </c>
      <c r="B101" s="7" t="s">
        <v>46</v>
      </c>
      <c r="C101" s="8" t="s">
        <v>25</v>
      </c>
      <c r="D101" s="9" t="s">
        <v>47</v>
      </c>
      <c r="E101" s="7" t="s">
        <v>36</v>
      </c>
      <c r="F101" s="9">
        <v>34.0</v>
      </c>
      <c r="G101" s="9">
        <v>1989.0</v>
      </c>
      <c r="H101" s="10">
        <v>33.0</v>
      </c>
      <c r="I101" s="11">
        <v>20.0</v>
      </c>
      <c r="J101" s="15">
        <v>1770.0</v>
      </c>
      <c r="K101" s="11">
        <v>19.7</v>
      </c>
      <c r="L101" s="10">
        <v>4.0</v>
      </c>
      <c r="M101" s="11">
        <v>3.0</v>
      </c>
      <c r="N101" s="11">
        <v>7.0</v>
      </c>
      <c r="O101" s="11">
        <v>4.0</v>
      </c>
      <c r="P101" s="13">
        <v>0.0</v>
      </c>
      <c r="Q101" s="13">
        <v>0.0</v>
      </c>
      <c r="R101" s="11">
        <v>6.0</v>
      </c>
      <c r="S101" s="13">
        <v>0.0</v>
      </c>
      <c r="T101" s="10">
        <v>0.2</v>
      </c>
      <c r="U101" s="11">
        <v>0.15</v>
      </c>
      <c r="V101" s="11">
        <v>0.36</v>
      </c>
      <c r="W101" s="11">
        <v>0.2</v>
      </c>
      <c r="X101" s="11">
        <v>0.36</v>
      </c>
      <c r="Y101" s="14" t="s">
        <v>907</v>
      </c>
    </row>
    <row r="102">
      <c r="A102" s="74">
        <v>96.0</v>
      </c>
      <c r="B102" s="7" t="s">
        <v>361</v>
      </c>
      <c r="C102" s="8" t="s">
        <v>362</v>
      </c>
      <c r="D102" s="9" t="s">
        <v>35</v>
      </c>
      <c r="E102" s="7" t="s">
        <v>98</v>
      </c>
      <c r="F102" s="9">
        <v>20.0</v>
      </c>
      <c r="G102" s="9">
        <v>2003.0</v>
      </c>
      <c r="H102" s="10">
        <v>4.0</v>
      </c>
      <c r="I102" s="11">
        <v>1.0</v>
      </c>
      <c r="J102" s="11">
        <v>164.0</v>
      </c>
      <c r="K102" s="11">
        <v>1.8</v>
      </c>
      <c r="L102" s="12">
        <v>0.0</v>
      </c>
      <c r="M102" s="13">
        <v>0.0</v>
      </c>
      <c r="N102" s="13">
        <v>0.0</v>
      </c>
      <c r="O102" s="13">
        <v>0.0</v>
      </c>
      <c r="P102" s="13">
        <v>0.0</v>
      </c>
      <c r="Q102" s="13">
        <v>0.0</v>
      </c>
      <c r="R102" s="13">
        <v>0.0</v>
      </c>
      <c r="S102" s="13">
        <v>0.0</v>
      </c>
      <c r="T102" s="12">
        <v>0.0</v>
      </c>
      <c r="U102" s="13">
        <v>0.0</v>
      </c>
      <c r="V102" s="13">
        <v>0.0</v>
      </c>
      <c r="W102" s="13">
        <v>0.0</v>
      </c>
      <c r="X102" s="13">
        <v>0.0</v>
      </c>
      <c r="Y102" s="14" t="s">
        <v>908</v>
      </c>
    </row>
    <row r="103">
      <c r="A103" s="74">
        <v>97.0</v>
      </c>
      <c r="B103" s="7" t="s">
        <v>132</v>
      </c>
      <c r="C103" s="8" t="s">
        <v>25</v>
      </c>
      <c r="D103" s="9" t="s">
        <v>26</v>
      </c>
      <c r="E103" s="7" t="s">
        <v>27</v>
      </c>
      <c r="F103" s="9">
        <v>31.0</v>
      </c>
      <c r="G103" s="9">
        <v>1992.0</v>
      </c>
      <c r="H103" s="10">
        <v>36.0</v>
      </c>
      <c r="I103" s="11">
        <v>32.0</v>
      </c>
      <c r="J103" s="15">
        <v>2933.0</v>
      </c>
      <c r="K103" s="11">
        <v>32.6</v>
      </c>
      <c r="L103" s="10">
        <v>4.0</v>
      </c>
      <c r="M103" s="11">
        <v>2.0</v>
      </c>
      <c r="N103" s="11">
        <v>6.0</v>
      </c>
      <c r="O103" s="11">
        <v>1.0</v>
      </c>
      <c r="P103" s="11">
        <v>3.0</v>
      </c>
      <c r="Q103" s="11">
        <v>3.0</v>
      </c>
      <c r="R103" s="11">
        <v>6.0</v>
      </c>
      <c r="S103" s="13">
        <v>0.0</v>
      </c>
      <c r="T103" s="10">
        <v>0.12</v>
      </c>
      <c r="U103" s="11">
        <v>0.06</v>
      </c>
      <c r="V103" s="11">
        <v>0.18</v>
      </c>
      <c r="W103" s="11">
        <v>0.03</v>
      </c>
      <c r="X103" s="11">
        <v>0.09</v>
      </c>
      <c r="Y103" s="14" t="s">
        <v>909</v>
      </c>
    </row>
    <row r="104">
      <c r="A104" s="74">
        <v>98.0</v>
      </c>
      <c r="B104" s="7" t="s">
        <v>386</v>
      </c>
      <c r="C104" s="8" t="s">
        <v>70</v>
      </c>
      <c r="D104" s="9" t="s">
        <v>35</v>
      </c>
      <c r="E104" s="7" t="s">
        <v>27</v>
      </c>
      <c r="F104" s="9">
        <v>23.0</v>
      </c>
      <c r="G104" s="9">
        <v>2000.0</v>
      </c>
      <c r="H104" s="10">
        <v>8.0</v>
      </c>
      <c r="I104" s="11">
        <v>4.0</v>
      </c>
      <c r="J104" s="11">
        <v>406.0</v>
      </c>
      <c r="K104" s="11">
        <v>4.5</v>
      </c>
      <c r="L104" s="12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0.0</v>
      </c>
      <c r="R104" s="13">
        <v>0.0</v>
      </c>
      <c r="S104" s="13">
        <v>0.0</v>
      </c>
      <c r="T104" s="12">
        <v>0.0</v>
      </c>
      <c r="U104" s="13">
        <v>0.0</v>
      </c>
      <c r="V104" s="13">
        <v>0.0</v>
      </c>
      <c r="W104" s="13">
        <v>0.0</v>
      </c>
      <c r="X104" s="13">
        <v>0.0</v>
      </c>
      <c r="Y104" s="14" t="s">
        <v>910</v>
      </c>
    </row>
    <row r="105">
      <c r="A105" s="74">
        <v>99.0</v>
      </c>
      <c r="B105" s="7" t="s">
        <v>542</v>
      </c>
      <c r="C105" s="8" t="s">
        <v>25</v>
      </c>
      <c r="D105" s="9" t="s">
        <v>55</v>
      </c>
      <c r="E105" s="7" t="s">
        <v>31</v>
      </c>
      <c r="F105" s="9">
        <v>34.0</v>
      </c>
      <c r="G105" s="9">
        <v>1989.0</v>
      </c>
      <c r="H105" s="10">
        <v>8.0</v>
      </c>
      <c r="I105" s="11">
        <v>6.0</v>
      </c>
      <c r="J105" s="11">
        <v>536.0</v>
      </c>
      <c r="K105" s="11">
        <v>6.0</v>
      </c>
      <c r="L105" s="10">
        <v>1.0</v>
      </c>
      <c r="M105" s="13">
        <v>0.0</v>
      </c>
      <c r="N105" s="11">
        <v>1.0</v>
      </c>
      <c r="O105" s="11">
        <v>1.0</v>
      </c>
      <c r="P105" s="13">
        <v>0.0</v>
      </c>
      <c r="Q105" s="13">
        <v>0.0</v>
      </c>
      <c r="R105" s="11">
        <v>3.0</v>
      </c>
      <c r="S105" s="13">
        <v>0.0</v>
      </c>
      <c r="T105" s="10">
        <v>0.17</v>
      </c>
      <c r="U105" s="13">
        <v>0.0</v>
      </c>
      <c r="V105" s="11">
        <v>0.17</v>
      </c>
      <c r="W105" s="11">
        <v>0.17</v>
      </c>
      <c r="X105" s="11">
        <v>0.17</v>
      </c>
      <c r="Y105" s="14" t="s">
        <v>911</v>
      </c>
    </row>
    <row r="106">
      <c r="A106" s="74">
        <v>100.0</v>
      </c>
      <c r="B106" s="7" t="s">
        <v>487</v>
      </c>
      <c r="C106" s="8" t="s">
        <v>97</v>
      </c>
      <c r="D106" s="9" t="s">
        <v>26</v>
      </c>
      <c r="E106" s="7" t="s">
        <v>36</v>
      </c>
      <c r="F106" s="9">
        <v>18.0</v>
      </c>
      <c r="G106" s="9">
        <v>2005.0</v>
      </c>
      <c r="H106" s="10">
        <v>18.0</v>
      </c>
      <c r="I106" s="11">
        <v>15.0</v>
      </c>
      <c r="J106" s="15">
        <v>1282.0</v>
      </c>
      <c r="K106" s="11">
        <v>14.2</v>
      </c>
      <c r="L106" s="10">
        <v>1.0</v>
      </c>
      <c r="M106" s="11">
        <v>1.0</v>
      </c>
      <c r="N106" s="11">
        <v>2.0</v>
      </c>
      <c r="O106" s="11">
        <v>1.0</v>
      </c>
      <c r="P106" s="13">
        <v>0.0</v>
      </c>
      <c r="Q106" s="13">
        <v>0.0</v>
      </c>
      <c r="R106" s="11">
        <v>5.0</v>
      </c>
      <c r="S106" s="13">
        <v>0.0</v>
      </c>
      <c r="T106" s="10">
        <v>0.07</v>
      </c>
      <c r="U106" s="11">
        <v>0.07</v>
      </c>
      <c r="V106" s="11">
        <v>0.14</v>
      </c>
      <c r="W106" s="11">
        <v>0.07</v>
      </c>
      <c r="X106" s="11">
        <v>0.14</v>
      </c>
      <c r="Y106" s="14" t="s">
        <v>912</v>
      </c>
    </row>
    <row r="107">
      <c r="A107" s="74">
        <v>101.0</v>
      </c>
      <c r="B107" s="7" t="s">
        <v>581</v>
      </c>
      <c r="C107" s="8" t="s">
        <v>25</v>
      </c>
      <c r="D107" s="9" t="s">
        <v>35</v>
      </c>
      <c r="E107" s="7" t="s">
        <v>58</v>
      </c>
      <c r="F107" s="9">
        <v>32.0</v>
      </c>
      <c r="G107" s="9">
        <v>1991.0</v>
      </c>
      <c r="H107" s="10">
        <v>33.0</v>
      </c>
      <c r="I107" s="11">
        <v>33.0</v>
      </c>
      <c r="J107" s="15">
        <v>2919.0</v>
      </c>
      <c r="K107" s="11">
        <v>32.4</v>
      </c>
      <c r="L107" s="12">
        <v>0.0</v>
      </c>
      <c r="M107" s="11">
        <v>1.0</v>
      </c>
      <c r="N107" s="11">
        <v>1.0</v>
      </c>
      <c r="O107" s="13">
        <v>0.0</v>
      </c>
      <c r="P107" s="13">
        <v>0.0</v>
      </c>
      <c r="Q107" s="13">
        <v>0.0</v>
      </c>
      <c r="R107" s="11">
        <v>13.0</v>
      </c>
      <c r="S107" s="13">
        <v>0.0</v>
      </c>
      <c r="T107" s="12">
        <v>0.0</v>
      </c>
      <c r="U107" s="11">
        <v>0.03</v>
      </c>
      <c r="V107" s="11">
        <v>0.03</v>
      </c>
      <c r="W107" s="13">
        <v>0.0</v>
      </c>
      <c r="X107" s="11">
        <v>0.03</v>
      </c>
      <c r="Y107" s="14" t="s">
        <v>913</v>
      </c>
    </row>
    <row r="108">
      <c r="A108" s="74">
        <v>102.0</v>
      </c>
      <c r="B108" s="7" t="s">
        <v>485</v>
      </c>
      <c r="C108" s="8" t="s">
        <v>65</v>
      </c>
      <c r="D108" s="9" t="s">
        <v>55</v>
      </c>
      <c r="E108" s="7" t="s">
        <v>80</v>
      </c>
      <c r="F108" s="9">
        <v>19.0</v>
      </c>
      <c r="G108" s="9">
        <v>2004.0</v>
      </c>
      <c r="H108" s="10">
        <v>7.0</v>
      </c>
      <c r="I108" s="13">
        <v>0.0</v>
      </c>
      <c r="J108" s="11">
        <v>106.0</v>
      </c>
      <c r="K108" s="11">
        <v>1.2</v>
      </c>
      <c r="L108" s="12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1">
        <v>1.0</v>
      </c>
      <c r="S108" s="13">
        <v>0.0</v>
      </c>
      <c r="T108" s="12">
        <v>0.0</v>
      </c>
      <c r="U108" s="13">
        <v>0.0</v>
      </c>
      <c r="V108" s="13">
        <v>0.0</v>
      </c>
      <c r="W108" s="13">
        <v>0.0</v>
      </c>
      <c r="X108" s="13">
        <v>0.0</v>
      </c>
      <c r="Y108" s="14" t="s">
        <v>914</v>
      </c>
    </row>
    <row r="109">
      <c r="A109" s="74">
        <v>103.0</v>
      </c>
      <c r="B109" s="7" t="s">
        <v>405</v>
      </c>
      <c r="C109" s="8" t="s">
        <v>25</v>
      </c>
      <c r="D109" s="9" t="s">
        <v>55</v>
      </c>
      <c r="E109" s="7" t="s">
        <v>62</v>
      </c>
      <c r="F109" s="9">
        <v>21.0</v>
      </c>
      <c r="G109" s="9">
        <v>2002.0</v>
      </c>
      <c r="H109" s="10">
        <v>9.0</v>
      </c>
      <c r="I109" s="13">
        <v>0.0</v>
      </c>
      <c r="J109" s="11">
        <v>90.0</v>
      </c>
      <c r="K109" s="11">
        <v>1.0</v>
      </c>
      <c r="L109" s="12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  <c r="T109" s="12">
        <v>0.0</v>
      </c>
      <c r="U109" s="13">
        <v>0.0</v>
      </c>
      <c r="V109" s="13">
        <v>0.0</v>
      </c>
      <c r="W109" s="13">
        <v>0.0</v>
      </c>
      <c r="X109" s="13">
        <v>0.0</v>
      </c>
      <c r="Y109" s="14" t="s">
        <v>915</v>
      </c>
    </row>
    <row r="110">
      <c r="A110" s="74">
        <v>104.0</v>
      </c>
      <c r="B110" s="7" t="s">
        <v>573</v>
      </c>
      <c r="C110" s="8" t="s">
        <v>97</v>
      </c>
      <c r="D110" s="9" t="s">
        <v>26</v>
      </c>
      <c r="E110" s="7" t="s">
        <v>98</v>
      </c>
      <c r="F110" s="9">
        <v>18.0</v>
      </c>
      <c r="G110" s="9">
        <v>2005.0</v>
      </c>
      <c r="H110" s="10">
        <v>9.0</v>
      </c>
      <c r="I110" s="11">
        <v>4.0</v>
      </c>
      <c r="J110" s="11">
        <v>407.0</v>
      </c>
      <c r="K110" s="11">
        <v>4.5</v>
      </c>
      <c r="L110" s="10">
        <v>2.0</v>
      </c>
      <c r="M110" s="13">
        <v>0.0</v>
      </c>
      <c r="N110" s="11">
        <v>2.0</v>
      </c>
      <c r="O110" s="11">
        <v>2.0</v>
      </c>
      <c r="P110" s="13">
        <v>0.0</v>
      </c>
      <c r="Q110" s="13">
        <v>0.0</v>
      </c>
      <c r="R110" s="11">
        <v>6.0</v>
      </c>
      <c r="S110" s="13">
        <v>0.0</v>
      </c>
      <c r="T110" s="10">
        <v>0.44</v>
      </c>
      <c r="U110" s="13">
        <v>0.0</v>
      </c>
      <c r="V110" s="11">
        <v>0.44</v>
      </c>
      <c r="W110" s="11">
        <v>0.44</v>
      </c>
      <c r="X110" s="11">
        <v>0.44</v>
      </c>
      <c r="Y110" s="14" t="s">
        <v>916</v>
      </c>
    </row>
    <row r="111">
      <c r="A111" s="74">
        <v>105.0</v>
      </c>
      <c r="B111" s="7" t="s">
        <v>252</v>
      </c>
      <c r="C111" s="8" t="s">
        <v>34</v>
      </c>
      <c r="D111" s="9" t="s">
        <v>77</v>
      </c>
      <c r="E111" s="7" t="s">
        <v>80</v>
      </c>
      <c r="F111" s="9">
        <v>19.0</v>
      </c>
      <c r="G111" s="9">
        <v>2004.0</v>
      </c>
      <c r="H111" s="10">
        <v>6.0</v>
      </c>
      <c r="I111" s="11">
        <v>6.0</v>
      </c>
      <c r="J111" s="11">
        <v>540.0</v>
      </c>
      <c r="K111" s="11">
        <v>6.0</v>
      </c>
      <c r="L111" s="12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0.0</v>
      </c>
      <c r="S111" s="13">
        <v>0.0</v>
      </c>
      <c r="T111" s="12">
        <v>0.0</v>
      </c>
      <c r="U111" s="13">
        <v>0.0</v>
      </c>
      <c r="V111" s="13">
        <v>0.0</v>
      </c>
      <c r="W111" s="13">
        <v>0.0</v>
      </c>
      <c r="X111" s="13">
        <v>0.0</v>
      </c>
      <c r="Y111" s="14" t="s">
        <v>917</v>
      </c>
    </row>
    <row r="112">
      <c r="A112" s="74">
        <v>106.0</v>
      </c>
      <c r="B112" s="7" t="s">
        <v>399</v>
      </c>
      <c r="C112" s="8" t="s">
        <v>25</v>
      </c>
      <c r="D112" s="9" t="s">
        <v>35</v>
      </c>
      <c r="E112" s="7" t="s">
        <v>31</v>
      </c>
      <c r="F112" s="9">
        <v>31.0</v>
      </c>
      <c r="G112" s="9">
        <v>1992.0</v>
      </c>
      <c r="H112" s="10">
        <v>18.0</v>
      </c>
      <c r="I112" s="11">
        <v>15.0</v>
      </c>
      <c r="J112" s="15">
        <v>1360.0</v>
      </c>
      <c r="K112" s="11">
        <v>15.1</v>
      </c>
      <c r="L112" s="12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1">
        <v>5.0</v>
      </c>
      <c r="S112" s="11">
        <v>1.0</v>
      </c>
      <c r="T112" s="12">
        <v>0.0</v>
      </c>
      <c r="U112" s="13">
        <v>0.0</v>
      </c>
      <c r="V112" s="13">
        <v>0.0</v>
      </c>
      <c r="W112" s="13">
        <v>0.0</v>
      </c>
      <c r="X112" s="13">
        <v>0.0</v>
      </c>
      <c r="Y112" s="14" t="s">
        <v>918</v>
      </c>
    </row>
    <row r="113">
      <c r="A113" s="74">
        <v>107.0</v>
      </c>
      <c r="B113" s="7" t="s">
        <v>189</v>
      </c>
      <c r="C113" s="8" t="s">
        <v>25</v>
      </c>
      <c r="D113" s="9" t="s">
        <v>47</v>
      </c>
      <c r="E113" s="7" t="s">
        <v>44</v>
      </c>
      <c r="F113" s="9">
        <v>24.0</v>
      </c>
      <c r="G113" s="9">
        <v>1999.0</v>
      </c>
      <c r="H113" s="10">
        <v>29.0</v>
      </c>
      <c r="I113" s="11">
        <v>16.0</v>
      </c>
      <c r="J113" s="15">
        <v>1332.0</v>
      </c>
      <c r="K113" s="11">
        <v>14.8</v>
      </c>
      <c r="L113" s="10">
        <v>3.0</v>
      </c>
      <c r="M113" s="11">
        <v>1.0</v>
      </c>
      <c r="N113" s="11">
        <v>4.0</v>
      </c>
      <c r="O113" s="11">
        <v>3.0</v>
      </c>
      <c r="P113" s="13">
        <v>0.0</v>
      </c>
      <c r="Q113" s="13">
        <v>0.0</v>
      </c>
      <c r="R113" s="11">
        <v>6.0</v>
      </c>
      <c r="S113" s="13">
        <v>0.0</v>
      </c>
      <c r="T113" s="10">
        <v>0.2</v>
      </c>
      <c r="U113" s="11">
        <v>0.07</v>
      </c>
      <c r="V113" s="11">
        <v>0.27</v>
      </c>
      <c r="W113" s="11">
        <v>0.2</v>
      </c>
      <c r="X113" s="11">
        <v>0.27</v>
      </c>
      <c r="Y113" s="14" t="s">
        <v>919</v>
      </c>
    </row>
    <row r="114">
      <c r="A114" s="74">
        <v>108.0</v>
      </c>
      <c r="B114" s="7" t="s">
        <v>29</v>
      </c>
      <c r="C114" s="8" t="s">
        <v>25</v>
      </c>
      <c r="D114" s="9" t="s">
        <v>30</v>
      </c>
      <c r="E114" s="7" t="s">
        <v>31</v>
      </c>
      <c r="F114" s="9">
        <v>34.0</v>
      </c>
      <c r="G114" s="9">
        <v>1990.0</v>
      </c>
      <c r="H114" s="10">
        <v>30.0</v>
      </c>
      <c r="I114" s="11">
        <v>16.0</v>
      </c>
      <c r="J114" s="15">
        <v>1687.0</v>
      </c>
      <c r="K114" s="11">
        <v>18.7</v>
      </c>
      <c r="L114" s="10">
        <v>8.0</v>
      </c>
      <c r="M114" s="11">
        <v>2.0</v>
      </c>
      <c r="N114" s="11">
        <v>10.0</v>
      </c>
      <c r="O114" s="11">
        <v>8.0</v>
      </c>
      <c r="P114" s="13">
        <v>0.0</v>
      </c>
      <c r="Q114" s="13">
        <v>0.0</v>
      </c>
      <c r="R114" s="11">
        <v>2.0</v>
      </c>
      <c r="S114" s="13">
        <v>0.0</v>
      </c>
      <c r="T114" s="10">
        <v>0.43</v>
      </c>
      <c r="U114" s="11">
        <v>0.11</v>
      </c>
      <c r="V114" s="11">
        <v>0.53</v>
      </c>
      <c r="W114" s="11">
        <v>0.43</v>
      </c>
      <c r="X114" s="11">
        <v>0.53</v>
      </c>
      <c r="Y114" s="14" t="s">
        <v>920</v>
      </c>
    </row>
    <row r="115">
      <c r="A115" s="74">
        <v>109.0</v>
      </c>
      <c r="B115" s="7" t="s">
        <v>64</v>
      </c>
      <c r="C115" s="8" t="s">
        <v>65</v>
      </c>
      <c r="D115" s="9" t="s">
        <v>55</v>
      </c>
      <c r="E115" s="7" t="s">
        <v>44</v>
      </c>
      <c r="F115" s="9">
        <v>24.0</v>
      </c>
      <c r="G115" s="9">
        <v>1999.0</v>
      </c>
      <c r="H115" s="10">
        <v>11.0</v>
      </c>
      <c r="I115" s="11">
        <v>3.0</v>
      </c>
      <c r="J115" s="11">
        <v>309.0</v>
      </c>
      <c r="K115" s="11">
        <v>3.4</v>
      </c>
      <c r="L115" s="12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0.0</v>
      </c>
      <c r="R115" s="13">
        <v>0.0</v>
      </c>
      <c r="S115" s="13">
        <v>0.0</v>
      </c>
      <c r="T115" s="12">
        <v>0.0</v>
      </c>
      <c r="U115" s="13">
        <v>0.0</v>
      </c>
      <c r="V115" s="13">
        <v>0.0</v>
      </c>
      <c r="W115" s="13">
        <v>0.0</v>
      </c>
      <c r="X115" s="13">
        <v>0.0</v>
      </c>
      <c r="Y115" s="14" t="s">
        <v>921</v>
      </c>
    </row>
    <row r="116">
      <c r="A116" s="74">
        <v>110.0</v>
      </c>
      <c r="B116" s="7" t="s">
        <v>622</v>
      </c>
      <c r="C116" s="8" t="s">
        <v>34</v>
      </c>
      <c r="D116" s="9" t="s">
        <v>35</v>
      </c>
      <c r="E116" s="7" t="s">
        <v>27</v>
      </c>
      <c r="F116" s="9">
        <v>24.0</v>
      </c>
      <c r="G116" s="9">
        <v>1999.0</v>
      </c>
      <c r="H116" s="10">
        <v>14.0</v>
      </c>
      <c r="I116" s="11">
        <v>12.0</v>
      </c>
      <c r="J116" s="15">
        <v>1145.0</v>
      </c>
      <c r="K116" s="11">
        <v>12.7</v>
      </c>
      <c r="L116" s="10">
        <v>1.0</v>
      </c>
      <c r="M116" s="11">
        <v>1.0</v>
      </c>
      <c r="N116" s="11">
        <v>2.0</v>
      </c>
      <c r="O116" s="11">
        <v>1.0</v>
      </c>
      <c r="P116" s="13">
        <v>0.0</v>
      </c>
      <c r="Q116" s="13">
        <v>0.0</v>
      </c>
      <c r="R116" s="11">
        <v>5.0</v>
      </c>
      <c r="S116" s="13">
        <v>0.0</v>
      </c>
      <c r="T116" s="10">
        <v>0.08</v>
      </c>
      <c r="U116" s="11">
        <v>0.08</v>
      </c>
      <c r="V116" s="11">
        <v>0.16</v>
      </c>
      <c r="W116" s="11">
        <v>0.08</v>
      </c>
      <c r="X116" s="11">
        <v>0.16</v>
      </c>
      <c r="Y116" s="14" t="s">
        <v>922</v>
      </c>
    </row>
    <row r="117">
      <c r="A117" s="74">
        <v>111.0</v>
      </c>
      <c r="B117" s="7" t="s">
        <v>315</v>
      </c>
      <c r="C117" s="8" t="s">
        <v>70</v>
      </c>
      <c r="D117" s="9" t="s">
        <v>55</v>
      </c>
      <c r="E117" s="7" t="s">
        <v>80</v>
      </c>
      <c r="F117" s="9">
        <v>24.0</v>
      </c>
      <c r="G117" s="9">
        <v>1999.0</v>
      </c>
      <c r="H117" s="10">
        <v>31.0</v>
      </c>
      <c r="I117" s="11">
        <v>24.0</v>
      </c>
      <c r="J117" s="15">
        <v>2079.0</v>
      </c>
      <c r="K117" s="11">
        <v>23.1</v>
      </c>
      <c r="L117" s="10">
        <v>6.0</v>
      </c>
      <c r="M117" s="11">
        <v>1.0</v>
      </c>
      <c r="N117" s="11">
        <v>7.0</v>
      </c>
      <c r="O117" s="11">
        <v>5.0</v>
      </c>
      <c r="P117" s="11">
        <v>1.0</v>
      </c>
      <c r="Q117" s="11">
        <v>1.0</v>
      </c>
      <c r="R117" s="11">
        <v>5.0</v>
      </c>
      <c r="S117" s="13">
        <v>0.0</v>
      </c>
      <c r="T117" s="10">
        <v>0.26</v>
      </c>
      <c r="U117" s="11">
        <v>0.04</v>
      </c>
      <c r="V117" s="11">
        <v>0.3</v>
      </c>
      <c r="W117" s="11">
        <v>0.22</v>
      </c>
      <c r="X117" s="11">
        <v>0.26</v>
      </c>
      <c r="Y117" s="14" t="s">
        <v>923</v>
      </c>
    </row>
    <row r="118">
      <c r="A118" s="74">
        <v>112.0</v>
      </c>
      <c r="B118" s="7" t="s">
        <v>245</v>
      </c>
      <c r="C118" s="8" t="s">
        <v>25</v>
      </c>
      <c r="D118" s="9" t="s">
        <v>26</v>
      </c>
      <c r="E118" s="7" t="s">
        <v>36</v>
      </c>
      <c r="F118" s="9">
        <v>18.0</v>
      </c>
      <c r="G118" s="9">
        <v>2005.0</v>
      </c>
      <c r="H118" s="10">
        <v>1.0</v>
      </c>
      <c r="I118" s="13">
        <v>0.0</v>
      </c>
      <c r="J118" s="11">
        <v>5.0</v>
      </c>
      <c r="K118" s="11">
        <v>0.1</v>
      </c>
      <c r="L118" s="12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12">
        <v>0.0</v>
      </c>
      <c r="U118" s="13">
        <v>0.0</v>
      </c>
      <c r="V118" s="13">
        <v>0.0</v>
      </c>
      <c r="W118" s="13">
        <v>0.0</v>
      </c>
      <c r="X118" s="13">
        <v>0.0</v>
      </c>
      <c r="Y118" s="14" t="s">
        <v>924</v>
      </c>
    </row>
    <row r="119">
      <c r="A119" s="74">
        <v>113.0</v>
      </c>
      <c r="B119" s="7" t="s">
        <v>300</v>
      </c>
      <c r="C119" s="8" t="s">
        <v>25</v>
      </c>
      <c r="D119" s="9" t="s">
        <v>26</v>
      </c>
      <c r="E119" s="7" t="s">
        <v>58</v>
      </c>
      <c r="F119" s="9">
        <v>19.0</v>
      </c>
      <c r="G119" s="9">
        <v>2004.0</v>
      </c>
      <c r="H119" s="10">
        <v>6.0</v>
      </c>
      <c r="I119" s="13">
        <v>0.0</v>
      </c>
      <c r="J119" s="11">
        <v>28.0</v>
      </c>
      <c r="K119" s="11">
        <v>0.3</v>
      </c>
      <c r="L119" s="12">
        <v>0.0</v>
      </c>
      <c r="M119" s="13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0.0</v>
      </c>
      <c r="S119" s="13">
        <v>0.0</v>
      </c>
      <c r="T119" s="12">
        <v>0.0</v>
      </c>
      <c r="U119" s="13">
        <v>0.0</v>
      </c>
      <c r="V119" s="13">
        <v>0.0</v>
      </c>
      <c r="W119" s="13">
        <v>0.0</v>
      </c>
      <c r="X119" s="13">
        <v>0.0</v>
      </c>
      <c r="Y119" s="14" t="s">
        <v>925</v>
      </c>
    </row>
    <row r="120">
      <c r="A120" s="74">
        <v>114.0</v>
      </c>
      <c r="B120" s="7" t="s">
        <v>300</v>
      </c>
      <c r="C120" s="8" t="s">
        <v>25</v>
      </c>
      <c r="D120" s="9" t="s">
        <v>26</v>
      </c>
      <c r="E120" s="7" t="s">
        <v>80</v>
      </c>
      <c r="F120" s="9">
        <v>19.0</v>
      </c>
      <c r="G120" s="9">
        <v>2004.0</v>
      </c>
      <c r="H120" s="10">
        <v>12.0</v>
      </c>
      <c r="I120" s="11">
        <v>8.0</v>
      </c>
      <c r="J120" s="11">
        <v>637.0</v>
      </c>
      <c r="K120" s="11">
        <v>7.1</v>
      </c>
      <c r="L120" s="10">
        <v>1.0</v>
      </c>
      <c r="M120" s="11">
        <v>1.0</v>
      </c>
      <c r="N120" s="11">
        <v>2.0</v>
      </c>
      <c r="O120" s="11">
        <v>1.0</v>
      </c>
      <c r="P120" s="13">
        <v>0.0</v>
      </c>
      <c r="Q120" s="13">
        <v>0.0</v>
      </c>
      <c r="R120" s="11">
        <v>1.0</v>
      </c>
      <c r="S120" s="13">
        <v>0.0</v>
      </c>
      <c r="T120" s="10">
        <v>0.14</v>
      </c>
      <c r="U120" s="11">
        <v>0.14</v>
      </c>
      <c r="V120" s="11">
        <v>0.28</v>
      </c>
      <c r="W120" s="11">
        <v>0.14</v>
      </c>
      <c r="X120" s="11">
        <v>0.28</v>
      </c>
      <c r="Y120" s="14" t="s">
        <v>926</v>
      </c>
    </row>
    <row r="121">
      <c r="A121" s="74">
        <v>115.0</v>
      </c>
      <c r="B121" s="7" t="s">
        <v>33</v>
      </c>
      <c r="C121" s="8" t="s">
        <v>34</v>
      </c>
      <c r="D121" s="9" t="s">
        <v>35</v>
      </c>
      <c r="E121" s="7" t="s">
        <v>36</v>
      </c>
      <c r="F121" s="9">
        <v>22.0</v>
      </c>
      <c r="G121" s="9">
        <v>2001.0</v>
      </c>
      <c r="H121" s="10">
        <v>3.0</v>
      </c>
      <c r="I121" s="11">
        <v>1.0</v>
      </c>
      <c r="J121" s="11">
        <v>153.0</v>
      </c>
      <c r="K121" s="11">
        <v>1.7</v>
      </c>
      <c r="L121" s="12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  <c r="T121" s="12">
        <v>0.0</v>
      </c>
      <c r="U121" s="13">
        <v>0.0</v>
      </c>
      <c r="V121" s="13">
        <v>0.0</v>
      </c>
      <c r="W121" s="13">
        <v>0.0</v>
      </c>
      <c r="X121" s="13">
        <v>0.0</v>
      </c>
      <c r="Y121" s="14" t="s">
        <v>927</v>
      </c>
    </row>
    <row r="122">
      <c r="A122" s="74">
        <v>116.0</v>
      </c>
      <c r="B122" s="7" t="s">
        <v>146</v>
      </c>
      <c r="C122" s="8" t="s">
        <v>97</v>
      </c>
      <c r="D122" s="9" t="s">
        <v>26</v>
      </c>
      <c r="E122" s="7" t="s">
        <v>52</v>
      </c>
      <c r="F122" s="9">
        <v>28.0</v>
      </c>
      <c r="G122" s="9">
        <v>1996.0</v>
      </c>
      <c r="H122" s="10">
        <v>4.0</v>
      </c>
      <c r="I122" s="13">
        <v>0.0</v>
      </c>
      <c r="J122" s="11">
        <v>19.0</v>
      </c>
      <c r="K122" s="11">
        <v>0.2</v>
      </c>
      <c r="L122" s="12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0.0</v>
      </c>
      <c r="S122" s="13">
        <v>0.0</v>
      </c>
      <c r="T122" s="12">
        <v>0.0</v>
      </c>
      <c r="U122" s="13">
        <v>0.0</v>
      </c>
      <c r="V122" s="13">
        <v>0.0</v>
      </c>
      <c r="W122" s="13">
        <v>0.0</v>
      </c>
      <c r="X122" s="13">
        <v>0.0</v>
      </c>
      <c r="Y122" s="14" t="s">
        <v>928</v>
      </c>
    </row>
    <row r="123">
      <c r="A123" s="74">
        <v>117.0</v>
      </c>
      <c r="B123" s="7" t="s">
        <v>249</v>
      </c>
      <c r="C123" s="8" t="s">
        <v>250</v>
      </c>
      <c r="D123" s="9" t="s">
        <v>47</v>
      </c>
      <c r="E123" s="7" t="s">
        <v>128</v>
      </c>
      <c r="F123" s="9">
        <v>22.0</v>
      </c>
      <c r="G123" s="9">
        <v>2001.0</v>
      </c>
      <c r="H123" s="10">
        <v>21.0</v>
      </c>
      <c r="I123" s="11">
        <v>19.0</v>
      </c>
      <c r="J123" s="15">
        <v>1390.0</v>
      </c>
      <c r="K123" s="11">
        <v>15.4</v>
      </c>
      <c r="L123" s="10">
        <v>4.0</v>
      </c>
      <c r="M123" s="11">
        <v>3.0</v>
      </c>
      <c r="N123" s="11">
        <v>7.0</v>
      </c>
      <c r="O123" s="11">
        <v>4.0</v>
      </c>
      <c r="P123" s="13">
        <v>0.0</v>
      </c>
      <c r="Q123" s="13">
        <v>0.0</v>
      </c>
      <c r="R123" s="11">
        <v>4.0</v>
      </c>
      <c r="S123" s="13">
        <v>0.0</v>
      </c>
      <c r="T123" s="10">
        <v>0.26</v>
      </c>
      <c r="U123" s="11">
        <v>0.19</v>
      </c>
      <c r="V123" s="11">
        <v>0.45</v>
      </c>
      <c r="W123" s="11">
        <v>0.26</v>
      </c>
      <c r="X123" s="11">
        <v>0.45</v>
      </c>
      <c r="Y123" s="14" t="s">
        <v>929</v>
      </c>
    </row>
    <row r="124">
      <c r="A124" s="74">
        <v>118.0</v>
      </c>
      <c r="B124" s="7" t="s">
        <v>422</v>
      </c>
      <c r="C124" s="8" t="s">
        <v>25</v>
      </c>
      <c r="D124" s="9" t="s">
        <v>83</v>
      </c>
      <c r="E124" s="7" t="s">
        <v>36</v>
      </c>
      <c r="F124" s="9">
        <v>24.0</v>
      </c>
      <c r="G124" s="9">
        <v>1999.0</v>
      </c>
      <c r="H124" s="10">
        <v>30.0</v>
      </c>
      <c r="I124" s="11">
        <v>28.0</v>
      </c>
      <c r="J124" s="15">
        <v>2351.0</v>
      </c>
      <c r="K124" s="11">
        <v>26.1</v>
      </c>
      <c r="L124" s="12">
        <v>0.0</v>
      </c>
      <c r="M124" s="11">
        <v>1.0</v>
      </c>
      <c r="N124" s="11">
        <v>1.0</v>
      </c>
      <c r="O124" s="13">
        <v>0.0</v>
      </c>
      <c r="P124" s="13">
        <v>0.0</v>
      </c>
      <c r="Q124" s="13">
        <v>0.0</v>
      </c>
      <c r="R124" s="11">
        <v>7.0</v>
      </c>
      <c r="S124" s="11">
        <v>2.0</v>
      </c>
      <c r="T124" s="12">
        <v>0.0</v>
      </c>
      <c r="U124" s="11">
        <v>0.04</v>
      </c>
      <c r="V124" s="11">
        <v>0.04</v>
      </c>
      <c r="W124" s="13">
        <v>0.0</v>
      </c>
      <c r="X124" s="11">
        <v>0.04</v>
      </c>
      <c r="Y124" s="14" t="s">
        <v>930</v>
      </c>
    </row>
    <row r="125">
      <c r="A125" s="74">
        <v>119.0</v>
      </c>
      <c r="B125" s="7" t="s">
        <v>294</v>
      </c>
      <c r="C125" s="8" t="s">
        <v>25</v>
      </c>
      <c r="D125" s="9" t="s">
        <v>87</v>
      </c>
      <c r="E125" s="7" t="s">
        <v>128</v>
      </c>
      <c r="F125" s="9">
        <v>20.0</v>
      </c>
      <c r="G125" s="9">
        <v>2003.0</v>
      </c>
      <c r="H125" s="10">
        <v>11.0</v>
      </c>
      <c r="I125" s="11">
        <v>7.0</v>
      </c>
      <c r="J125" s="11">
        <v>630.0</v>
      </c>
      <c r="K125" s="11">
        <v>7.0</v>
      </c>
      <c r="L125" s="12">
        <v>0.0</v>
      </c>
      <c r="M125" s="11">
        <v>1.0</v>
      </c>
      <c r="N125" s="11">
        <v>1.0</v>
      </c>
      <c r="O125" s="13">
        <v>0.0</v>
      </c>
      <c r="P125" s="13">
        <v>0.0</v>
      </c>
      <c r="Q125" s="13">
        <v>0.0</v>
      </c>
      <c r="R125" s="11">
        <v>3.0</v>
      </c>
      <c r="S125" s="11">
        <v>1.0</v>
      </c>
      <c r="T125" s="12">
        <v>0.0</v>
      </c>
      <c r="U125" s="11">
        <v>0.14</v>
      </c>
      <c r="V125" s="11">
        <v>0.14</v>
      </c>
      <c r="W125" s="13">
        <v>0.0</v>
      </c>
      <c r="X125" s="11">
        <v>0.14</v>
      </c>
      <c r="Y125" s="14" t="s">
        <v>931</v>
      </c>
    </row>
    <row r="126">
      <c r="A126" s="74">
        <v>120.0</v>
      </c>
      <c r="B126" s="7" t="s">
        <v>499</v>
      </c>
      <c r="C126" s="8" t="s">
        <v>43</v>
      </c>
      <c r="D126" s="9" t="s">
        <v>30</v>
      </c>
      <c r="E126" s="7" t="s">
        <v>62</v>
      </c>
      <c r="F126" s="9">
        <v>25.0</v>
      </c>
      <c r="G126" s="9">
        <v>1998.0</v>
      </c>
      <c r="H126" s="10">
        <v>32.0</v>
      </c>
      <c r="I126" s="11">
        <v>18.0</v>
      </c>
      <c r="J126" s="15">
        <v>1723.0</v>
      </c>
      <c r="K126" s="11">
        <v>19.1</v>
      </c>
      <c r="L126" s="10">
        <v>4.0</v>
      </c>
      <c r="M126" s="11">
        <v>3.0</v>
      </c>
      <c r="N126" s="11">
        <v>7.0</v>
      </c>
      <c r="O126" s="11">
        <v>4.0</v>
      </c>
      <c r="P126" s="13">
        <v>0.0</v>
      </c>
      <c r="Q126" s="13">
        <v>0.0</v>
      </c>
      <c r="R126" s="11">
        <v>4.0</v>
      </c>
      <c r="S126" s="13">
        <v>0.0</v>
      </c>
      <c r="T126" s="10">
        <v>0.21</v>
      </c>
      <c r="U126" s="11">
        <v>0.16</v>
      </c>
      <c r="V126" s="11">
        <v>0.37</v>
      </c>
      <c r="W126" s="11">
        <v>0.21</v>
      </c>
      <c r="X126" s="11">
        <v>0.37</v>
      </c>
      <c r="Y126" s="14" t="s">
        <v>932</v>
      </c>
    </row>
    <row r="127">
      <c r="A127" s="74">
        <v>121.0</v>
      </c>
      <c r="B127" s="7" t="s">
        <v>575</v>
      </c>
      <c r="C127" s="8" t="s">
        <v>70</v>
      </c>
      <c r="D127" s="9" t="s">
        <v>26</v>
      </c>
      <c r="E127" s="7" t="s">
        <v>80</v>
      </c>
      <c r="F127" s="9">
        <v>22.0</v>
      </c>
      <c r="G127" s="9">
        <v>2001.0</v>
      </c>
      <c r="H127" s="10">
        <v>14.0</v>
      </c>
      <c r="I127" s="11">
        <v>14.0</v>
      </c>
      <c r="J127" s="15">
        <v>1235.0</v>
      </c>
      <c r="K127" s="11">
        <v>13.7</v>
      </c>
      <c r="L127" s="10">
        <v>1.0</v>
      </c>
      <c r="M127" s="13">
        <v>0.0</v>
      </c>
      <c r="N127" s="11">
        <v>1.0</v>
      </c>
      <c r="O127" s="11">
        <v>1.0</v>
      </c>
      <c r="P127" s="13">
        <v>0.0</v>
      </c>
      <c r="Q127" s="13">
        <v>0.0</v>
      </c>
      <c r="R127" s="11">
        <v>1.0</v>
      </c>
      <c r="S127" s="13">
        <v>0.0</v>
      </c>
      <c r="T127" s="10">
        <v>0.07</v>
      </c>
      <c r="U127" s="13">
        <v>0.0</v>
      </c>
      <c r="V127" s="11">
        <v>0.07</v>
      </c>
      <c r="W127" s="11">
        <v>0.07</v>
      </c>
      <c r="X127" s="11">
        <v>0.07</v>
      </c>
      <c r="Y127" s="14" t="s">
        <v>933</v>
      </c>
    </row>
    <row r="128">
      <c r="A128" s="74">
        <v>122.0</v>
      </c>
      <c r="B128" s="7" t="s">
        <v>583</v>
      </c>
      <c r="C128" s="8" t="s">
        <v>25</v>
      </c>
      <c r="D128" s="9" t="s">
        <v>35</v>
      </c>
      <c r="E128" s="7" t="s">
        <v>31</v>
      </c>
      <c r="F128" s="9">
        <v>29.0</v>
      </c>
      <c r="G128" s="9">
        <v>1994.0</v>
      </c>
      <c r="H128" s="10">
        <v>12.0</v>
      </c>
      <c r="I128" s="11">
        <v>10.0</v>
      </c>
      <c r="J128" s="11">
        <v>812.0</v>
      </c>
      <c r="K128" s="11">
        <v>9.0</v>
      </c>
      <c r="L128" s="10">
        <v>2.0</v>
      </c>
      <c r="M128" s="13">
        <v>0.0</v>
      </c>
      <c r="N128" s="11">
        <v>2.0</v>
      </c>
      <c r="O128" s="11">
        <v>2.0</v>
      </c>
      <c r="P128" s="13">
        <v>0.0</v>
      </c>
      <c r="Q128" s="13">
        <v>0.0</v>
      </c>
      <c r="R128" s="11">
        <v>1.0</v>
      </c>
      <c r="S128" s="13">
        <v>0.0</v>
      </c>
      <c r="T128" s="10">
        <v>0.22</v>
      </c>
      <c r="U128" s="13">
        <v>0.0</v>
      </c>
      <c r="V128" s="11">
        <v>0.22</v>
      </c>
      <c r="W128" s="11">
        <v>0.22</v>
      </c>
      <c r="X128" s="11">
        <v>0.22</v>
      </c>
      <c r="Y128" s="14" t="s">
        <v>934</v>
      </c>
    </row>
    <row r="129">
      <c r="A129" s="74">
        <v>123.0</v>
      </c>
      <c r="B129" s="7" t="s">
        <v>501</v>
      </c>
      <c r="C129" s="8" t="s">
        <v>25</v>
      </c>
      <c r="D129" s="9" t="s">
        <v>55</v>
      </c>
      <c r="E129" s="7" t="s">
        <v>52</v>
      </c>
      <c r="F129" s="9">
        <v>32.0</v>
      </c>
      <c r="G129" s="9">
        <v>1991.0</v>
      </c>
      <c r="H129" s="10">
        <v>30.0</v>
      </c>
      <c r="I129" s="11">
        <v>27.0</v>
      </c>
      <c r="J129" s="15">
        <v>2352.0</v>
      </c>
      <c r="K129" s="11">
        <v>26.1</v>
      </c>
      <c r="L129" s="10">
        <v>14.0</v>
      </c>
      <c r="M129" s="11">
        <v>3.0</v>
      </c>
      <c r="N129" s="11">
        <v>17.0</v>
      </c>
      <c r="O129" s="11">
        <v>11.0</v>
      </c>
      <c r="P129" s="11">
        <v>3.0</v>
      </c>
      <c r="Q129" s="11">
        <v>3.0</v>
      </c>
      <c r="R129" s="11">
        <v>6.0</v>
      </c>
      <c r="S129" s="13">
        <v>0.0</v>
      </c>
      <c r="T129" s="10">
        <v>0.54</v>
      </c>
      <c r="U129" s="11">
        <v>0.11</v>
      </c>
      <c r="V129" s="11">
        <v>0.65</v>
      </c>
      <c r="W129" s="11">
        <v>0.42</v>
      </c>
      <c r="X129" s="11">
        <v>0.54</v>
      </c>
      <c r="Y129" s="14" t="s">
        <v>935</v>
      </c>
    </row>
    <row r="130">
      <c r="A130" s="74">
        <v>124.0</v>
      </c>
      <c r="B130" s="7" t="s">
        <v>366</v>
      </c>
      <c r="C130" s="8" t="s">
        <v>25</v>
      </c>
      <c r="D130" s="9" t="s">
        <v>83</v>
      </c>
      <c r="E130" s="7" t="s">
        <v>31</v>
      </c>
      <c r="F130" s="9">
        <v>22.0</v>
      </c>
      <c r="G130" s="9">
        <v>2001.0</v>
      </c>
      <c r="H130" s="10">
        <v>35.0</v>
      </c>
      <c r="I130" s="11">
        <v>28.0</v>
      </c>
      <c r="J130" s="15">
        <v>2408.0</v>
      </c>
      <c r="K130" s="11">
        <v>26.8</v>
      </c>
      <c r="L130" s="10">
        <v>1.0</v>
      </c>
      <c r="M130" s="13">
        <v>0.0</v>
      </c>
      <c r="N130" s="11">
        <v>1.0</v>
      </c>
      <c r="O130" s="11">
        <v>1.0</v>
      </c>
      <c r="P130" s="13">
        <v>0.0</v>
      </c>
      <c r="Q130" s="13">
        <v>0.0</v>
      </c>
      <c r="R130" s="11">
        <v>8.0</v>
      </c>
      <c r="S130" s="13">
        <v>0.0</v>
      </c>
      <c r="T130" s="10">
        <v>0.04</v>
      </c>
      <c r="U130" s="13">
        <v>0.0</v>
      </c>
      <c r="V130" s="11">
        <v>0.04</v>
      </c>
      <c r="W130" s="11">
        <v>0.04</v>
      </c>
      <c r="X130" s="11">
        <v>0.04</v>
      </c>
      <c r="Y130" s="14" t="s">
        <v>936</v>
      </c>
    </row>
    <row r="131">
      <c r="A131" s="74">
        <v>125.0</v>
      </c>
      <c r="B131" s="7" t="s">
        <v>150</v>
      </c>
      <c r="C131" s="8" t="s">
        <v>25</v>
      </c>
      <c r="D131" s="9" t="s">
        <v>35</v>
      </c>
      <c r="E131" s="7" t="s">
        <v>62</v>
      </c>
      <c r="F131" s="9">
        <v>29.0</v>
      </c>
      <c r="G131" s="9">
        <v>1994.0</v>
      </c>
      <c r="H131" s="10">
        <v>14.0</v>
      </c>
      <c r="I131" s="11">
        <v>9.0</v>
      </c>
      <c r="J131" s="11">
        <v>822.0</v>
      </c>
      <c r="K131" s="11">
        <v>9.1</v>
      </c>
      <c r="L131" s="12">
        <v>0.0</v>
      </c>
      <c r="M131" s="11">
        <v>1.0</v>
      </c>
      <c r="N131" s="11">
        <v>1.0</v>
      </c>
      <c r="O131" s="13">
        <v>0.0</v>
      </c>
      <c r="P131" s="13">
        <v>0.0</v>
      </c>
      <c r="Q131" s="13">
        <v>0.0</v>
      </c>
      <c r="R131" s="11">
        <v>2.0</v>
      </c>
      <c r="S131" s="13">
        <v>0.0</v>
      </c>
      <c r="T131" s="12">
        <v>0.0</v>
      </c>
      <c r="U131" s="11">
        <v>0.11</v>
      </c>
      <c r="V131" s="11">
        <v>0.11</v>
      </c>
      <c r="W131" s="13">
        <v>0.0</v>
      </c>
      <c r="X131" s="11">
        <v>0.11</v>
      </c>
      <c r="Y131" s="14" t="s">
        <v>937</v>
      </c>
    </row>
    <row r="132">
      <c r="A132" s="74">
        <v>126.0</v>
      </c>
      <c r="B132" s="7" t="s">
        <v>207</v>
      </c>
      <c r="C132" s="8" t="s">
        <v>25</v>
      </c>
      <c r="D132" s="9" t="s">
        <v>47</v>
      </c>
      <c r="E132" s="7" t="s">
        <v>80</v>
      </c>
      <c r="F132" s="9">
        <v>31.0</v>
      </c>
      <c r="G132" s="9">
        <v>1992.0</v>
      </c>
      <c r="H132" s="10">
        <v>36.0</v>
      </c>
      <c r="I132" s="11">
        <v>34.0</v>
      </c>
      <c r="J132" s="15">
        <v>2994.0</v>
      </c>
      <c r="K132" s="11">
        <v>33.3</v>
      </c>
      <c r="L132" s="10">
        <v>4.0</v>
      </c>
      <c r="M132" s="11">
        <v>4.0</v>
      </c>
      <c r="N132" s="11">
        <v>8.0</v>
      </c>
      <c r="O132" s="11">
        <v>4.0</v>
      </c>
      <c r="P132" s="13">
        <v>0.0</v>
      </c>
      <c r="Q132" s="13">
        <v>0.0</v>
      </c>
      <c r="R132" s="11">
        <v>2.0</v>
      </c>
      <c r="S132" s="13">
        <v>0.0</v>
      </c>
      <c r="T132" s="10">
        <v>0.12</v>
      </c>
      <c r="U132" s="11">
        <v>0.12</v>
      </c>
      <c r="V132" s="11">
        <v>0.24</v>
      </c>
      <c r="W132" s="11">
        <v>0.12</v>
      </c>
      <c r="X132" s="11">
        <v>0.24</v>
      </c>
      <c r="Y132" s="14" t="s">
        <v>938</v>
      </c>
    </row>
    <row r="133">
      <c r="A133" s="74">
        <v>127.0</v>
      </c>
      <c r="B133" s="7" t="s">
        <v>279</v>
      </c>
      <c r="C133" s="8" t="s">
        <v>34</v>
      </c>
      <c r="D133" s="9" t="s">
        <v>35</v>
      </c>
      <c r="E133" s="7" t="s">
        <v>98</v>
      </c>
      <c r="F133" s="9">
        <v>22.0</v>
      </c>
      <c r="G133" s="9">
        <v>2001.0</v>
      </c>
      <c r="H133" s="10">
        <v>36.0</v>
      </c>
      <c r="I133" s="11">
        <v>34.0</v>
      </c>
      <c r="J133" s="15">
        <v>3075.0</v>
      </c>
      <c r="K133" s="11">
        <v>34.2</v>
      </c>
      <c r="L133" s="12">
        <v>0.0</v>
      </c>
      <c r="M133" s="11">
        <v>3.0</v>
      </c>
      <c r="N133" s="11">
        <v>3.0</v>
      </c>
      <c r="O133" s="13">
        <v>0.0</v>
      </c>
      <c r="P133" s="13">
        <v>0.0</v>
      </c>
      <c r="Q133" s="13">
        <v>0.0</v>
      </c>
      <c r="R133" s="11">
        <v>7.0</v>
      </c>
      <c r="S133" s="13">
        <v>0.0</v>
      </c>
      <c r="T133" s="12">
        <v>0.0</v>
      </c>
      <c r="U133" s="11">
        <v>0.09</v>
      </c>
      <c r="V133" s="11">
        <v>0.09</v>
      </c>
      <c r="W133" s="13">
        <v>0.0</v>
      </c>
      <c r="X133" s="11">
        <v>0.09</v>
      </c>
      <c r="Y133" s="14" t="s">
        <v>939</v>
      </c>
    </row>
    <row r="134">
      <c r="A134" s="74">
        <v>128.0</v>
      </c>
      <c r="B134" s="7" t="s">
        <v>209</v>
      </c>
      <c r="C134" s="8" t="s">
        <v>25</v>
      </c>
      <c r="D134" s="9" t="s">
        <v>47</v>
      </c>
      <c r="E134" s="7" t="s">
        <v>62</v>
      </c>
      <c r="F134" s="9">
        <v>25.0</v>
      </c>
      <c r="G134" s="9">
        <v>1998.0</v>
      </c>
      <c r="H134" s="10">
        <v>36.0</v>
      </c>
      <c r="I134" s="11">
        <v>24.0</v>
      </c>
      <c r="J134" s="15">
        <v>2304.0</v>
      </c>
      <c r="K134" s="11">
        <v>25.6</v>
      </c>
      <c r="L134" s="10">
        <v>2.0</v>
      </c>
      <c r="M134" s="11">
        <v>1.0</v>
      </c>
      <c r="N134" s="11">
        <v>3.0</v>
      </c>
      <c r="O134" s="11">
        <v>2.0</v>
      </c>
      <c r="P134" s="13">
        <v>0.0</v>
      </c>
      <c r="Q134" s="13">
        <v>0.0</v>
      </c>
      <c r="R134" s="11">
        <v>5.0</v>
      </c>
      <c r="S134" s="13">
        <v>0.0</v>
      </c>
      <c r="T134" s="10">
        <v>0.08</v>
      </c>
      <c r="U134" s="11">
        <v>0.04</v>
      </c>
      <c r="V134" s="11">
        <v>0.12</v>
      </c>
      <c r="W134" s="11">
        <v>0.08</v>
      </c>
      <c r="X134" s="11">
        <v>0.12</v>
      </c>
      <c r="Y134" s="14" t="s">
        <v>940</v>
      </c>
    </row>
    <row r="135">
      <c r="A135" s="74">
        <v>129.0</v>
      </c>
      <c r="B135" s="7" t="s">
        <v>514</v>
      </c>
      <c r="C135" s="8" t="s">
        <v>34</v>
      </c>
      <c r="D135" s="9" t="s">
        <v>35</v>
      </c>
      <c r="E135" s="7" t="s">
        <v>128</v>
      </c>
      <c r="F135" s="9">
        <v>23.0</v>
      </c>
      <c r="G135" s="9">
        <v>2000.0</v>
      </c>
      <c r="H135" s="10">
        <v>36.0</v>
      </c>
      <c r="I135" s="11">
        <v>36.0</v>
      </c>
      <c r="J135" s="15">
        <v>3220.0</v>
      </c>
      <c r="K135" s="11">
        <v>35.8</v>
      </c>
      <c r="L135" s="10">
        <v>2.0</v>
      </c>
      <c r="M135" s="11">
        <v>1.0</v>
      </c>
      <c r="N135" s="11">
        <v>3.0</v>
      </c>
      <c r="O135" s="11">
        <v>2.0</v>
      </c>
      <c r="P135" s="13">
        <v>0.0</v>
      </c>
      <c r="Q135" s="13">
        <v>0.0</v>
      </c>
      <c r="R135" s="11">
        <v>7.0</v>
      </c>
      <c r="S135" s="13">
        <v>0.0</v>
      </c>
      <c r="T135" s="10">
        <v>0.06</v>
      </c>
      <c r="U135" s="11">
        <v>0.03</v>
      </c>
      <c r="V135" s="11">
        <v>0.08</v>
      </c>
      <c r="W135" s="11">
        <v>0.06</v>
      </c>
      <c r="X135" s="11">
        <v>0.08</v>
      </c>
      <c r="Y135" s="14" t="s">
        <v>941</v>
      </c>
    </row>
    <row r="136">
      <c r="A136" s="74">
        <v>130.0</v>
      </c>
      <c r="B136" s="7" t="s">
        <v>225</v>
      </c>
      <c r="C136" s="8" t="s">
        <v>34</v>
      </c>
      <c r="D136" s="9" t="s">
        <v>35</v>
      </c>
      <c r="E136" s="7" t="s">
        <v>52</v>
      </c>
      <c r="F136" s="9">
        <v>21.0</v>
      </c>
      <c r="G136" s="9">
        <v>2002.0</v>
      </c>
      <c r="H136" s="10">
        <v>3.0</v>
      </c>
      <c r="I136" s="11">
        <v>2.0</v>
      </c>
      <c r="J136" s="11">
        <v>175.0</v>
      </c>
      <c r="K136" s="11">
        <v>1.9</v>
      </c>
      <c r="L136" s="12">
        <v>0.0</v>
      </c>
      <c r="M136" s="13">
        <v>0.0</v>
      </c>
      <c r="N136" s="13">
        <v>0.0</v>
      </c>
      <c r="O136" s="13">
        <v>0.0</v>
      </c>
      <c r="P136" s="13">
        <v>0.0</v>
      </c>
      <c r="Q136" s="13">
        <v>0.0</v>
      </c>
      <c r="R136" s="11">
        <v>2.0</v>
      </c>
      <c r="S136" s="13">
        <v>0.0</v>
      </c>
      <c r="T136" s="12">
        <v>0.0</v>
      </c>
      <c r="U136" s="13">
        <v>0.0</v>
      </c>
      <c r="V136" s="13">
        <v>0.0</v>
      </c>
      <c r="W136" s="13">
        <v>0.0</v>
      </c>
      <c r="X136" s="13">
        <v>0.0</v>
      </c>
      <c r="Y136" s="14" t="s">
        <v>942</v>
      </c>
    </row>
    <row r="137">
      <c r="A137" s="74">
        <v>131.0</v>
      </c>
      <c r="B137" s="7" t="s">
        <v>443</v>
      </c>
      <c r="C137" s="8"/>
      <c r="D137" s="9" t="s">
        <v>55</v>
      </c>
      <c r="E137" s="7" t="s">
        <v>58</v>
      </c>
      <c r="F137" s="16"/>
      <c r="G137" s="16"/>
      <c r="H137" s="10">
        <v>1.0</v>
      </c>
      <c r="I137" s="13">
        <v>0.0</v>
      </c>
      <c r="J137" s="11">
        <v>4.0</v>
      </c>
      <c r="K137" s="13">
        <v>0.0</v>
      </c>
      <c r="L137" s="12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0.0</v>
      </c>
      <c r="S137" s="13">
        <v>0.0</v>
      </c>
      <c r="T137" s="12">
        <v>0.0</v>
      </c>
      <c r="U137" s="13">
        <v>0.0</v>
      </c>
      <c r="V137" s="13">
        <v>0.0</v>
      </c>
      <c r="W137" s="13">
        <v>0.0</v>
      </c>
      <c r="X137" s="13">
        <v>0.0</v>
      </c>
      <c r="Y137" s="14" t="s">
        <v>943</v>
      </c>
    </row>
    <row r="138">
      <c r="A138" s="74">
        <v>132.0</v>
      </c>
      <c r="B138" s="7" t="s">
        <v>223</v>
      </c>
      <c r="C138" s="8" t="s">
        <v>34</v>
      </c>
      <c r="D138" s="9" t="s">
        <v>55</v>
      </c>
      <c r="E138" s="7" t="s">
        <v>36</v>
      </c>
      <c r="F138" s="9">
        <v>22.0</v>
      </c>
      <c r="G138" s="9">
        <v>2001.0</v>
      </c>
      <c r="H138" s="10">
        <v>14.0</v>
      </c>
      <c r="I138" s="11">
        <v>14.0</v>
      </c>
      <c r="J138" s="15">
        <v>1160.0</v>
      </c>
      <c r="K138" s="11">
        <v>12.9</v>
      </c>
      <c r="L138" s="10">
        <v>6.0</v>
      </c>
      <c r="M138" s="11">
        <v>2.0</v>
      </c>
      <c r="N138" s="11">
        <v>8.0</v>
      </c>
      <c r="O138" s="11">
        <v>3.0</v>
      </c>
      <c r="P138" s="11">
        <v>3.0</v>
      </c>
      <c r="Q138" s="11">
        <v>3.0</v>
      </c>
      <c r="R138" s="11">
        <v>4.0</v>
      </c>
      <c r="S138" s="13">
        <v>0.0</v>
      </c>
      <c r="T138" s="10">
        <v>0.47</v>
      </c>
      <c r="U138" s="11">
        <v>0.16</v>
      </c>
      <c r="V138" s="11">
        <v>0.62</v>
      </c>
      <c r="W138" s="11">
        <v>0.23</v>
      </c>
      <c r="X138" s="11">
        <v>0.39</v>
      </c>
      <c r="Y138" s="14" t="s">
        <v>944</v>
      </c>
    </row>
    <row r="139">
      <c r="A139" s="74">
        <v>133.0</v>
      </c>
      <c r="B139" s="7" t="s">
        <v>641</v>
      </c>
      <c r="C139" s="8" t="s">
        <v>34</v>
      </c>
      <c r="D139" s="9" t="s">
        <v>47</v>
      </c>
      <c r="E139" s="7" t="s">
        <v>58</v>
      </c>
      <c r="F139" s="9">
        <v>21.0</v>
      </c>
      <c r="G139" s="9">
        <v>2002.0</v>
      </c>
      <c r="H139" s="10">
        <v>25.0</v>
      </c>
      <c r="I139" s="11">
        <v>23.0</v>
      </c>
      <c r="J139" s="15">
        <v>1935.0</v>
      </c>
      <c r="K139" s="11">
        <v>21.5</v>
      </c>
      <c r="L139" s="10">
        <v>8.0</v>
      </c>
      <c r="M139" s="11">
        <v>4.0</v>
      </c>
      <c r="N139" s="11">
        <v>12.0</v>
      </c>
      <c r="O139" s="11">
        <v>4.0</v>
      </c>
      <c r="P139" s="11">
        <v>4.0</v>
      </c>
      <c r="Q139" s="11">
        <v>4.0</v>
      </c>
      <c r="R139" s="13">
        <v>0.0</v>
      </c>
      <c r="S139" s="13">
        <v>0.0</v>
      </c>
      <c r="T139" s="10">
        <v>0.37</v>
      </c>
      <c r="U139" s="11">
        <v>0.19</v>
      </c>
      <c r="V139" s="11">
        <v>0.56</v>
      </c>
      <c r="W139" s="11">
        <v>0.19</v>
      </c>
      <c r="X139" s="11">
        <v>0.37</v>
      </c>
      <c r="Y139" s="14" t="s">
        <v>945</v>
      </c>
    </row>
    <row r="140">
      <c r="A140" s="74">
        <v>134.0</v>
      </c>
      <c r="B140" s="7" t="s">
        <v>645</v>
      </c>
      <c r="C140" s="8" t="s">
        <v>34</v>
      </c>
      <c r="D140" s="9" t="s">
        <v>35</v>
      </c>
      <c r="E140" s="7" t="s">
        <v>80</v>
      </c>
      <c r="F140" s="9">
        <v>19.0</v>
      </c>
      <c r="G140" s="9">
        <v>2004.0</v>
      </c>
      <c r="H140" s="10">
        <v>18.0</v>
      </c>
      <c r="I140" s="11">
        <v>17.0</v>
      </c>
      <c r="J140" s="15">
        <v>1518.0</v>
      </c>
      <c r="K140" s="11">
        <v>16.9</v>
      </c>
      <c r="L140" s="12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1">
        <v>3.0</v>
      </c>
      <c r="S140" s="13">
        <v>0.0</v>
      </c>
      <c r="T140" s="12">
        <v>0.0</v>
      </c>
      <c r="U140" s="13">
        <v>0.0</v>
      </c>
      <c r="V140" s="13">
        <v>0.0</v>
      </c>
      <c r="W140" s="13">
        <v>0.0</v>
      </c>
      <c r="X140" s="13">
        <v>0.0</v>
      </c>
      <c r="Y140" s="14" t="s">
        <v>946</v>
      </c>
    </row>
    <row r="141">
      <c r="A141" s="74">
        <v>135.0</v>
      </c>
      <c r="B141" s="7" t="s">
        <v>418</v>
      </c>
      <c r="C141" s="8" t="s">
        <v>34</v>
      </c>
      <c r="D141" s="9" t="s">
        <v>77</v>
      </c>
      <c r="E141" s="7" t="s">
        <v>98</v>
      </c>
      <c r="F141" s="9">
        <v>25.0</v>
      </c>
      <c r="G141" s="9">
        <v>1998.0</v>
      </c>
      <c r="H141" s="10">
        <v>6.0</v>
      </c>
      <c r="I141" s="11">
        <v>6.0</v>
      </c>
      <c r="J141" s="11">
        <v>540.0</v>
      </c>
      <c r="K141" s="11">
        <v>6.0</v>
      </c>
      <c r="L141" s="12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12">
        <v>0.0</v>
      </c>
      <c r="U141" s="13">
        <v>0.0</v>
      </c>
      <c r="V141" s="13">
        <v>0.0</v>
      </c>
      <c r="W141" s="13">
        <v>0.0</v>
      </c>
      <c r="X141" s="13">
        <v>0.0</v>
      </c>
      <c r="Y141" s="14" t="s">
        <v>947</v>
      </c>
    </row>
    <row r="142">
      <c r="A142" s="74">
        <v>136.0</v>
      </c>
      <c r="B142" s="7" t="s">
        <v>163</v>
      </c>
      <c r="C142" s="8" t="s">
        <v>25</v>
      </c>
      <c r="D142" s="9" t="s">
        <v>83</v>
      </c>
      <c r="E142" s="7" t="s">
        <v>36</v>
      </c>
      <c r="F142" s="9">
        <v>25.0</v>
      </c>
      <c r="G142" s="9">
        <v>1998.0</v>
      </c>
      <c r="H142" s="10">
        <v>26.0</v>
      </c>
      <c r="I142" s="11">
        <v>21.0</v>
      </c>
      <c r="J142" s="15">
        <v>1906.0</v>
      </c>
      <c r="K142" s="11">
        <v>21.2</v>
      </c>
      <c r="L142" s="10">
        <v>1.0</v>
      </c>
      <c r="M142" s="11">
        <v>3.0</v>
      </c>
      <c r="N142" s="11">
        <v>4.0</v>
      </c>
      <c r="O142" s="11">
        <v>1.0</v>
      </c>
      <c r="P142" s="13">
        <v>0.0</v>
      </c>
      <c r="Q142" s="13">
        <v>0.0</v>
      </c>
      <c r="R142" s="13">
        <v>0.0</v>
      </c>
      <c r="S142" s="13">
        <v>0.0</v>
      </c>
      <c r="T142" s="10">
        <v>0.05</v>
      </c>
      <c r="U142" s="11">
        <v>0.14</v>
      </c>
      <c r="V142" s="11">
        <v>0.19</v>
      </c>
      <c r="W142" s="11">
        <v>0.05</v>
      </c>
      <c r="X142" s="11">
        <v>0.19</v>
      </c>
      <c r="Y142" s="14" t="s">
        <v>948</v>
      </c>
    </row>
    <row r="143">
      <c r="A143" s="74">
        <v>137.0</v>
      </c>
      <c r="B143" s="7" t="s">
        <v>111</v>
      </c>
      <c r="C143" s="8" t="s">
        <v>25</v>
      </c>
      <c r="D143" s="9" t="s">
        <v>47</v>
      </c>
      <c r="E143" s="7" t="s">
        <v>27</v>
      </c>
      <c r="F143" s="9">
        <v>23.0</v>
      </c>
      <c r="G143" s="9">
        <v>2000.0</v>
      </c>
      <c r="H143" s="10">
        <v>34.0</v>
      </c>
      <c r="I143" s="11">
        <v>27.0</v>
      </c>
      <c r="J143" s="15">
        <v>2279.0</v>
      </c>
      <c r="K143" s="11">
        <v>25.3</v>
      </c>
      <c r="L143" s="10">
        <v>6.0</v>
      </c>
      <c r="M143" s="11">
        <v>13.0</v>
      </c>
      <c r="N143" s="11">
        <v>19.0</v>
      </c>
      <c r="O143" s="11">
        <v>5.0</v>
      </c>
      <c r="P143" s="11">
        <v>1.0</v>
      </c>
      <c r="Q143" s="11">
        <v>1.0</v>
      </c>
      <c r="R143" s="11">
        <v>2.0</v>
      </c>
      <c r="S143" s="13">
        <v>0.0</v>
      </c>
      <c r="T143" s="10">
        <v>0.24</v>
      </c>
      <c r="U143" s="11">
        <v>0.51</v>
      </c>
      <c r="V143" s="11">
        <v>0.75</v>
      </c>
      <c r="W143" s="11">
        <v>0.2</v>
      </c>
      <c r="X143" s="11">
        <v>0.71</v>
      </c>
      <c r="Y143" s="14" t="s">
        <v>949</v>
      </c>
    </row>
    <row r="144">
      <c r="A144" s="74">
        <v>138.0</v>
      </c>
      <c r="B144" s="7" t="s">
        <v>140</v>
      </c>
      <c r="C144" s="8" t="s">
        <v>25</v>
      </c>
      <c r="D144" s="9" t="s">
        <v>55</v>
      </c>
      <c r="E144" s="7" t="s">
        <v>27</v>
      </c>
      <c r="F144" s="9">
        <v>21.0</v>
      </c>
      <c r="G144" s="9">
        <v>2003.0</v>
      </c>
      <c r="H144" s="10">
        <v>18.0</v>
      </c>
      <c r="I144" s="11">
        <v>2.0</v>
      </c>
      <c r="J144" s="11">
        <v>403.0</v>
      </c>
      <c r="K144" s="11">
        <v>4.5</v>
      </c>
      <c r="L144" s="10">
        <v>1.0</v>
      </c>
      <c r="M144" s="11">
        <v>1.0</v>
      </c>
      <c r="N144" s="11">
        <v>2.0</v>
      </c>
      <c r="O144" s="11">
        <v>1.0</v>
      </c>
      <c r="P144" s="13">
        <v>0.0</v>
      </c>
      <c r="Q144" s="13">
        <v>0.0</v>
      </c>
      <c r="R144" s="11">
        <v>1.0</v>
      </c>
      <c r="S144" s="13">
        <v>0.0</v>
      </c>
      <c r="T144" s="10">
        <v>0.22</v>
      </c>
      <c r="U144" s="11">
        <v>0.22</v>
      </c>
      <c r="V144" s="11">
        <v>0.45</v>
      </c>
      <c r="W144" s="11">
        <v>0.22</v>
      </c>
      <c r="X144" s="11">
        <v>0.45</v>
      </c>
      <c r="Y144" s="14" t="s">
        <v>950</v>
      </c>
    </row>
    <row r="145">
      <c r="A145" s="74">
        <v>139.0</v>
      </c>
      <c r="B145" s="7" t="s">
        <v>403</v>
      </c>
      <c r="C145" s="8" t="s">
        <v>25</v>
      </c>
      <c r="D145" s="9" t="s">
        <v>83</v>
      </c>
      <c r="E145" s="7" t="s">
        <v>44</v>
      </c>
      <c r="F145" s="9">
        <v>20.0</v>
      </c>
      <c r="G145" s="9">
        <v>2003.0</v>
      </c>
      <c r="H145" s="10">
        <v>7.0</v>
      </c>
      <c r="I145" s="11">
        <v>6.0</v>
      </c>
      <c r="J145" s="11">
        <v>528.0</v>
      </c>
      <c r="K145" s="11">
        <v>5.9</v>
      </c>
      <c r="L145" s="12">
        <v>0.0</v>
      </c>
      <c r="M145" s="13">
        <v>0.0</v>
      </c>
      <c r="N145" s="13">
        <v>0.0</v>
      </c>
      <c r="O145" s="13">
        <v>0.0</v>
      </c>
      <c r="P145" s="13">
        <v>0.0</v>
      </c>
      <c r="Q145" s="13">
        <v>0.0</v>
      </c>
      <c r="R145" s="11">
        <v>4.0</v>
      </c>
      <c r="S145" s="11">
        <v>1.0</v>
      </c>
      <c r="T145" s="12">
        <v>0.0</v>
      </c>
      <c r="U145" s="13">
        <v>0.0</v>
      </c>
      <c r="V145" s="13">
        <v>0.0</v>
      </c>
      <c r="W145" s="13">
        <v>0.0</v>
      </c>
      <c r="X145" s="13">
        <v>0.0</v>
      </c>
      <c r="Y145" s="14" t="s">
        <v>951</v>
      </c>
    </row>
    <row r="146">
      <c r="A146" s="74">
        <v>140.0</v>
      </c>
      <c r="B146" s="7" t="s">
        <v>585</v>
      </c>
      <c r="C146" s="8" t="s">
        <v>25</v>
      </c>
      <c r="D146" s="9" t="s">
        <v>87</v>
      </c>
      <c r="E146" s="7" t="s">
        <v>31</v>
      </c>
      <c r="F146" s="9">
        <v>30.0</v>
      </c>
      <c r="G146" s="9">
        <v>1994.0</v>
      </c>
      <c r="H146" s="10">
        <v>12.0</v>
      </c>
      <c r="I146" s="11">
        <v>9.0</v>
      </c>
      <c r="J146" s="11">
        <v>602.0</v>
      </c>
      <c r="K146" s="11">
        <v>6.7</v>
      </c>
      <c r="L146" s="12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0.0</v>
      </c>
      <c r="R146" s="11">
        <v>1.0</v>
      </c>
      <c r="S146" s="13">
        <v>0.0</v>
      </c>
      <c r="T146" s="12">
        <v>0.0</v>
      </c>
      <c r="U146" s="13">
        <v>0.0</v>
      </c>
      <c r="V146" s="13">
        <v>0.0</v>
      </c>
      <c r="W146" s="13">
        <v>0.0</v>
      </c>
      <c r="X146" s="13">
        <v>0.0</v>
      </c>
      <c r="Y146" s="14" t="s">
        <v>952</v>
      </c>
    </row>
    <row r="147">
      <c r="A147" s="74">
        <v>141.0</v>
      </c>
      <c r="B147" s="7" t="s">
        <v>195</v>
      </c>
      <c r="C147" s="8" t="s">
        <v>25</v>
      </c>
      <c r="D147" s="9" t="s">
        <v>26</v>
      </c>
      <c r="E147" s="7" t="s">
        <v>80</v>
      </c>
      <c r="F147" s="9">
        <v>25.0</v>
      </c>
      <c r="G147" s="9">
        <v>1998.0</v>
      </c>
      <c r="H147" s="10">
        <v>13.0</v>
      </c>
      <c r="I147" s="11">
        <v>1.0</v>
      </c>
      <c r="J147" s="11">
        <v>325.0</v>
      </c>
      <c r="K147" s="11">
        <v>3.6</v>
      </c>
      <c r="L147" s="12">
        <v>0.0</v>
      </c>
      <c r="M147" s="13">
        <v>0.0</v>
      </c>
      <c r="N147" s="13">
        <v>0.0</v>
      </c>
      <c r="O147" s="13">
        <v>0.0</v>
      </c>
      <c r="P147" s="13">
        <v>0.0</v>
      </c>
      <c r="Q147" s="13">
        <v>0.0</v>
      </c>
      <c r="R147" s="13">
        <v>0.0</v>
      </c>
      <c r="S147" s="13">
        <v>0.0</v>
      </c>
      <c r="T147" s="12">
        <v>0.0</v>
      </c>
      <c r="U147" s="13">
        <v>0.0</v>
      </c>
      <c r="V147" s="13">
        <v>0.0</v>
      </c>
      <c r="W147" s="13">
        <v>0.0</v>
      </c>
      <c r="X147" s="13">
        <v>0.0</v>
      </c>
      <c r="Y147" s="14" t="s">
        <v>953</v>
      </c>
    </row>
    <row r="148">
      <c r="A148" s="74">
        <v>142.0</v>
      </c>
      <c r="B148" s="7" t="s">
        <v>296</v>
      </c>
      <c r="C148" s="8" t="s">
        <v>25</v>
      </c>
      <c r="D148" s="9" t="s">
        <v>35</v>
      </c>
      <c r="E148" s="7" t="s">
        <v>36</v>
      </c>
      <c r="F148" s="9">
        <v>25.0</v>
      </c>
      <c r="G148" s="9">
        <v>1999.0</v>
      </c>
      <c r="H148" s="10">
        <v>26.0</v>
      </c>
      <c r="I148" s="11">
        <v>20.0</v>
      </c>
      <c r="J148" s="15">
        <v>1943.0</v>
      </c>
      <c r="K148" s="11">
        <v>21.6</v>
      </c>
      <c r="L148" s="10">
        <v>1.0</v>
      </c>
      <c r="M148" s="13">
        <v>0.0</v>
      </c>
      <c r="N148" s="11">
        <v>1.0</v>
      </c>
      <c r="O148" s="11">
        <v>1.0</v>
      </c>
      <c r="P148" s="13">
        <v>0.0</v>
      </c>
      <c r="Q148" s="13">
        <v>0.0</v>
      </c>
      <c r="R148" s="11">
        <v>6.0</v>
      </c>
      <c r="S148" s="11">
        <v>1.0</v>
      </c>
      <c r="T148" s="10">
        <v>0.05</v>
      </c>
      <c r="U148" s="13">
        <v>0.0</v>
      </c>
      <c r="V148" s="11">
        <v>0.05</v>
      </c>
      <c r="W148" s="11">
        <v>0.05</v>
      </c>
      <c r="X148" s="11">
        <v>0.05</v>
      </c>
      <c r="Y148" s="14" t="s">
        <v>954</v>
      </c>
    </row>
    <row r="149">
      <c r="A149" s="74">
        <v>143.0</v>
      </c>
      <c r="B149" s="7" t="s">
        <v>165</v>
      </c>
      <c r="C149" s="8" t="s">
        <v>25</v>
      </c>
      <c r="D149" s="9" t="s">
        <v>77</v>
      </c>
      <c r="E149" s="7" t="s">
        <v>58</v>
      </c>
      <c r="F149" s="9">
        <v>25.0</v>
      </c>
      <c r="G149" s="9">
        <v>1998.0</v>
      </c>
      <c r="H149" s="10">
        <v>36.0</v>
      </c>
      <c r="I149" s="11">
        <v>36.0</v>
      </c>
      <c r="J149" s="15">
        <v>3240.0</v>
      </c>
      <c r="K149" s="11">
        <v>36.0</v>
      </c>
      <c r="L149" s="12">
        <v>0.0</v>
      </c>
      <c r="M149" s="11">
        <v>1.0</v>
      </c>
      <c r="N149" s="11">
        <v>1.0</v>
      </c>
      <c r="O149" s="13">
        <v>0.0</v>
      </c>
      <c r="P149" s="13">
        <v>0.0</v>
      </c>
      <c r="Q149" s="13">
        <v>0.0</v>
      </c>
      <c r="R149" s="11">
        <v>2.0</v>
      </c>
      <c r="S149" s="13">
        <v>0.0</v>
      </c>
      <c r="T149" s="12">
        <v>0.0</v>
      </c>
      <c r="U149" s="11">
        <v>0.03</v>
      </c>
      <c r="V149" s="11">
        <v>0.03</v>
      </c>
      <c r="W149" s="13">
        <v>0.0</v>
      </c>
      <c r="X149" s="11">
        <v>0.03</v>
      </c>
      <c r="Y149" s="14" t="s">
        <v>955</v>
      </c>
    </row>
    <row r="150">
      <c r="A150" s="74">
        <v>144.0</v>
      </c>
      <c r="B150" s="7" t="s">
        <v>550</v>
      </c>
      <c r="C150" s="8" t="s">
        <v>25</v>
      </c>
      <c r="D150" s="9" t="s">
        <v>55</v>
      </c>
      <c r="E150" s="7" t="s">
        <v>27</v>
      </c>
      <c r="F150" s="9">
        <v>28.0</v>
      </c>
      <c r="G150" s="9">
        <v>1995.0</v>
      </c>
      <c r="H150" s="10">
        <v>22.0</v>
      </c>
      <c r="I150" s="11">
        <v>18.0</v>
      </c>
      <c r="J150" s="15">
        <v>1406.0</v>
      </c>
      <c r="K150" s="11">
        <v>15.6</v>
      </c>
      <c r="L150" s="10">
        <v>4.0</v>
      </c>
      <c r="M150" s="13">
        <v>0.0</v>
      </c>
      <c r="N150" s="11">
        <v>4.0</v>
      </c>
      <c r="O150" s="11">
        <v>4.0</v>
      </c>
      <c r="P150" s="13">
        <v>0.0</v>
      </c>
      <c r="Q150" s="13">
        <v>0.0</v>
      </c>
      <c r="R150" s="11">
        <v>2.0</v>
      </c>
      <c r="S150" s="13">
        <v>0.0</v>
      </c>
      <c r="T150" s="10">
        <v>0.26</v>
      </c>
      <c r="U150" s="13">
        <v>0.0</v>
      </c>
      <c r="V150" s="11">
        <v>0.26</v>
      </c>
      <c r="W150" s="11">
        <v>0.26</v>
      </c>
      <c r="X150" s="11">
        <v>0.26</v>
      </c>
      <c r="Y150" s="14" t="s">
        <v>956</v>
      </c>
    </row>
    <row r="151">
      <c r="A151" s="74">
        <v>145.0</v>
      </c>
      <c r="B151" s="7" t="s">
        <v>167</v>
      </c>
      <c r="C151" s="8" t="s">
        <v>25</v>
      </c>
      <c r="D151" s="9" t="s">
        <v>35</v>
      </c>
      <c r="E151" s="7" t="s">
        <v>27</v>
      </c>
      <c r="F151" s="9">
        <v>26.0</v>
      </c>
      <c r="G151" s="9">
        <v>1997.0</v>
      </c>
      <c r="H151" s="10">
        <v>19.0</v>
      </c>
      <c r="I151" s="11">
        <v>18.0</v>
      </c>
      <c r="J151" s="15">
        <v>1561.0</v>
      </c>
      <c r="K151" s="11">
        <v>17.3</v>
      </c>
      <c r="L151" s="10">
        <v>1.0</v>
      </c>
      <c r="M151" s="11">
        <v>1.0</v>
      </c>
      <c r="N151" s="11">
        <v>2.0</v>
      </c>
      <c r="O151" s="11">
        <v>1.0</v>
      </c>
      <c r="P151" s="13">
        <v>0.0</v>
      </c>
      <c r="Q151" s="13">
        <v>0.0</v>
      </c>
      <c r="R151" s="11">
        <v>6.0</v>
      </c>
      <c r="S151" s="13">
        <v>0.0</v>
      </c>
      <c r="T151" s="10">
        <v>0.06</v>
      </c>
      <c r="U151" s="11">
        <v>0.06</v>
      </c>
      <c r="V151" s="11">
        <v>0.12</v>
      </c>
      <c r="W151" s="11">
        <v>0.06</v>
      </c>
      <c r="X151" s="11">
        <v>0.12</v>
      </c>
      <c r="Y151" s="14" t="s">
        <v>957</v>
      </c>
    </row>
    <row r="152">
      <c r="A152" s="74">
        <v>146.0</v>
      </c>
      <c r="B152" s="7" t="s">
        <v>54</v>
      </c>
      <c r="C152" s="8" t="s">
        <v>25</v>
      </c>
      <c r="D152" s="9" t="s">
        <v>55</v>
      </c>
      <c r="E152" s="7" t="s">
        <v>27</v>
      </c>
      <c r="F152" s="9">
        <v>24.0</v>
      </c>
      <c r="G152" s="9">
        <v>1999.0</v>
      </c>
      <c r="H152" s="10">
        <v>11.0</v>
      </c>
      <c r="I152" s="11">
        <v>9.0</v>
      </c>
      <c r="J152" s="11">
        <v>702.0</v>
      </c>
      <c r="K152" s="11">
        <v>7.8</v>
      </c>
      <c r="L152" s="10">
        <v>5.0</v>
      </c>
      <c r="M152" s="13">
        <v>0.0</v>
      </c>
      <c r="N152" s="11">
        <v>5.0</v>
      </c>
      <c r="O152" s="11">
        <v>4.0</v>
      </c>
      <c r="P152" s="11">
        <v>1.0</v>
      </c>
      <c r="Q152" s="11">
        <v>1.0</v>
      </c>
      <c r="R152" s="13">
        <v>0.0</v>
      </c>
      <c r="S152" s="13">
        <v>0.0</v>
      </c>
      <c r="T152" s="10">
        <v>0.64</v>
      </c>
      <c r="U152" s="13">
        <v>0.0</v>
      </c>
      <c r="V152" s="11">
        <v>0.64</v>
      </c>
      <c r="W152" s="11">
        <v>0.51</v>
      </c>
      <c r="X152" s="11">
        <v>0.51</v>
      </c>
      <c r="Y152" s="14" t="s">
        <v>958</v>
      </c>
    </row>
    <row r="153">
      <c r="A153" s="74">
        <v>147.0</v>
      </c>
      <c r="B153" s="7" t="s">
        <v>42</v>
      </c>
      <c r="C153" s="8" t="s">
        <v>43</v>
      </c>
      <c r="D153" s="9" t="s">
        <v>35</v>
      </c>
      <c r="E153" s="7" t="s">
        <v>44</v>
      </c>
      <c r="F153" s="9">
        <v>23.0</v>
      </c>
      <c r="G153" s="9">
        <v>2000.0</v>
      </c>
      <c r="H153" s="10">
        <v>16.0</v>
      </c>
      <c r="I153" s="11">
        <v>12.0</v>
      </c>
      <c r="J153" s="15">
        <v>1121.0</v>
      </c>
      <c r="K153" s="11">
        <v>12.5</v>
      </c>
      <c r="L153" s="10">
        <v>1.0</v>
      </c>
      <c r="M153" s="13">
        <v>0.0</v>
      </c>
      <c r="N153" s="11">
        <v>1.0</v>
      </c>
      <c r="O153" s="11">
        <v>1.0</v>
      </c>
      <c r="P153" s="13">
        <v>0.0</v>
      </c>
      <c r="Q153" s="13">
        <v>0.0</v>
      </c>
      <c r="R153" s="11">
        <v>4.0</v>
      </c>
      <c r="S153" s="13">
        <v>0.0</v>
      </c>
      <c r="T153" s="10">
        <v>0.08</v>
      </c>
      <c r="U153" s="13">
        <v>0.0</v>
      </c>
      <c r="V153" s="11">
        <v>0.08</v>
      </c>
      <c r="W153" s="11">
        <v>0.08</v>
      </c>
      <c r="X153" s="11">
        <v>0.08</v>
      </c>
      <c r="Y153" s="14" t="s">
        <v>959</v>
      </c>
    </row>
    <row r="154">
      <c r="A154" s="74">
        <v>148.0</v>
      </c>
      <c r="B154" s="7" t="s">
        <v>183</v>
      </c>
      <c r="C154" s="8" t="s">
        <v>25</v>
      </c>
      <c r="D154" s="9" t="s">
        <v>26</v>
      </c>
      <c r="E154" s="7" t="s">
        <v>52</v>
      </c>
      <c r="F154" s="9">
        <v>27.0</v>
      </c>
      <c r="G154" s="9">
        <v>1996.0</v>
      </c>
      <c r="H154" s="10">
        <v>26.0</v>
      </c>
      <c r="I154" s="11">
        <v>12.0</v>
      </c>
      <c r="J154" s="15">
        <v>1154.0</v>
      </c>
      <c r="K154" s="11">
        <v>12.8</v>
      </c>
      <c r="L154" s="10">
        <v>1.0</v>
      </c>
      <c r="M154" s="11">
        <v>3.0</v>
      </c>
      <c r="N154" s="11">
        <v>4.0</v>
      </c>
      <c r="O154" s="11">
        <v>1.0</v>
      </c>
      <c r="P154" s="13">
        <v>0.0</v>
      </c>
      <c r="Q154" s="13">
        <v>0.0</v>
      </c>
      <c r="R154" s="11">
        <v>2.0</v>
      </c>
      <c r="S154" s="13">
        <v>0.0</v>
      </c>
      <c r="T154" s="10">
        <v>0.08</v>
      </c>
      <c r="U154" s="11">
        <v>0.23</v>
      </c>
      <c r="V154" s="11">
        <v>0.31</v>
      </c>
      <c r="W154" s="11">
        <v>0.08</v>
      </c>
      <c r="X154" s="11">
        <v>0.31</v>
      </c>
      <c r="Y154" s="14" t="s">
        <v>960</v>
      </c>
    </row>
    <row r="155">
      <c r="A155" s="74">
        <v>149.0</v>
      </c>
      <c r="B155" s="7" t="s">
        <v>241</v>
      </c>
      <c r="C155" s="8" t="s">
        <v>97</v>
      </c>
      <c r="D155" s="9" t="s">
        <v>55</v>
      </c>
      <c r="E155" s="7" t="s">
        <v>80</v>
      </c>
      <c r="F155" s="9">
        <v>18.0</v>
      </c>
      <c r="G155" s="9">
        <v>2005.0</v>
      </c>
      <c r="H155" s="10">
        <v>25.0</v>
      </c>
      <c r="I155" s="11">
        <v>9.0</v>
      </c>
      <c r="J155" s="11">
        <v>864.0</v>
      </c>
      <c r="K155" s="11">
        <v>9.6</v>
      </c>
      <c r="L155" s="10">
        <v>2.0</v>
      </c>
      <c r="M155" s="11">
        <v>1.0</v>
      </c>
      <c r="N155" s="11">
        <v>3.0</v>
      </c>
      <c r="O155" s="11">
        <v>2.0</v>
      </c>
      <c r="P155" s="13">
        <v>0.0</v>
      </c>
      <c r="Q155" s="13">
        <v>0.0</v>
      </c>
      <c r="R155" s="11">
        <v>5.0</v>
      </c>
      <c r="S155" s="13">
        <v>0.0</v>
      </c>
      <c r="T155" s="10">
        <v>0.21</v>
      </c>
      <c r="U155" s="11">
        <v>0.1</v>
      </c>
      <c r="V155" s="11">
        <v>0.31</v>
      </c>
      <c r="W155" s="11">
        <v>0.21</v>
      </c>
      <c r="X155" s="11">
        <v>0.31</v>
      </c>
      <c r="Y155" s="14" t="s">
        <v>961</v>
      </c>
    </row>
    <row r="156">
      <c r="A156" s="74">
        <v>150.0</v>
      </c>
      <c r="B156" s="7" t="s">
        <v>350</v>
      </c>
      <c r="C156" s="8" t="s">
        <v>25</v>
      </c>
      <c r="D156" s="9" t="s">
        <v>55</v>
      </c>
      <c r="E156" s="7" t="s">
        <v>31</v>
      </c>
      <c r="F156" s="9">
        <v>20.0</v>
      </c>
      <c r="G156" s="9">
        <v>2003.0</v>
      </c>
      <c r="H156" s="10">
        <v>29.0</v>
      </c>
      <c r="I156" s="11">
        <v>19.0</v>
      </c>
      <c r="J156" s="15">
        <v>1706.0</v>
      </c>
      <c r="K156" s="11">
        <v>19.0</v>
      </c>
      <c r="L156" s="10">
        <v>13.0</v>
      </c>
      <c r="M156" s="11">
        <v>2.0</v>
      </c>
      <c r="N156" s="11">
        <v>15.0</v>
      </c>
      <c r="O156" s="11">
        <v>13.0</v>
      </c>
      <c r="P156" s="13">
        <v>0.0</v>
      </c>
      <c r="Q156" s="13">
        <v>0.0</v>
      </c>
      <c r="R156" s="11">
        <v>5.0</v>
      </c>
      <c r="S156" s="13">
        <v>0.0</v>
      </c>
      <c r="T156" s="10">
        <v>0.69</v>
      </c>
      <c r="U156" s="11">
        <v>0.11</v>
      </c>
      <c r="V156" s="11">
        <v>0.79</v>
      </c>
      <c r="W156" s="11">
        <v>0.69</v>
      </c>
      <c r="X156" s="11">
        <v>0.79</v>
      </c>
      <c r="Y156" s="14" t="s">
        <v>962</v>
      </c>
    </row>
    <row r="157">
      <c r="A157" s="74">
        <v>151.0</v>
      </c>
      <c r="B157" s="7" t="s">
        <v>587</v>
      </c>
      <c r="C157" s="8" t="s">
        <v>25</v>
      </c>
      <c r="D157" s="9" t="s">
        <v>588</v>
      </c>
      <c r="E157" s="7" t="s">
        <v>80</v>
      </c>
      <c r="F157" s="9">
        <v>17.0</v>
      </c>
      <c r="G157" s="9">
        <v>2006.0</v>
      </c>
      <c r="H157" s="10">
        <v>11.0</v>
      </c>
      <c r="I157" s="11">
        <v>10.0</v>
      </c>
      <c r="J157" s="11">
        <v>785.0</v>
      </c>
      <c r="K157" s="11">
        <v>8.7</v>
      </c>
      <c r="L157" s="12">
        <v>0.0</v>
      </c>
      <c r="M157" s="13">
        <v>0.0</v>
      </c>
      <c r="N157" s="13">
        <v>0.0</v>
      </c>
      <c r="O157" s="13">
        <v>0.0</v>
      </c>
      <c r="P157" s="13">
        <v>0.0</v>
      </c>
      <c r="Q157" s="13">
        <v>0.0</v>
      </c>
      <c r="R157" s="11">
        <v>5.0</v>
      </c>
      <c r="S157" s="13">
        <v>0.0</v>
      </c>
      <c r="T157" s="12">
        <v>0.0</v>
      </c>
      <c r="U157" s="13">
        <v>0.0</v>
      </c>
      <c r="V157" s="13">
        <v>0.0</v>
      </c>
      <c r="W157" s="13">
        <v>0.0</v>
      </c>
      <c r="X157" s="13">
        <v>0.0</v>
      </c>
      <c r="Y157" s="14" t="s">
        <v>963</v>
      </c>
    </row>
    <row r="158">
      <c r="A158" s="74">
        <v>152.0</v>
      </c>
      <c r="B158" s="7" t="s">
        <v>335</v>
      </c>
      <c r="C158" s="8" t="s">
        <v>25</v>
      </c>
      <c r="D158" s="9" t="s">
        <v>26</v>
      </c>
      <c r="E158" s="7" t="s">
        <v>62</v>
      </c>
      <c r="F158" s="9">
        <v>33.0</v>
      </c>
      <c r="G158" s="9">
        <v>1991.0</v>
      </c>
      <c r="H158" s="10">
        <v>15.0</v>
      </c>
      <c r="I158" s="11">
        <v>15.0</v>
      </c>
      <c r="J158" s="15">
        <v>1342.0</v>
      </c>
      <c r="K158" s="11">
        <v>14.9</v>
      </c>
      <c r="L158" s="10">
        <v>2.0</v>
      </c>
      <c r="M158" s="13">
        <v>0.0</v>
      </c>
      <c r="N158" s="11">
        <v>2.0</v>
      </c>
      <c r="O158" s="11">
        <v>2.0</v>
      </c>
      <c r="P158" s="13">
        <v>0.0</v>
      </c>
      <c r="Q158" s="13">
        <v>0.0</v>
      </c>
      <c r="R158" s="13">
        <v>0.0</v>
      </c>
      <c r="S158" s="13">
        <v>0.0</v>
      </c>
      <c r="T158" s="10">
        <v>0.13</v>
      </c>
      <c r="U158" s="13">
        <v>0.0</v>
      </c>
      <c r="V158" s="11">
        <v>0.13</v>
      </c>
      <c r="W158" s="11">
        <v>0.13</v>
      </c>
      <c r="X158" s="11">
        <v>0.13</v>
      </c>
      <c r="Y158" s="14" t="s">
        <v>964</v>
      </c>
    </row>
    <row r="159">
      <c r="A159" s="74">
        <v>153.0</v>
      </c>
      <c r="B159" s="7" t="s">
        <v>495</v>
      </c>
      <c r="C159" s="8" t="s">
        <v>25</v>
      </c>
      <c r="D159" s="9" t="s">
        <v>35</v>
      </c>
      <c r="E159" s="7" t="s">
        <v>44</v>
      </c>
      <c r="F159" s="9">
        <v>25.0</v>
      </c>
      <c r="G159" s="9">
        <v>1998.0</v>
      </c>
      <c r="H159" s="10">
        <v>33.0</v>
      </c>
      <c r="I159" s="11">
        <v>31.0</v>
      </c>
      <c r="J159" s="15">
        <v>2769.0</v>
      </c>
      <c r="K159" s="11">
        <v>30.8</v>
      </c>
      <c r="L159" s="12">
        <v>0.0</v>
      </c>
      <c r="M159" s="11">
        <v>1.0</v>
      </c>
      <c r="N159" s="11">
        <v>1.0</v>
      </c>
      <c r="O159" s="13">
        <v>0.0</v>
      </c>
      <c r="P159" s="13">
        <v>0.0</v>
      </c>
      <c r="Q159" s="13">
        <v>0.0</v>
      </c>
      <c r="R159" s="11">
        <v>9.0</v>
      </c>
      <c r="S159" s="13">
        <v>0.0</v>
      </c>
      <c r="T159" s="12">
        <v>0.0</v>
      </c>
      <c r="U159" s="11">
        <v>0.03</v>
      </c>
      <c r="V159" s="11">
        <v>0.03</v>
      </c>
      <c r="W159" s="13">
        <v>0.0</v>
      </c>
      <c r="X159" s="11">
        <v>0.03</v>
      </c>
      <c r="Y159" s="14" t="s">
        <v>965</v>
      </c>
    </row>
    <row r="160">
      <c r="A160" s="74">
        <v>154.0</v>
      </c>
      <c r="B160" s="7" t="s">
        <v>463</v>
      </c>
      <c r="C160" s="8"/>
      <c r="D160" s="9" t="s">
        <v>55</v>
      </c>
      <c r="E160" s="7" t="s">
        <v>31</v>
      </c>
      <c r="F160" s="16"/>
      <c r="G160" s="16"/>
      <c r="H160" s="10">
        <v>1.0</v>
      </c>
      <c r="I160" s="13">
        <v>0.0</v>
      </c>
      <c r="J160" s="11">
        <v>23.0</v>
      </c>
      <c r="K160" s="11">
        <v>0.3</v>
      </c>
      <c r="L160" s="12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  <c r="T160" s="12">
        <v>0.0</v>
      </c>
      <c r="U160" s="13">
        <v>0.0</v>
      </c>
      <c r="V160" s="13">
        <v>0.0</v>
      </c>
      <c r="W160" s="13">
        <v>0.0</v>
      </c>
      <c r="X160" s="13">
        <v>0.0</v>
      </c>
      <c r="Y160" s="14" t="s">
        <v>966</v>
      </c>
    </row>
    <row r="161">
      <c r="A161" s="74">
        <v>155.0</v>
      </c>
      <c r="B161" s="7" t="s">
        <v>100</v>
      </c>
      <c r="C161" s="8" t="s">
        <v>101</v>
      </c>
      <c r="D161" s="9" t="s">
        <v>35</v>
      </c>
      <c r="E161" s="7" t="s">
        <v>44</v>
      </c>
      <c r="F161" s="9">
        <v>23.0</v>
      </c>
      <c r="G161" s="9">
        <v>2000.0</v>
      </c>
      <c r="H161" s="10">
        <v>2.0</v>
      </c>
      <c r="I161" s="11">
        <v>1.0</v>
      </c>
      <c r="J161" s="11">
        <v>60.0</v>
      </c>
      <c r="K161" s="11">
        <v>0.7</v>
      </c>
      <c r="L161" s="12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12">
        <v>0.0</v>
      </c>
      <c r="U161" s="13">
        <v>0.0</v>
      </c>
      <c r="V161" s="13">
        <v>0.0</v>
      </c>
      <c r="W161" s="13">
        <v>0.0</v>
      </c>
      <c r="X161" s="13">
        <v>0.0</v>
      </c>
      <c r="Y161" s="14" t="s">
        <v>967</v>
      </c>
    </row>
    <row r="162">
      <c r="A162" s="74">
        <v>156.0</v>
      </c>
      <c r="B162" s="7" t="s">
        <v>199</v>
      </c>
      <c r="C162" s="8" t="s">
        <v>25</v>
      </c>
      <c r="D162" s="9" t="s">
        <v>35</v>
      </c>
      <c r="E162" s="7" t="s">
        <v>98</v>
      </c>
      <c r="F162" s="9">
        <v>25.0</v>
      </c>
      <c r="G162" s="9">
        <v>1998.0</v>
      </c>
      <c r="H162" s="10">
        <v>33.0</v>
      </c>
      <c r="I162" s="11">
        <v>32.0</v>
      </c>
      <c r="J162" s="15">
        <v>2815.0</v>
      </c>
      <c r="K162" s="11">
        <v>31.3</v>
      </c>
      <c r="L162" s="10">
        <v>2.0</v>
      </c>
      <c r="M162" s="11">
        <v>3.0</v>
      </c>
      <c r="N162" s="11">
        <v>5.0</v>
      </c>
      <c r="O162" s="11">
        <v>2.0</v>
      </c>
      <c r="P162" s="13">
        <v>0.0</v>
      </c>
      <c r="Q162" s="13">
        <v>0.0</v>
      </c>
      <c r="R162" s="11">
        <v>7.0</v>
      </c>
      <c r="S162" s="11">
        <v>1.0</v>
      </c>
      <c r="T162" s="10">
        <v>0.06</v>
      </c>
      <c r="U162" s="11">
        <v>0.1</v>
      </c>
      <c r="V162" s="11">
        <v>0.16</v>
      </c>
      <c r="W162" s="11">
        <v>0.06</v>
      </c>
      <c r="X162" s="11">
        <v>0.16</v>
      </c>
      <c r="Y162" s="14" t="s">
        <v>968</v>
      </c>
    </row>
    <row r="163">
      <c r="A163" s="74">
        <v>157.0</v>
      </c>
      <c r="B163" s="7" t="s">
        <v>384</v>
      </c>
      <c r="C163" s="8" t="s">
        <v>25</v>
      </c>
      <c r="D163" s="9" t="s">
        <v>47</v>
      </c>
      <c r="E163" s="7" t="s">
        <v>27</v>
      </c>
      <c r="F163" s="9">
        <v>21.0</v>
      </c>
      <c r="G163" s="9">
        <v>2002.0</v>
      </c>
      <c r="H163" s="10">
        <v>33.0</v>
      </c>
      <c r="I163" s="11">
        <v>20.0</v>
      </c>
      <c r="J163" s="15">
        <v>1875.0</v>
      </c>
      <c r="K163" s="11">
        <v>20.8</v>
      </c>
      <c r="L163" s="12">
        <v>0.0</v>
      </c>
      <c r="M163" s="11">
        <v>1.0</v>
      </c>
      <c r="N163" s="11">
        <v>1.0</v>
      </c>
      <c r="O163" s="13">
        <v>0.0</v>
      </c>
      <c r="P163" s="13">
        <v>0.0</v>
      </c>
      <c r="Q163" s="13">
        <v>0.0</v>
      </c>
      <c r="R163" s="11">
        <v>2.0</v>
      </c>
      <c r="S163" s="13">
        <v>0.0</v>
      </c>
      <c r="T163" s="12">
        <v>0.0</v>
      </c>
      <c r="U163" s="11">
        <v>0.05</v>
      </c>
      <c r="V163" s="11">
        <v>0.05</v>
      </c>
      <c r="W163" s="13">
        <v>0.0</v>
      </c>
      <c r="X163" s="11">
        <v>0.05</v>
      </c>
      <c r="Y163" s="14" t="s">
        <v>969</v>
      </c>
    </row>
    <row r="164">
      <c r="A164" s="74">
        <v>158.0</v>
      </c>
      <c r="B164" s="7" t="s">
        <v>378</v>
      </c>
      <c r="C164" s="8" t="s">
        <v>25</v>
      </c>
      <c r="D164" s="9" t="s">
        <v>35</v>
      </c>
      <c r="E164" s="7" t="s">
        <v>58</v>
      </c>
      <c r="F164" s="9">
        <v>22.0</v>
      </c>
      <c r="G164" s="9">
        <v>2001.0</v>
      </c>
      <c r="H164" s="10">
        <v>33.0</v>
      </c>
      <c r="I164" s="11">
        <v>22.0</v>
      </c>
      <c r="J164" s="15">
        <v>2156.0</v>
      </c>
      <c r="K164" s="11">
        <v>24.0</v>
      </c>
      <c r="L164" s="12">
        <v>0.0</v>
      </c>
      <c r="M164" s="13">
        <v>0.0</v>
      </c>
      <c r="N164" s="13">
        <v>0.0</v>
      </c>
      <c r="O164" s="13">
        <v>0.0</v>
      </c>
      <c r="P164" s="13">
        <v>0.0</v>
      </c>
      <c r="Q164" s="13">
        <v>0.0</v>
      </c>
      <c r="R164" s="11">
        <v>3.0</v>
      </c>
      <c r="S164" s="13">
        <v>0.0</v>
      </c>
      <c r="T164" s="12">
        <v>0.0</v>
      </c>
      <c r="U164" s="13">
        <v>0.0</v>
      </c>
      <c r="V164" s="13">
        <v>0.0</v>
      </c>
      <c r="W164" s="13">
        <v>0.0</v>
      </c>
      <c r="X164" s="13">
        <v>0.0</v>
      </c>
      <c r="Y164" s="14" t="s">
        <v>970</v>
      </c>
    </row>
    <row r="165">
      <c r="A165" s="74">
        <v>159.0</v>
      </c>
      <c r="B165" s="7" t="s">
        <v>321</v>
      </c>
      <c r="C165" s="8" t="s">
        <v>25</v>
      </c>
      <c r="D165" s="9" t="s">
        <v>26</v>
      </c>
      <c r="E165" s="7" t="s">
        <v>27</v>
      </c>
      <c r="F165" s="9">
        <v>25.0</v>
      </c>
      <c r="G165" s="9">
        <v>1998.0</v>
      </c>
      <c r="H165" s="10">
        <v>34.0</v>
      </c>
      <c r="I165" s="11">
        <v>33.0</v>
      </c>
      <c r="J165" s="15">
        <v>2940.0</v>
      </c>
      <c r="K165" s="11">
        <v>32.7</v>
      </c>
      <c r="L165" s="10">
        <v>2.0</v>
      </c>
      <c r="M165" s="11">
        <v>1.0</v>
      </c>
      <c r="N165" s="11">
        <v>3.0</v>
      </c>
      <c r="O165" s="11">
        <v>2.0</v>
      </c>
      <c r="P165" s="13">
        <v>0.0</v>
      </c>
      <c r="Q165" s="13">
        <v>0.0</v>
      </c>
      <c r="R165" s="11">
        <v>12.0</v>
      </c>
      <c r="S165" s="13">
        <v>0.0</v>
      </c>
      <c r="T165" s="10">
        <v>0.06</v>
      </c>
      <c r="U165" s="11">
        <v>0.03</v>
      </c>
      <c r="V165" s="11">
        <v>0.09</v>
      </c>
      <c r="W165" s="11">
        <v>0.06</v>
      </c>
      <c r="X165" s="11">
        <v>0.09</v>
      </c>
      <c r="Y165" s="14" t="s">
        <v>971</v>
      </c>
    </row>
    <row r="166">
      <c r="A166" s="74">
        <v>160.0</v>
      </c>
      <c r="B166" s="7" t="s">
        <v>630</v>
      </c>
      <c r="C166" s="8" t="s">
        <v>25</v>
      </c>
      <c r="D166" s="9" t="s">
        <v>35</v>
      </c>
      <c r="E166" s="7" t="s">
        <v>80</v>
      </c>
      <c r="F166" s="9">
        <v>15.0</v>
      </c>
      <c r="G166" s="9">
        <v>2008.0</v>
      </c>
      <c r="H166" s="10">
        <v>1.0</v>
      </c>
      <c r="I166" s="13">
        <v>0.0</v>
      </c>
      <c r="J166" s="11">
        <v>8.0</v>
      </c>
      <c r="K166" s="11">
        <v>0.1</v>
      </c>
      <c r="L166" s="12">
        <v>0.0</v>
      </c>
      <c r="M166" s="13">
        <v>0.0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2">
        <v>0.0</v>
      </c>
      <c r="U166" s="13">
        <v>0.0</v>
      </c>
      <c r="V166" s="13">
        <v>0.0</v>
      </c>
      <c r="W166" s="13">
        <v>0.0</v>
      </c>
      <c r="X166" s="13">
        <v>0.0</v>
      </c>
      <c r="Y166" s="14" t="s">
        <v>972</v>
      </c>
    </row>
    <row r="167">
      <c r="A167" s="74">
        <v>161.0</v>
      </c>
      <c r="B167" s="7" t="s">
        <v>471</v>
      </c>
      <c r="C167" s="8" t="s">
        <v>446</v>
      </c>
      <c r="D167" s="9" t="s">
        <v>35</v>
      </c>
      <c r="E167" s="7" t="s">
        <v>44</v>
      </c>
      <c r="F167" s="9">
        <v>26.0</v>
      </c>
      <c r="G167" s="9">
        <v>1997.0</v>
      </c>
      <c r="H167" s="10">
        <v>8.0</v>
      </c>
      <c r="I167" s="11">
        <v>7.0</v>
      </c>
      <c r="J167" s="11">
        <v>642.0</v>
      </c>
      <c r="K167" s="11">
        <v>7.1</v>
      </c>
      <c r="L167" s="12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2">
        <v>0.0</v>
      </c>
      <c r="U167" s="13">
        <v>0.0</v>
      </c>
      <c r="V167" s="13">
        <v>0.0</v>
      </c>
      <c r="W167" s="13">
        <v>0.0</v>
      </c>
      <c r="X167" s="13">
        <v>0.0</v>
      </c>
      <c r="Y167" s="14" t="s">
        <v>973</v>
      </c>
    </row>
    <row r="168">
      <c r="A168" s="74">
        <v>162.0</v>
      </c>
      <c r="B168" s="7" t="s">
        <v>256</v>
      </c>
      <c r="C168" s="8" t="s">
        <v>25</v>
      </c>
      <c r="D168" s="9" t="s">
        <v>55</v>
      </c>
      <c r="E168" s="7" t="s">
        <v>62</v>
      </c>
      <c r="F168" s="9">
        <v>23.0</v>
      </c>
      <c r="G168" s="9">
        <v>2000.0</v>
      </c>
      <c r="H168" s="10">
        <v>20.0</v>
      </c>
      <c r="I168" s="11">
        <v>2.0</v>
      </c>
      <c r="J168" s="11">
        <v>417.0</v>
      </c>
      <c r="K168" s="11">
        <v>4.6</v>
      </c>
      <c r="L168" s="10">
        <v>1.0</v>
      </c>
      <c r="M168" s="13">
        <v>0.0</v>
      </c>
      <c r="N168" s="11">
        <v>1.0</v>
      </c>
      <c r="O168" s="11">
        <v>1.0</v>
      </c>
      <c r="P168" s="13">
        <v>0.0</v>
      </c>
      <c r="Q168" s="11">
        <v>1.0</v>
      </c>
      <c r="R168" s="11">
        <v>1.0</v>
      </c>
      <c r="S168" s="13">
        <v>0.0</v>
      </c>
      <c r="T168" s="10">
        <v>0.22</v>
      </c>
      <c r="U168" s="13">
        <v>0.0</v>
      </c>
      <c r="V168" s="11">
        <v>0.22</v>
      </c>
      <c r="W168" s="11">
        <v>0.22</v>
      </c>
      <c r="X168" s="11">
        <v>0.22</v>
      </c>
      <c r="Y168" s="14" t="s">
        <v>974</v>
      </c>
    </row>
    <row r="169">
      <c r="A169" s="74">
        <v>163.0</v>
      </c>
      <c r="B169" s="7" t="s">
        <v>352</v>
      </c>
      <c r="C169" s="8" t="s">
        <v>25</v>
      </c>
      <c r="D169" s="9" t="s">
        <v>26</v>
      </c>
      <c r="E169" s="7" t="s">
        <v>58</v>
      </c>
      <c r="F169" s="9">
        <v>25.0</v>
      </c>
      <c r="G169" s="9">
        <v>1998.0</v>
      </c>
      <c r="H169" s="10">
        <v>31.0</v>
      </c>
      <c r="I169" s="11">
        <v>29.0</v>
      </c>
      <c r="J169" s="15">
        <v>2517.0</v>
      </c>
      <c r="K169" s="11">
        <v>28.0</v>
      </c>
      <c r="L169" s="12">
        <v>0.0</v>
      </c>
      <c r="M169" s="11">
        <v>1.0</v>
      </c>
      <c r="N169" s="11">
        <v>1.0</v>
      </c>
      <c r="O169" s="13">
        <v>0.0</v>
      </c>
      <c r="P169" s="13">
        <v>0.0</v>
      </c>
      <c r="Q169" s="13">
        <v>0.0</v>
      </c>
      <c r="R169" s="11">
        <v>7.0</v>
      </c>
      <c r="S169" s="13">
        <v>0.0</v>
      </c>
      <c r="T169" s="12">
        <v>0.0</v>
      </c>
      <c r="U169" s="11">
        <v>0.04</v>
      </c>
      <c r="V169" s="11">
        <v>0.04</v>
      </c>
      <c r="W169" s="13">
        <v>0.0</v>
      </c>
      <c r="X169" s="11">
        <v>0.04</v>
      </c>
      <c r="Y169" s="14" t="s">
        <v>975</v>
      </c>
    </row>
    <row r="170">
      <c r="A170" s="74">
        <v>164.0</v>
      </c>
      <c r="B170" s="7" t="s">
        <v>285</v>
      </c>
      <c r="C170" s="8" t="s">
        <v>34</v>
      </c>
      <c r="D170" s="9" t="s">
        <v>26</v>
      </c>
      <c r="E170" s="7" t="s">
        <v>98</v>
      </c>
      <c r="F170" s="9">
        <v>23.0</v>
      </c>
      <c r="G170" s="9">
        <v>2001.0</v>
      </c>
      <c r="H170" s="10">
        <v>13.0</v>
      </c>
      <c r="I170" s="11">
        <v>8.0</v>
      </c>
      <c r="J170" s="11">
        <v>692.0</v>
      </c>
      <c r="K170" s="11">
        <v>7.7</v>
      </c>
      <c r="L170" s="12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1">
        <v>2.0</v>
      </c>
      <c r="S170" s="13">
        <v>0.0</v>
      </c>
      <c r="T170" s="12">
        <v>0.0</v>
      </c>
      <c r="U170" s="13">
        <v>0.0</v>
      </c>
      <c r="V170" s="13">
        <v>0.0</v>
      </c>
      <c r="W170" s="13">
        <v>0.0</v>
      </c>
      <c r="X170" s="13">
        <v>0.0</v>
      </c>
      <c r="Y170" s="14" t="s">
        <v>976</v>
      </c>
    </row>
    <row r="171">
      <c r="A171" s="74">
        <v>165.0</v>
      </c>
      <c r="B171" s="7" t="s">
        <v>115</v>
      </c>
      <c r="C171" s="8" t="s">
        <v>25</v>
      </c>
      <c r="D171" s="9" t="s">
        <v>77</v>
      </c>
      <c r="E171" s="7" t="s">
        <v>52</v>
      </c>
      <c r="F171" s="9">
        <v>23.0</v>
      </c>
      <c r="G171" s="9">
        <v>2000.0</v>
      </c>
      <c r="H171" s="10">
        <v>36.0</v>
      </c>
      <c r="I171" s="11">
        <v>36.0</v>
      </c>
      <c r="J171" s="15">
        <v>3240.0</v>
      </c>
      <c r="K171" s="11">
        <v>36.0</v>
      </c>
      <c r="L171" s="12">
        <v>0.0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1">
        <v>3.0</v>
      </c>
      <c r="S171" s="13">
        <v>0.0</v>
      </c>
      <c r="T171" s="12">
        <v>0.0</v>
      </c>
      <c r="U171" s="13">
        <v>0.0</v>
      </c>
      <c r="V171" s="13">
        <v>0.0</v>
      </c>
      <c r="W171" s="13">
        <v>0.0</v>
      </c>
      <c r="X171" s="13">
        <v>0.0</v>
      </c>
      <c r="Y171" s="14" t="s">
        <v>977</v>
      </c>
    </row>
    <row r="172">
      <c r="A172" s="74">
        <v>166.0</v>
      </c>
      <c r="B172" s="7" t="s">
        <v>339</v>
      </c>
      <c r="C172" s="8" t="s">
        <v>25</v>
      </c>
      <c r="D172" s="9" t="s">
        <v>35</v>
      </c>
      <c r="E172" s="7" t="s">
        <v>128</v>
      </c>
      <c r="F172" s="9">
        <v>24.0</v>
      </c>
      <c r="G172" s="9">
        <v>1999.0</v>
      </c>
      <c r="H172" s="10">
        <v>2.0</v>
      </c>
      <c r="I172" s="11">
        <v>1.0</v>
      </c>
      <c r="J172" s="11">
        <v>74.0</v>
      </c>
      <c r="K172" s="11">
        <v>0.8</v>
      </c>
      <c r="L172" s="12">
        <v>0.0</v>
      </c>
      <c r="M172" s="13">
        <v>0.0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0.0</v>
      </c>
      <c r="T172" s="12">
        <v>0.0</v>
      </c>
      <c r="U172" s="13">
        <v>0.0</v>
      </c>
      <c r="V172" s="13">
        <v>0.0</v>
      </c>
      <c r="W172" s="13">
        <v>0.0</v>
      </c>
      <c r="X172" s="13">
        <v>0.0</v>
      </c>
      <c r="Y172" s="14" t="s">
        <v>978</v>
      </c>
    </row>
    <row r="173">
      <c r="A173" s="74">
        <v>167.0</v>
      </c>
      <c r="B173" s="7" t="s">
        <v>534</v>
      </c>
      <c r="C173" s="8" t="s">
        <v>25</v>
      </c>
      <c r="D173" s="9" t="s">
        <v>47</v>
      </c>
      <c r="E173" s="7" t="s">
        <v>80</v>
      </c>
      <c r="F173" s="9">
        <v>20.0</v>
      </c>
      <c r="G173" s="9">
        <v>2003.0</v>
      </c>
      <c r="H173" s="10">
        <v>19.0</v>
      </c>
      <c r="I173" s="11">
        <v>7.0</v>
      </c>
      <c r="J173" s="11">
        <v>623.0</v>
      </c>
      <c r="K173" s="11">
        <v>6.9</v>
      </c>
      <c r="L173" s="12">
        <v>0.0</v>
      </c>
      <c r="M173" s="11">
        <v>1.0</v>
      </c>
      <c r="N173" s="11">
        <v>1.0</v>
      </c>
      <c r="O173" s="13">
        <v>0.0</v>
      </c>
      <c r="P173" s="13">
        <v>0.0</v>
      </c>
      <c r="Q173" s="13">
        <v>0.0</v>
      </c>
      <c r="R173" s="11">
        <v>1.0</v>
      </c>
      <c r="S173" s="13">
        <v>0.0</v>
      </c>
      <c r="T173" s="12">
        <v>0.0</v>
      </c>
      <c r="U173" s="11">
        <v>0.14</v>
      </c>
      <c r="V173" s="11">
        <v>0.14</v>
      </c>
      <c r="W173" s="13">
        <v>0.0</v>
      </c>
      <c r="X173" s="11">
        <v>0.14</v>
      </c>
      <c r="Y173" s="14" t="s">
        <v>979</v>
      </c>
    </row>
    <row r="174">
      <c r="A174" s="74">
        <v>168.0</v>
      </c>
      <c r="B174" s="7" t="s">
        <v>159</v>
      </c>
      <c r="C174" s="8" t="s">
        <v>34</v>
      </c>
      <c r="D174" s="9" t="s">
        <v>26</v>
      </c>
      <c r="E174" s="7" t="s">
        <v>128</v>
      </c>
      <c r="F174" s="9">
        <v>23.0</v>
      </c>
      <c r="G174" s="9">
        <v>2000.0</v>
      </c>
      <c r="H174" s="10">
        <v>35.0</v>
      </c>
      <c r="I174" s="11">
        <v>35.0</v>
      </c>
      <c r="J174" s="15">
        <v>2963.0</v>
      </c>
      <c r="K174" s="11">
        <v>32.9</v>
      </c>
      <c r="L174" s="10">
        <v>4.0</v>
      </c>
      <c r="M174" s="13">
        <v>0.0</v>
      </c>
      <c r="N174" s="11">
        <v>4.0</v>
      </c>
      <c r="O174" s="11">
        <v>4.0</v>
      </c>
      <c r="P174" s="13">
        <v>0.0</v>
      </c>
      <c r="Q174" s="13">
        <v>0.0</v>
      </c>
      <c r="R174" s="11">
        <v>7.0</v>
      </c>
      <c r="S174" s="13">
        <v>0.0</v>
      </c>
      <c r="T174" s="10">
        <v>0.12</v>
      </c>
      <c r="U174" s="13">
        <v>0.0</v>
      </c>
      <c r="V174" s="11">
        <v>0.12</v>
      </c>
      <c r="W174" s="11">
        <v>0.12</v>
      </c>
      <c r="X174" s="11">
        <v>0.12</v>
      </c>
      <c r="Y174" s="14" t="s">
        <v>980</v>
      </c>
    </row>
    <row r="175">
      <c r="A175" s="74">
        <v>169.0</v>
      </c>
      <c r="B175" s="7" t="s">
        <v>614</v>
      </c>
      <c r="C175" s="8" t="s">
        <v>25</v>
      </c>
      <c r="D175" s="9" t="s">
        <v>26</v>
      </c>
      <c r="E175" s="7" t="s">
        <v>128</v>
      </c>
      <c r="F175" s="9">
        <v>24.0</v>
      </c>
      <c r="G175" s="9">
        <v>1999.0</v>
      </c>
      <c r="H175" s="10">
        <v>6.0</v>
      </c>
      <c r="I175" s="11">
        <v>4.0</v>
      </c>
      <c r="J175" s="11">
        <v>289.0</v>
      </c>
      <c r="K175" s="11">
        <v>3.2</v>
      </c>
      <c r="L175" s="12">
        <v>0.0</v>
      </c>
      <c r="M175" s="13">
        <v>0.0</v>
      </c>
      <c r="N175" s="13">
        <v>0.0</v>
      </c>
      <c r="O175" s="13">
        <v>0.0</v>
      </c>
      <c r="P175" s="13">
        <v>0.0</v>
      </c>
      <c r="Q175" s="13">
        <v>0.0</v>
      </c>
      <c r="R175" s="11">
        <v>2.0</v>
      </c>
      <c r="S175" s="11">
        <v>1.0</v>
      </c>
      <c r="T175" s="12">
        <v>0.0</v>
      </c>
      <c r="U175" s="13">
        <v>0.0</v>
      </c>
      <c r="V175" s="13">
        <v>0.0</v>
      </c>
      <c r="W175" s="13">
        <v>0.0</v>
      </c>
      <c r="X175" s="13">
        <v>0.0</v>
      </c>
      <c r="Y175" s="14" t="s">
        <v>981</v>
      </c>
    </row>
    <row r="176">
      <c r="A176" s="74">
        <v>170.0</v>
      </c>
      <c r="B176" s="7" t="s">
        <v>185</v>
      </c>
      <c r="C176" s="8" t="s">
        <v>25</v>
      </c>
      <c r="D176" s="9" t="s">
        <v>47</v>
      </c>
      <c r="E176" s="7" t="s">
        <v>31</v>
      </c>
      <c r="F176" s="9">
        <v>25.0</v>
      </c>
      <c r="G176" s="9">
        <v>1998.0</v>
      </c>
      <c r="H176" s="10">
        <v>10.0</v>
      </c>
      <c r="I176" s="11">
        <v>7.0</v>
      </c>
      <c r="J176" s="11">
        <v>614.0</v>
      </c>
      <c r="K176" s="11">
        <v>6.8</v>
      </c>
      <c r="L176" s="10">
        <v>1.0</v>
      </c>
      <c r="M176" s="11">
        <v>1.0</v>
      </c>
      <c r="N176" s="11">
        <v>2.0</v>
      </c>
      <c r="O176" s="11">
        <v>1.0</v>
      </c>
      <c r="P176" s="13">
        <v>0.0</v>
      </c>
      <c r="Q176" s="13">
        <v>0.0</v>
      </c>
      <c r="R176" s="11">
        <v>1.0</v>
      </c>
      <c r="S176" s="13">
        <v>0.0</v>
      </c>
      <c r="T176" s="10">
        <v>0.15</v>
      </c>
      <c r="U176" s="11">
        <v>0.15</v>
      </c>
      <c r="V176" s="11">
        <v>0.29</v>
      </c>
      <c r="W176" s="11">
        <v>0.15</v>
      </c>
      <c r="X176" s="11">
        <v>0.29</v>
      </c>
      <c r="Y176" s="14" t="s">
        <v>982</v>
      </c>
    </row>
    <row r="177">
      <c r="A177" s="74">
        <v>171.0</v>
      </c>
      <c r="B177" s="7" t="s">
        <v>201</v>
      </c>
      <c r="C177" s="8" t="s">
        <v>25</v>
      </c>
      <c r="D177" s="9" t="s">
        <v>26</v>
      </c>
      <c r="E177" s="7" t="s">
        <v>36</v>
      </c>
      <c r="F177" s="9">
        <v>26.0</v>
      </c>
      <c r="G177" s="9">
        <v>1997.0</v>
      </c>
      <c r="H177" s="10">
        <v>34.0</v>
      </c>
      <c r="I177" s="11">
        <v>30.0</v>
      </c>
      <c r="J177" s="15">
        <v>2625.0</v>
      </c>
      <c r="K177" s="11">
        <v>29.2</v>
      </c>
      <c r="L177" s="10">
        <v>1.0</v>
      </c>
      <c r="M177" s="11">
        <v>4.0</v>
      </c>
      <c r="N177" s="11">
        <v>5.0</v>
      </c>
      <c r="O177" s="11">
        <v>1.0</v>
      </c>
      <c r="P177" s="13">
        <v>0.0</v>
      </c>
      <c r="Q177" s="13">
        <v>0.0</v>
      </c>
      <c r="R177" s="11">
        <v>8.0</v>
      </c>
      <c r="S177" s="13">
        <v>0.0</v>
      </c>
      <c r="T177" s="10">
        <v>0.03</v>
      </c>
      <c r="U177" s="11">
        <v>0.14</v>
      </c>
      <c r="V177" s="11">
        <v>0.17</v>
      </c>
      <c r="W177" s="11">
        <v>0.03</v>
      </c>
      <c r="X177" s="11">
        <v>0.17</v>
      </c>
      <c r="Y177" s="14" t="s">
        <v>983</v>
      </c>
    </row>
    <row r="178">
      <c r="A178" s="74">
        <v>172.0</v>
      </c>
      <c r="B178" s="7" t="s">
        <v>341</v>
      </c>
      <c r="C178" s="8" t="s">
        <v>25</v>
      </c>
      <c r="D178" s="9" t="s">
        <v>30</v>
      </c>
      <c r="E178" s="7" t="s">
        <v>58</v>
      </c>
      <c r="F178" s="9">
        <v>25.0</v>
      </c>
      <c r="G178" s="9">
        <v>1999.0</v>
      </c>
      <c r="H178" s="10">
        <v>30.0</v>
      </c>
      <c r="I178" s="11">
        <v>20.0</v>
      </c>
      <c r="J178" s="15">
        <v>1605.0</v>
      </c>
      <c r="K178" s="11">
        <v>17.8</v>
      </c>
      <c r="L178" s="10">
        <v>4.0</v>
      </c>
      <c r="M178" s="11">
        <v>3.0</v>
      </c>
      <c r="N178" s="11">
        <v>7.0</v>
      </c>
      <c r="O178" s="11">
        <v>4.0</v>
      </c>
      <c r="P178" s="13">
        <v>0.0</v>
      </c>
      <c r="Q178" s="13">
        <v>0.0</v>
      </c>
      <c r="R178" s="11">
        <v>9.0</v>
      </c>
      <c r="S178" s="13">
        <v>0.0</v>
      </c>
      <c r="T178" s="10">
        <v>0.22</v>
      </c>
      <c r="U178" s="11">
        <v>0.17</v>
      </c>
      <c r="V178" s="11">
        <v>0.39</v>
      </c>
      <c r="W178" s="11">
        <v>0.22</v>
      </c>
      <c r="X178" s="11">
        <v>0.39</v>
      </c>
      <c r="Y178" s="14" t="s">
        <v>984</v>
      </c>
    </row>
    <row r="179">
      <c r="A179" s="74">
        <v>173.0</v>
      </c>
      <c r="B179" s="7" t="s">
        <v>465</v>
      </c>
      <c r="C179" s="8" t="s">
        <v>65</v>
      </c>
      <c r="D179" s="9" t="s">
        <v>55</v>
      </c>
      <c r="E179" s="7" t="s">
        <v>128</v>
      </c>
      <c r="F179" s="9">
        <v>23.0</v>
      </c>
      <c r="G179" s="9">
        <v>2000.0</v>
      </c>
      <c r="H179" s="10">
        <v>14.0</v>
      </c>
      <c r="I179" s="11">
        <v>14.0</v>
      </c>
      <c r="J179" s="15">
        <v>1009.0</v>
      </c>
      <c r="K179" s="11">
        <v>11.2</v>
      </c>
      <c r="L179" s="10">
        <v>4.0</v>
      </c>
      <c r="M179" s="11">
        <v>3.0</v>
      </c>
      <c r="N179" s="11">
        <v>7.0</v>
      </c>
      <c r="O179" s="11">
        <v>4.0</v>
      </c>
      <c r="P179" s="13">
        <v>0.0</v>
      </c>
      <c r="Q179" s="13">
        <v>0.0</v>
      </c>
      <c r="R179" s="13">
        <v>0.0</v>
      </c>
      <c r="S179" s="13">
        <v>0.0</v>
      </c>
      <c r="T179" s="10">
        <v>0.36</v>
      </c>
      <c r="U179" s="11">
        <v>0.27</v>
      </c>
      <c r="V179" s="11">
        <v>0.62</v>
      </c>
      <c r="W179" s="11">
        <v>0.36</v>
      </c>
      <c r="X179" s="11">
        <v>0.62</v>
      </c>
      <c r="Y179" s="14" t="s">
        <v>985</v>
      </c>
    </row>
    <row r="180">
      <c r="A180" s="74">
        <v>174.0</v>
      </c>
      <c r="B180" s="7" t="s">
        <v>424</v>
      </c>
      <c r="C180" s="8" t="s">
        <v>34</v>
      </c>
      <c r="D180" s="9" t="s">
        <v>35</v>
      </c>
      <c r="E180" s="7" t="s">
        <v>44</v>
      </c>
      <c r="F180" s="9">
        <v>20.0</v>
      </c>
      <c r="G180" s="9">
        <v>2003.0</v>
      </c>
      <c r="H180" s="10">
        <v>10.0</v>
      </c>
      <c r="I180" s="11">
        <v>8.0</v>
      </c>
      <c r="J180" s="11">
        <v>727.0</v>
      </c>
      <c r="K180" s="11">
        <v>8.1</v>
      </c>
      <c r="L180" s="12">
        <v>0.0</v>
      </c>
      <c r="M180" s="11">
        <v>1.0</v>
      </c>
      <c r="N180" s="11">
        <v>1.0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  <c r="T180" s="12">
        <v>0.0</v>
      </c>
      <c r="U180" s="11">
        <v>0.12</v>
      </c>
      <c r="V180" s="11">
        <v>0.12</v>
      </c>
      <c r="W180" s="13">
        <v>0.0</v>
      </c>
      <c r="X180" s="11">
        <v>0.12</v>
      </c>
      <c r="Y180" s="14" t="s">
        <v>986</v>
      </c>
    </row>
    <row r="181">
      <c r="A181" s="74">
        <v>175.0</v>
      </c>
      <c r="B181" s="7" t="s">
        <v>590</v>
      </c>
      <c r="C181" s="8" t="s">
        <v>25</v>
      </c>
      <c r="D181" s="9" t="s">
        <v>26</v>
      </c>
      <c r="E181" s="7" t="s">
        <v>128</v>
      </c>
      <c r="F181" s="9">
        <v>20.0</v>
      </c>
      <c r="G181" s="9">
        <v>2003.0</v>
      </c>
      <c r="H181" s="10">
        <v>1.0</v>
      </c>
      <c r="I181" s="13">
        <v>0.0</v>
      </c>
      <c r="J181" s="11">
        <v>1.0</v>
      </c>
      <c r="K181" s="13">
        <v>0.0</v>
      </c>
      <c r="L181" s="12">
        <v>0.0</v>
      </c>
      <c r="M181" s="13">
        <v>0.0</v>
      </c>
      <c r="N181" s="13">
        <v>0.0</v>
      </c>
      <c r="O181" s="13">
        <v>0.0</v>
      </c>
      <c r="P181" s="13">
        <v>0.0</v>
      </c>
      <c r="Q181" s="13">
        <v>0.0</v>
      </c>
      <c r="R181" s="13">
        <v>0.0</v>
      </c>
      <c r="S181" s="13">
        <v>0.0</v>
      </c>
      <c r="T181" s="12">
        <v>0.0</v>
      </c>
      <c r="U181" s="13">
        <v>0.0</v>
      </c>
      <c r="V181" s="13">
        <v>0.0</v>
      </c>
      <c r="W181" s="13">
        <v>0.0</v>
      </c>
      <c r="X181" s="13">
        <v>0.0</v>
      </c>
      <c r="Y181" s="14" t="s">
        <v>987</v>
      </c>
    </row>
    <row r="182">
      <c r="A182" s="74">
        <v>176.0</v>
      </c>
      <c r="B182" s="7" t="s">
        <v>233</v>
      </c>
      <c r="C182" s="8" t="s">
        <v>25</v>
      </c>
      <c r="D182" s="9" t="s">
        <v>26</v>
      </c>
      <c r="E182" s="7" t="s">
        <v>62</v>
      </c>
      <c r="F182" s="9">
        <v>22.0</v>
      </c>
      <c r="G182" s="9">
        <v>2001.0</v>
      </c>
      <c r="H182" s="10">
        <v>36.0</v>
      </c>
      <c r="I182" s="11">
        <v>33.0</v>
      </c>
      <c r="J182" s="15">
        <v>2646.0</v>
      </c>
      <c r="K182" s="11">
        <v>29.4</v>
      </c>
      <c r="L182" s="10">
        <v>4.0</v>
      </c>
      <c r="M182" s="11">
        <v>1.0</v>
      </c>
      <c r="N182" s="11">
        <v>5.0</v>
      </c>
      <c r="O182" s="11">
        <v>4.0</v>
      </c>
      <c r="P182" s="13">
        <v>0.0</v>
      </c>
      <c r="Q182" s="13">
        <v>0.0</v>
      </c>
      <c r="R182" s="13">
        <v>0.0</v>
      </c>
      <c r="S182" s="13">
        <v>0.0</v>
      </c>
      <c r="T182" s="10">
        <v>0.14</v>
      </c>
      <c r="U182" s="11">
        <v>0.03</v>
      </c>
      <c r="V182" s="11">
        <v>0.17</v>
      </c>
      <c r="W182" s="11">
        <v>0.14</v>
      </c>
      <c r="X182" s="11">
        <v>0.17</v>
      </c>
      <c r="Y182" s="14" t="s">
        <v>988</v>
      </c>
    </row>
    <row r="183">
      <c r="A183" s="74">
        <v>177.0</v>
      </c>
      <c r="B183" s="7" t="s">
        <v>325</v>
      </c>
      <c r="C183" s="8" t="s">
        <v>25</v>
      </c>
      <c r="D183" s="9" t="s">
        <v>47</v>
      </c>
      <c r="E183" s="7" t="s">
        <v>27</v>
      </c>
      <c r="F183" s="9">
        <v>26.0</v>
      </c>
      <c r="G183" s="9">
        <v>1997.0</v>
      </c>
      <c r="H183" s="10">
        <v>21.0</v>
      </c>
      <c r="I183" s="11">
        <v>5.0</v>
      </c>
      <c r="J183" s="11">
        <v>624.0</v>
      </c>
      <c r="K183" s="11">
        <v>6.9</v>
      </c>
      <c r="L183" s="10">
        <v>1.0</v>
      </c>
      <c r="M183" s="11">
        <v>1.0</v>
      </c>
      <c r="N183" s="11">
        <v>2.0</v>
      </c>
      <c r="O183" s="11">
        <v>1.0</v>
      </c>
      <c r="P183" s="13">
        <v>0.0</v>
      </c>
      <c r="Q183" s="13">
        <v>0.0</v>
      </c>
      <c r="R183" s="13">
        <v>0.0</v>
      </c>
      <c r="S183" s="13">
        <v>0.0</v>
      </c>
      <c r="T183" s="10">
        <v>0.14</v>
      </c>
      <c r="U183" s="11">
        <v>0.14</v>
      </c>
      <c r="V183" s="11">
        <v>0.29</v>
      </c>
      <c r="W183" s="11">
        <v>0.14</v>
      </c>
      <c r="X183" s="11">
        <v>0.29</v>
      </c>
      <c r="Y183" s="14" t="s">
        <v>989</v>
      </c>
    </row>
    <row r="184">
      <c r="A184" s="74">
        <v>178.0</v>
      </c>
      <c r="B184" s="7" t="s">
        <v>105</v>
      </c>
      <c r="C184" s="8" t="s">
        <v>25</v>
      </c>
      <c r="D184" s="9" t="s">
        <v>26</v>
      </c>
      <c r="E184" s="7" t="s">
        <v>98</v>
      </c>
      <c r="F184" s="9">
        <v>20.0</v>
      </c>
      <c r="G184" s="9">
        <v>2003.0</v>
      </c>
      <c r="H184" s="10">
        <v>29.0</v>
      </c>
      <c r="I184" s="11">
        <v>19.0</v>
      </c>
      <c r="J184" s="15">
        <v>1698.0</v>
      </c>
      <c r="K184" s="11">
        <v>18.9</v>
      </c>
      <c r="L184" s="10">
        <v>2.0</v>
      </c>
      <c r="M184" s="11">
        <v>3.0</v>
      </c>
      <c r="N184" s="11">
        <v>5.0</v>
      </c>
      <c r="O184" s="11">
        <v>2.0</v>
      </c>
      <c r="P184" s="13">
        <v>0.0</v>
      </c>
      <c r="Q184" s="13">
        <v>0.0</v>
      </c>
      <c r="R184" s="11">
        <v>6.0</v>
      </c>
      <c r="S184" s="13">
        <v>0.0</v>
      </c>
      <c r="T184" s="10">
        <v>0.11</v>
      </c>
      <c r="U184" s="11">
        <v>0.16</v>
      </c>
      <c r="V184" s="11">
        <v>0.27</v>
      </c>
      <c r="W184" s="11">
        <v>0.11</v>
      </c>
      <c r="X184" s="11">
        <v>0.27</v>
      </c>
      <c r="Y184" s="14" t="s">
        <v>990</v>
      </c>
    </row>
    <row r="185">
      <c r="A185" s="74">
        <v>179.0</v>
      </c>
      <c r="B185" s="7" t="s">
        <v>169</v>
      </c>
      <c r="C185" s="8" t="s">
        <v>25</v>
      </c>
      <c r="D185" s="9" t="s">
        <v>26</v>
      </c>
      <c r="E185" s="7" t="s">
        <v>62</v>
      </c>
      <c r="F185" s="9">
        <v>33.0</v>
      </c>
      <c r="G185" s="9">
        <v>1990.0</v>
      </c>
      <c r="H185" s="10">
        <v>33.0</v>
      </c>
      <c r="I185" s="11">
        <v>31.0</v>
      </c>
      <c r="J185" s="15">
        <v>2528.0</v>
      </c>
      <c r="K185" s="11">
        <v>28.1</v>
      </c>
      <c r="L185" s="10">
        <v>1.0</v>
      </c>
      <c r="M185" s="11">
        <v>3.0</v>
      </c>
      <c r="N185" s="11">
        <v>4.0</v>
      </c>
      <c r="O185" s="13">
        <v>0.0</v>
      </c>
      <c r="P185" s="11">
        <v>1.0</v>
      </c>
      <c r="Q185" s="11">
        <v>1.0</v>
      </c>
      <c r="R185" s="11">
        <v>15.0</v>
      </c>
      <c r="S185" s="13">
        <v>0.0</v>
      </c>
      <c r="T185" s="10">
        <v>0.04</v>
      </c>
      <c r="U185" s="11">
        <v>0.11</v>
      </c>
      <c r="V185" s="11">
        <v>0.14</v>
      </c>
      <c r="W185" s="13">
        <v>0.0</v>
      </c>
      <c r="X185" s="11">
        <v>0.11</v>
      </c>
      <c r="Y185" s="14" t="s">
        <v>991</v>
      </c>
    </row>
    <row r="186">
      <c r="A186" s="74">
        <v>180.0</v>
      </c>
      <c r="B186" s="7" t="s">
        <v>275</v>
      </c>
      <c r="C186" s="8" t="s">
        <v>25</v>
      </c>
      <c r="D186" s="9" t="s">
        <v>26</v>
      </c>
      <c r="E186" s="7" t="s">
        <v>52</v>
      </c>
      <c r="F186" s="9">
        <v>15.0</v>
      </c>
      <c r="G186" s="9">
        <v>2008.0</v>
      </c>
      <c r="H186" s="10">
        <v>1.0</v>
      </c>
      <c r="I186" s="13">
        <v>0.0</v>
      </c>
      <c r="J186" s="11">
        <v>2.0</v>
      </c>
      <c r="K186" s="13">
        <v>0.0</v>
      </c>
      <c r="L186" s="12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>
        <v>0.0</v>
      </c>
      <c r="T186" s="12">
        <v>0.0</v>
      </c>
      <c r="U186" s="13">
        <v>0.0</v>
      </c>
      <c r="V186" s="13">
        <v>0.0</v>
      </c>
      <c r="W186" s="13">
        <v>0.0</v>
      </c>
      <c r="X186" s="13">
        <v>0.0</v>
      </c>
      <c r="Y186" s="14" t="s">
        <v>992</v>
      </c>
    </row>
    <row r="187">
      <c r="A187" s="74">
        <v>181.0</v>
      </c>
      <c r="B187" s="7" t="s">
        <v>532</v>
      </c>
      <c r="C187" s="8" t="s">
        <v>25</v>
      </c>
      <c r="D187" s="9" t="s">
        <v>35</v>
      </c>
      <c r="E187" s="7" t="s">
        <v>98</v>
      </c>
      <c r="F187" s="9">
        <v>25.0</v>
      </c>
      <c r="G187" s="9">
        <v>1998.0</v>
      </c>
      <c r="H187" s="10">
        <v>20.0</v>
      </c>
      <c r="I187" s="11">
        <v>14.0</v>
      </c>
      <c r="J187" s="15">
        <v>1269.0</v>
      </c>
      <c r="K187" s="11">
        <v>14.1</v>
      </c>
      <c r="L187" s="10">
        <v>1.0</v>
      </c>
      <c r="M187" s="11">
        <v>1.0</v>
      </c>
      <c r="N187" s="11">
        <v>2.0</v>
      </c>
      <c r="O187" s="11">
        <v>1.0</v>
      </c>
      <c r="P187" s="13">
        <v>0.0</v>
      </c>
      <c r="Q187" s="13">
        <v>0.0</v>
      </c>
      <c r="R187" s="11">
        <v>4.0</v>
      </c>
      <c r="S187" s="13">
        <v>0.0</v>
      </c>
      <c r="T187" s="10">
        <v>0.07</v>
      </c>
      <c r="U187" s="11">
        <v>0.07</v>
      </c>
      <c r="V187" s="11">
        <v>0.14</v>
      </c>
      <c r="W187" s="11">
        <v>0.07</v>
      </c>
      <c r="X187" s="11">
        <v>0.14</v>
      </c>
      <c r="Y187" s="14" t="s">
        <v>993</v>
      </c>
    </row>
    <row r="188">
      <c r="A188" s="74">
        <v>182.0</v>
      </c>
      <c r="B188" s="7" t="s">
        <v>221</v>
      </c>
      <c r="C188" s="8" t="s">
        <v>70</v>
      </c>
      <c r="D188" s="9" t="s">
        <v>26</v>
      </c>
      <c r="E188" s="7" t="s">
        <v>44</v>
      </c>
      <c r="F188" s="9">
        <v>28.0</v>
      </c>
      <c r="G188" s="9">
        <v>1995.0</v>
      </c>
      <c r="H188" s="10">
        <v>26.0</v>
      </c>
      <c r="I188" s="11">
        <v>6.0</v>
      </c>
      <c r="J188" s="11">
        <v>737.0</v>
      </c>
      <c r="K188" s="11">
        <v>8.2</v>
      </c>
      <c r="L188" s="10">
        <v>1.0</v>
      </c>
      <c r="M188" s="11">
        <v>1.0</v>
      </c>
      <c r="N188" s="11">
        <v>2.0</v>
      </c>
      <c r="O188" s="11">
        <v>1.0</v>
      </c>
      <c r="P188" s="13">
        <v>0.0</v>
      </c>
      <c r="Q188" s="13">
        <v>0.0</v>
      </c>
      <c r="R188" s="11">
        <v>4.0</v>
      </c>
      <c r="S188" s="13">
        <v>0.0</v>
      </c>
      <c r="T188" s="10">
        <v>0.12</v>
      </c>
      <c r="U188" s="11">
        <v>0.12</v>
      </c>
      <c r="V188" s="11">
        <v>0.24</v>
      </c>
      <c r="W188" s="11">
        <v>0.12</v>
      </c>
      <c r="X188" s="11">
        <v>0.24</v>
      </c>
      <c r="Y188" s="14" t="s">
        <v>994</v>
      </c>
    </row>
    <row r="189">
      <c r="A189" s="74">
        <v>183.0</v>
      </c>
      <c r="B189" s="7" t="s">
        <v>397</v>
      </c>
      <c r="C189" s="8" t="s">
        <v>25</v>
      </c>
      <c r="D189" s="9" t="s">
        <v>26</v>
      </c>
      <c r="E189" s="7" t="s">
        <v>128</v>
      </c>
      <c r="F189" s="9">
        <v>16.0</v>
      </c>
      <c r="G189" s="9">
        <v>2008.0</v>
      </c>
      <c r="H189" s="10">
        <v>5.0</v>
      </c>
      <c r="I189" s="13">
        <v>0.0</v>
      </c>
      <c r="J189" s="11">
        <v>39.0</v>
      </c>
      <c r="K189" s="11">
        <v>0.4</v>
      </c>
      <c r="L189" s="12">
        <v>0.0</v>
      </c>
      <c r="M189" s="13">
        <v>0.0</v>
      </c>
      <c r="N189" s="13">
        <v>0.0</v>
      </c>
      <c r="O189" s="13">
        <v>0.0</v>
      </c>
      <c r="P189" s="13">
        <v>0.0</v>
      </c>
      <c r="Q189" s="13">
        <v>0.0</v>
      </c>
      <c r="R189" s="11">
        <v>1.0</v>
      </c>
      <c r="S189" s="13">
        <v>0.0</v>
      </c>
      <c r="T189" s="12">
        <v>0.0</v>
      </c>
      <c r="U189" s="13">
        <v>0.0</v>
      </c>
      <c r="V189" s="13">
        <v>0.0</v>
      </c>
      <c r="W189" s="13">
        <v>0.0</v>
      </c>
      <c r="X189" s="13">
        <v>0.0</v>
      </c>
      <c r="Y189" s="14" t="s">
        <v>995</v>
      </c>
    </row>
    <row r="190">
      <c r="A190" s="74">
        <v>184.0</v>
      </c>
      <c r="B190" s="7" t="s">
        <v>735</v>
      </c>
      <c r="C190" s="8" t="s">
        <v>34</v>
      </c>
      <c r="D190" s="9" t="s">
        <v>26</v>
      </c>
      <c r="E190" s="7" t="s">
        <v>98</v>
      </c>
      <c r="F190" s="9">
        <v>22.0</v>
      </c>
      <c r="G190" s="9">
        <v>2001.0</v>
      </c>
      <c r="H190" s="10">
        <v>32.0</v>
      </c>
      <c r="I190" s="11">
        <v>26.0</v>
      </c>
      <c r="J190" s="15">
        <v>2275.0</v>
      </c>
      <c r="K190" s="11">
        <v>25.3</v>
      </c>
      <c r="L190" s="10">
        <v>1.0</v>
      </c>
      <c r="M190" s="11">
        <v>1.0</v>
      </c>
      <c r="N190" s="11">
        <v>2.0</v>
      </c>
      <c r="O190" s="11">
        <v>1.0</v>
      </c>
      <c r="P190" s="13">
        <v>0.0</v>
      </c>
      <c r="Q190" s="13">
        <v>0.0</v>
      </c>
      <c r="R190" s="11">
        <v>6.0</v>
      </c>
      <c r="S190" s="13">
        <v>0.0</v>
      </c>
      <c r="T190" s="10">
        <v>0.04</v>
      </c>
      <c r="U190" s="11">
        <v>0.04</v>
      </c>
      <c r="V190" s="11">
        <v>0.08</v>
      </c>
      <c r="W190" s="11">
        <v>0.04</v>
      </c>
      <c r="X190" s="11">
        <v>0.08</v>
      </c>
      <c r="Y190" s="14" t="s">
        <v>996</v>
      </c>
    </row>
    <row r="191">
      <c r="A191" s="74">
        <v>185.0</v>
      </c>
      <c r="B191" s="7" t="s">
        <v>49</v>
      </c>
      <c r="C191" s="8" t="s">
        <v>25</v>
      </c>
      <c r="D191" s="9" t="s">
        <v>26</v>
      </c>
      <c r="E191" s="7" t="s">
        <v>44</v>
      </c>
      <c r="F191" s="9">
        <v>26.0</v>
      </c>
      <c r="G191" s="9">
        <v>1997.0</v>
      </c>
      <c r="H191" s="10">
        <v>35.0</v>
      </c>
      <c r="I191" s="11">
        <v>33.0</v>
      </c>
      <c r="J191" s="15">
        <v>2655.0</v>
      </c>
      <c r="K191" s="11">
        <v>29.5</v>
      </c>
      <c r="L191" s="12">
        <v>0.0</v>
      </c>
      <c r="M191" s="11">
        <v>2.0</v>
      </c>
      <c r="N191" s="11">
        <v>2.0</v>
      </c>
      <c r="O191" s="13">
        <v>0.0</v>
      </c>
      <c r="P191" s="13">
        <v>0.0</v>
      </c>
      <c r="Q191" s="13">
        <v>0.0</v>
      </c>
      <c r="R191" s="11">
        <v>8.0</v>
      </c>
      <c r="S191" s="13">
        <v>0.0</v>
      </c>
      <c r="T191" s="12">
        <v>0.0</v>
      </c>
      <c r="U191" s="11">
        <v>0.07</v>
      </c>
      <c r="V191" s="11">
        <v>0.07</v>
      </c>
      <c r="W191" s="13">
        <v>0.0</v>
      </c>
      <c r="X191" s="11">
        <v>0.07</v>
      </c>
      <c r="Y191" s="14" t="s">
        <v>997</v>
      </c>
    </row>
    <row r="192">
      <c r="A192" s="74">
        <v>186.0</v>
      </c>
      <c r="B192" s="7" t="s">
        <v>503</v>
      </c>
      <c r="C192" s="8" t="s">
        <v>25</v>
      </c>
      <c r="D192" s="9" t="s">
        <v>26</v>
      </c>
      <c r="E192" s="7" t="s">
        <v>52</v>
      </c>
      <c r="F192" s="9">
        <v>31.0</v>
      </c>
      <c r="G192" s="9">
        <v>1992.0</v>
      </c>
      <c r="H192" s="10">
        <v>13.0</v>
      </c>
      <c r="I192" s="11">
        <v>3.0</v>
      </c>
      <c r="J192" s="11">
        <v>502.0</v>
      </c>
      <c r="K192" s="11">
        <v>5.6</v>
      </c>
      <c r="L192" s="12">
        <v>0.0</v>
      </c>
      <c r="M192" s="11">
        <v>1.0</v>
      </c>
      <c r="N192" s="11">
        <v>1.0</v>
      </c>
      <c r="O192" s="13">
        <v>0.0</v>
      </c>
      <c r="P192" s="13">
        <v>0.0</v>
      </c>
      <c r="Q192" s="13">
        <v>0.0</v>
      </c>
      <c r="R192" s="13">
        <v>0.0</v>
      </c>
      <c r="S192" s="13">
        <v>0.0</v>
      </c>
      <c r="T192" s="12">
        <v>0.0</v>
      </c>
      <c r="U192" s="11">
        <v>0.18</v>
      </c>
      <c r="V192" s="11">
        <v>0.18</v>
      </c>
      <c r="W192" s="13">
        <v>0.0</v>
      </c>
      <c r="X192" s="11">
        <v>0.18</v>
      </c>
      <c r="Y192" s="14" t="s">
        <v>998</v>
      </c>
    </row>
    <row r="193">
      <c r="A193" s="74">
        <v>187.0</v>
      </c>
      <c r="B193" s="7" t="s">
        <v>605</v>
      </c>
      <c r="C193" s="8" t="s">
        <v>25</v>
      </c>
      <c r="D193" s="9" t="s">
        <v>35</v>
      </c>
      <c r="E193" s="7" t="s">
        <v>52</v>
      </c>
      <c r="F193" s="9">
        <v>33.0</v>
      </c>
      <c r="G193" s="9">
        <v>1991.0</v>
      </c>
      <c r="H193" s="10">
        <v>23.0</v>
      </c>
      <c r="I193" s="11">
        <v>16.0</v>
      </c>
      <c r="J193" s="15">
        <v>1547.0</v>
      </c>
      <c r="K193" s="11">
        <v>17.2</v>
      </c>
      <c r="L193" s="12">
        <v>0.0</v>
      </c>
      <c r="M193" s="13">
        <v>0.0</v>
      </c>
      <c r="N193" s="13">
        <v>0.0</v>
      </c>
      <c r="O193" s="13">
        <v>0.0</v>
      </c>
      <c r="P193" s="13">
        <v>0.0</v>
      </c>
      <c r="Q193" s="13">
        <v>0.0</v>
      </c>
      <c r="R193" s="11">
        <v>2.0</v>
      </c>
      <c r="S193" s="13">
        <v>0.0</v>
      </c>
      <c r="T193" s="12">
        <v>0.0</v>
      </c>
      <c r="U193" s="13">
        <v>0.0</v>
      </c>
      <c r="V193" s="13">
        <v>0.0</v>
      </c>
      <c r="W193" s="13">
        <v>0.0</v>
      </c>
      <c r="X193" s="13">
        <v>0.0</v>
      </c>
      <c r="Y193" s="14" t="s">
        <v>999</v>
      </c>
    </row>
    <row r="194">
      <c r="A194" s="74">
        <v>188.0</v>
      </c>
      <c r="B194" s="7" t="s">
        <v>261</v>
      </c>
      <c r="C194" s="8" t="s">
        <v>25</v>
      </c>
      <c r="D194" s="9" t="s">
        <v>35</v>
      </c>
      <c r="E194" s="7" t="s">
        <v>128</v>
      </c>
      <c r="F194" s="9">
        <v>16.0</v>
      </c>
      <c r="G194" s="9">
        <v>2007.0</v>
      </c>
      <c r="H194" s="10">
        <v>4.0</v>
      </c>
      <c r="I194" s="11">
        <v>4.0</v>
      </c>
      <c r="J194" s="11">
        <v>358.0</v>
      </c>
      <c r="K194" s="11">
        <v>4.0</v>
      </c>
      <c r="L194" s="12">
        <v>0.0</v>
      </c>
      <c r="M194" s="13">
        <v>0.0</v>
      </c>
      <c r="N194" s="13">
        <v>0.0</v>
      </c>
      <c r="O194" s="13">
        <v>0.0</v>
      </c>
      <c r="P194" s="13">
        <v>0.0</v>
      </c>
      <c r="Q194" s="13">
        <v>0.0</v>
      </c>
      <c r="R194" s="11">
        <v>2.0</v>
      </c>
      <c r="S194" s="13">
        <v>0.0</v>
      </c>
      <c r="T194" s="12">
        <v>0.0</v>
      </c>
      <c r="U194" s="13">
        <v>0.0</v>
      </c>
      <c r="V194" s="13">
        <v>0.0</v>
      </c>
      <c r="W194" s="13">
        <v>0.0</v>
      </c>
      <c r="X194" s="13">
        <v>0.0</v>
      </c>
      <c r="Y194" s="14" t="s">
        <v>1000</v>
      </c>
    </row>
    <row r="195">
      <c r="A195" s="74">
        <v>189.0</v>
      </c>
      <c r="B195" s="7" t="s">
        <v>38</v>
      </c>
      <c r="C195" s="8" t="s">
        <v>25</v>
      </c>
      <c r="D195" s="9" t="s">
        <v>26</v>
      </c>
      <c r="E195" s="7" t="s">
        <v>31</v>
      </c>
      <c r="F195" s="9">
        <v>28.0</v>
      </c>
      <c r="G195" s="9">
        <v>1995.0</v>
      </c>
      <c r="H195" s="10">
        <v>12.0</v>
      </c>
      <c r="I195" s="11">
        <v>2.0</v>
      </c>
      <c r="J195" s="11">
        <v>403.0</v>
      </c>
      <c r="K195" s="11">
        <v>4.5</v>
      </c>
      <c r="L195" s="12">
        <v>0.0</v>
      </c>
      <c r="M195" s="13">
        <v>0.0</v>
      </c>
      <c r="N195" s="13">
        <v>0.0</v>
      </c>
      <c r="O195" s="13">
        <v>0.0</v>
      </c>
      <c r="P195" s="13">
        <v>0.0</v>
      </c>
      <c r="Q195" s="13">
        <v>0.0</v>
      </c>
      <c r="R195" s="11">
        <v>1.0</v>
      </c>
      <c r="S195" s="13">
        <v>0.0</v>
      </c>
      <c r="T195" s="12">
        <v>0.0</v>
      </c>
      <c r="U195" s="13">
        <v>0.0</v>
      </c>
      <c r="V195" s="13">
        <v>0.0</v>
      </c>
      <c r="W195" s="13">
        <v>0.0</v>
      </c>
      <c r="X195" s="13">
        <v>0.0</v>
      </c>
      <c r="Y195" s="14" t="s">
        <v>1001</v>
      </c>
    </row>
    <row r="196">
      <c r="A196" s="74">
        <v>190.0</v>
      </c>
      <c r="B196" s="7" t="s">
        <v>356</v>
      </c>
      <c r="C196" s="8" t="s">
        <v>25</v>
      </c>
      <c r="D196" s="9" t="s">
        <v>26</v>
      </c>
      <c r="E196" s="7" t="s">
        <v>52</v>
      </c>
      <c r="F196" s="9">
        <v>23.0</v>
      </c>
      <c r="G196" s="9">
        <v>2001.0</v>
      </c>
      <c r="H196" s="10">
        <v>9.0</v>
      </c>
      <c r="I196" s="11">
        <v>6.0</v>
      </c>
      <c r="J196" s="11">
        <v>492.0</v>
      </c>
      <c r="K196" s="11">
        <v>5.5</v>
      </c>
      <c r="L196" s="12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3">
        <v>0.0</v>
      </c>
      <c r="T196" s="12">
        <v>0.0</v>
      </c>
      <c r="U196" s="13">
        <v>0.0</v>
      </c>
      <c r="V196" s="13">
        <v>0.0</v>
      </c>
      <c r="W196" s="13">
        <v>0.0</v>
      </c>
      <c r="X196" s="13">
        <v>0.0</v>
      </c>
      <c r="Y196" s="14" t="s">
        <v>1002</v>
      </c>
    </row>
    <row r="197">
      <c r="A197" s="74">
        <v>191.0</v>
      </c>
      <c r="B197" s="7" t="s">
        <v>577</v>
      </c>
      <c r="C197" s="8" t="s">
        <v>70</v>
      </c>
      <c r="D197" s="9" t="s">
        <v>26</v>
      </c>
      <c r="E197" s="7" t="s">
        <v>80</v>
      </c>
      <c r="F197" s="9">
        <v>22.0</v>
      </c>
      <c r="G197" s="9">
        <v>2002.0</v>
      </c>
      <c r="H197" s="10">
        <v>9.0</v>
      </c>
      <c r="I197" s="11">
        <v>2.0</v>
      </c>
      <c r="J197" s="11">
        <v>336.0</v>
      </c>
      <c r="K197" s="11">
        <v>3.7</v>
      </c>
      <c r="L197" s="12">
        <v>0.0</v>
      </c>
      <c r="M197" s="13">
        <v>0.0</v>
      </c>
      <c r="N197" s="13">
        <v>0.0</v>
      </c>
      <c r="O197" s="13">
        <v>0.0</v>
      </c>
      <c r="P197" s="13">
        <v>0.0</v>
      </c>
      <c r="Q197" s="13">
        <v>0.0</v>
      </c>
      <c r="R197" s="11">
        <v>1.0</v>
      </c>
      <c r="S197" s="13">
        <v>0.0</v>
      </c>
      <c r="T197" s="12">
        <v>0.0</v>
      </c>
      <c r="U197" s="13">
        <v>0.0</v>
      </c>
      <c r="V197" s="13">
        <v>0.0</v>
      </c>
      <c r="W197" s="13">
        <v>0.0</v>
      </c>
      <c r="X197" s="13">
        <v>0.0</v>
      </c>
      <c r="Y197" s="14" t="s">
        <v>1003</v>
      </c>
    </row>
    <row r="198">
      <c r="A198" s="74">
        <v>192.0</v>
      </c>
      <c r="B198" s="7" t="s">
        <v>231</v>
      </c>
      <c r="C198" s="8" t="s">
        <v>25</v>
      </c>
      <c r="D198" s="9" t="s">
        <v>77</v>
      </c>
      <c r="E198" s="7" t="s">
        <v>128</v>
      </c>
      <c r="F198" s="9">
        <v>24.0</v>
      </c>
      <c r="G198" s="9">
        <v>1999.0</v>
      </c>
      <c r="H198" s="10">
        <v>36.0</v>
      </c>
      <c r="I198" s="11">
        <v>36.0</v>
      </c>
      <c r="J198" s="15">
        <v>3231.0</v>
      </c>
      <c r="K198" s="11">
        <v>35.9</v>
      </c>
      <c r="L198" s="12">
        <v>0.0</v>
      </c>
      <c r="M198" s="13">
        <v>0.0</v>
      </c>
      <c r="N198" s="13">
        <v>0.0</v>
      </c>
      <c r="O198" s="13">
        <v>0.0</v>
      </c>
      <c r="P198" s="13">
        <v>0.0</v>
      </c>
      <c r="Q198" s="13">
        <v>0.0</v>
      </c>
      <c r="R198" s="11">
        <v>2.0</v>
      </c>
      <c r="S198" s="13">
        <v>0.0</v>
      </c>
      <c r="T198" s="12">
        <v>0.0</v>
      </c>
      <c r="U198" s="13">
        <v>0.0</v>
      </c>
      <c r="V198" s="13">
        <v>0.0</v>
      </c>
      <c r="W198" s="13">
        <v>0.0</v>
      </c>
      <c r="X198" s="13">
        <v>0.0</v>
      </c>
      <c r="Y198" s="14" t="s">
        <v>1004</v>
      </c>
    </row>
    <row r="199">
      <c r="A199" s="74">
        <v>193.0</v>
      </c>
      <c r="B199" s="7" t="s">
        <v>144</v>
      </c>
      <c r="C199" s="8" t="s">
        <v>97</v>
      </c>
      <c r="D199" s="9" t="s">
        <v>26</v>
      </c>
      <c r="E199" s="7" t="s">
        <v>80</v>
      </c>
      <c r="F199" s="9">
        <v>20.0</v>
      </c>
      <c r="G199" s="9">
        <v>2003.0</v>
      </c>
      <c r="H199" s="10">
        <v>5.0</v>
      </c>
      <c r="I199" s="11">
        <v>2.0</v>
      </c>
      <c r="J199" s="11">
        <v>205.0</v>
      </c>
      <c r="K199" s="11">
        <v>2.3</v>
      </c>
      <c r="L199" s="12">
        <v>0.0</v>
      </c>
      <c r="M199" s="13">
        <v>0.0</v>
      </c>
      <c r="N199" s="13">
        <v>0.0</v>
      </c>
      <c r="O199" s="13">
        <v>0.0</v>
      </c>
      <c r="P199" s="13">
        <v>0.0</v>
      </c>
      <c r="Q199" s="13">
        <v>0.0</v>
      </c>
      <c r="R199" s="13">
        <v>0.0</v>
      </c>
      <c r="S199" s="13">
        <v>0.0</v>
      </c>
      <c r="T199" s="12">
        <v>0.0</v>
      </c>
      <c r="U199" s="13">
        <v>0.0</v>
      </c>
      <c r="V199" s="13">
        <v>0.0</v>
      </c>
      <c r="W199" s="13">
        <v>0.0</v>
      </c>
      <c r="X199" s="13">
        <v>0.0</v>
      </c>
      <c r="Y199" s="14" t="s">
        <v>1005</v>
      </c>
    </row>
    <row r="200">
      <c r="A200" s="74">
        <v>194.0</v>
      </c>
      <c r="B200" s="7" t="s">
        <v>125</v>
      </c>
      <c r="C200" s="8" t="s">
        <v>34</v>
      </c>
      <c r="D200" s="9" t="s">
        <v>83</v>
      </c>
      <c r="E200" s="7" t="s">
        <v>52</v>
      </c>
      <c r="F200" s="9">
        <v>25.0</v>
      </c>
      <c r="G200" s="9">
        <v>1998.0</v>
      </c>
      <c r="H200" s="10">
        <v>21.0</v>
      </c>
      <c r="I200" s="11">
        <v>18.0</v>
      </c>
      <c r="J200" s="15">
        <v>1672.0</v>
      </c>
      <c r="K200" s="11">
        <v>18.6</v>
      </c>
      <c r="L200" s="12">
        <v>0.0</v>
      </c>
      <c r="M200" s="11">
        <v>2.0</v>
      </c>
      <c r="N200" s="11">
        <v>2.0</v>
      </c>
      <c r="O200" s="13">
        <v>0.0</v>
      </c>
      <c r="P200" s="13">
        <v>0.0</v>
      </c>
      <c r="Q200" s="13">
        <v>0.0</v>
      </c>
      <c r="R200" s="11">
        <v>2.0</v>
      </c>
      <c r="S200" s="13">
        <v>0.0</v>
      </c>
      <c r="T200" s="12">
        <v>0.0</v>
      </c>
      <c r="U200" s="11">
        <v>0.11</v>
      </c>
      <c r="V200" s="11">
        <v>0.11</v>
      </c>
      <c r="W200" s="13">
        <v>0.0</v>
      </c>
      <c r="X200" s="11">
        <v>0.11</v>
      </c>
      <c r="Y200" s="14" t="s">
        <v>1006</v>
      </c>
    </row>
    <row r="201">
      <c r="A201" s="74">
        <v>195.0</v>
      </c>
      <c r="B201" s="7" t="s">
        <v>556</v>
      </c>
      <c r="C201" s="8" t="s">
        <v>97</v>
      </c>
      <c r="D201" s="9" t="s">
        <v>35</v>
      </c>
      <c r="E201" s="7" t="s">
        <v>27</v>
      </c>
      <c r="F201" s="9">
        <v>29.0</v>
      </c>
      <c r="G201" s="9">
        <v>1994.0</v>
      </c>
      <c r="H201" s="10">
        <v>16.0</v>
      </c>
      <c r="I201" s="11">
        <v>12.0</v>
      </c>
      <c r="J201" s="11">
        <v>979.0</v>
      </c>
      <c r="K201" s="11">
        <v>10.9</v>
      </c>
      <c r="L201" s="12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0.0</v>
      </c>
      <c r="R201" s="11">
        <v>6.0</v>
      </c>
      <c r="S201" s="13">
        <v>0.0</v>
      </c>
      <c r="T201" s="12">
        <v>0.0</v>
      </c>
      <c r="U201" s="13">
        <v>0.0</v>
      </c>
      <c r="V201" s="13">
        <v>0.0</v>
      </c>
      <c r="W201" s="13">
        <v>0.0</v>
      </c>
      <c r="X201" s="13">
        <v>0.0</v>
      </c>
      <c r="Y201" s="14" t="s">
        <v>1007</v>
      </c>
    </row>
    <row r="202">
      <c r="A202" s="74">
        <v>196.0</v>
      </c>
      <c r="B202" s="7" t="s">
        <v>117</v>
      </c>
      <c r="C202" s="8" t="s">
        <v>25</v>
      </c>
      <c r="D202" s="9" t="s">
        <v>26</v>
      </c>
      <c r="E202" s="7" t="s">
        <v>44</v>
      </c>
      <c r="F202" s="9">
        <v>22.0</v>
      </c>
      <c r="G202" s="9">
        <v>2001.0</v>
      </c>
      <c r="H202" s="10">
        <v>16.0</v>
      </c>
      <c r="I202" s="11">
        <v>4.0</v>
      </c>
      <c r="J202" s="11">
        <v>415.0</v>
      </c>
      <c r="K202" s="11">
        <v>4.6</v>
      </c>
      <c r="L202" s="12">
        <v>0.0</v>
      </c>
      <c r="M202" s="13">
        <v>0.0</v>
      </c>
      <c r="N202" s="13">
        <v>0.0</v>
      </c>
      <c r="O202" s="13">
        <v>0.0</v>
      </c>
      <c r="P202" s="13">
        <v>0.0</v>
      </c>
      <c r="Q202" s="13">
        <v>0.0</v>
      </c>
      <c r="R202" s="11">
        <v>2.0</v>
      </c>
      <c r="S202" s="13">
        <v>0.0</v>
      </c>
      <c r="T202" s="12">
        <v>0.0</v>
      </c>
      <c r="U202" s="13">
        <v>0.0</v>
      </c>
      <c r="V202" s="13">
        <v>0.0</v>
      </c>
      <c r="W202" s="13">
        <v>0.0</v>
      </c>
      <c r="X202" s="13">
        <v>0.0</v>
      </c>
      <c r="Y202" s="14" t="s">
        <v>1008</v>
      </c>
    </row>
    <row r="203">
      <c r="A203" s="74">
        <v>197.0</v>
      </c>
      <c r="B203" s="7" t="s">
        <v>317</v>
      </c>
      <c r="C203" s="8" t="s">
        <v>25</v>
      </c>
      <c r="D203" s="9" t="s">
        <v>26</v>
      </c>
      <c r="E203" s="7" t="s">
        <v>44</v>
      </c>
      <c r="F203" s="9">
        <v>18.0</v>
      </c>
      <c r="G203" s="9">
        <v>2005.0</v>
      </c>
      <c r="H203" s="10">
        <v>11.0</v>
      </c>
      <c r="I203" s="11">
        <v>8.0</v>
      </c>
      <c r="J203" s="11">
        <v>682.0</v>
      </c>
      <c r="K203" s="11">
        <v>7.6</v>
      </c>
      <c r="L203" s="12">
        <v>0.0</v>
      </c>
      <c r="M203" s="13">
        <v>0.0</v>
      </c>
      <c r="N203" s="13">
        <v>0.0</v>
      </c>
      <c r="O203" s="13">
        <v>0.0</v>
      </c>
      <c r="P203" s="13">
        <v>0.0</v>
      </c>
      <c r="Q203" s="13">
        <v>0.0</v>
      </c>
      <c r="R203" s="11">
        <v>2.0</v>
      </c>
      <c r="S203" s="13">
        <v>0.0</v>
      </c>
      <c r="T203" s="12">
        <v>0.0</v>
      </c>
      <c r="U203" s="13">
        <v>0.0</v>
      </c>
      <c r="V203" s="13">
        <v>0.0</v>
      </c>
      <c r="W203" s="13">
        <v>0.0</v>
      </c>
      <c r="X203" s="13">
        <v>0.0</v>
      </c>
      <c r="Y203" s="14" t="s">
        <v>1009</v>
      </c>
    </row>
    <row r="204">
      <c r="A204" s="74">
        <v>198.0</v>
      </c>
      <c r="B204" s="7" t="s">
        <v>217</v>
      </c>
      <c r="C204" s="8" t="s">
        <v>25</v>
      </c>
      <c r="D204" s="9" t="s">
        <v>26</v>
      </c>
      <c r="E204" s="7" t="s">
        <v>98</v>
      </c>
      <c r="F204" s="9">
        <v>21.0</v>
      </c>
      <c r="G204" s="9">
        <v>2002.0</v>
      </c>
      <c r="H204" s="10">
        <v>28.0</v>
      </c>
      <c r="I204" s="11">
        <v>19.0</v>
      </c>
      <c r="J204" s="15">
        <v>1658.0</v>
      </c>
      <c r="K204" s="11">
        <v>18.4</v>
      </c>
      <c r="L204" s="10">
        <v>3.0</v>
      </c>
      <c r="M204" s="11">
        <v>1.0</v>
      </c>
      <c r="N204" s="11">
        <v>4.0</v>
      </c>
      <c r="O204" s="11">
        <v>3.0</v>
      </c>
      <c r="P204" s="13">
        <v>0.0</v>
      </c>
      <c r="Q204" s="13">
        <v>0.0</v>
      </c>
      <c r="R204" s="11">
        <v>6.0</v>
      </c>
      <c r="S204" s="13">
        <v>0.0</v>
      </c>
      <c r="T204" s="10">
        <v>0.16</v>
      </c>
      <c r="U204" s="11">
        <v>0.05</v>
      </c>
      <c r="V204" s="11">
        <v>0.22</v>
      </c>
      <c r="W204" s="11">
        <v>0.16</v>
      </c>
      <c r="X204" s="11">
        <v>0.22</v>
      </c>
      <c r="Y204" s="14" t="s">
        <v>1010</v>
      </c>
    </row>
    <row r="205">
      <c r="A205" s="74">
        <v>199.0</v>
      </c>
      <c r="B205" s="7" t="s">
        <v>507</v>
      </c>
      <c r="C205" s="8" t="s">
        <v>70</v>
      </c>
      <c r="D205" s="9" t="s">
        <v>26</v>
      </c>
      <c r="E205" s="7" t="s">
        <v>52</v>
      </c>
      <c r="F205" s="9">
        <v>27.0</v>
      </c>
      <c r="G205" s="9">
        <v>1996.0</v>
      </c>
      <c r="H205" s="10">
        <v>36.0</v>
      </c>
      <c r="I205" s="11">
        <v>35.0</v>
      </c>
      <c r="J205" s="15">
        <v>2979.0</v>
      </c>
      <c r="K205" s="11">
        <v>33.1</v>
      </c>
      <c r="L205" s="10">
        <v>3.0</v>
      </c>
      <c r="M205" s="11">
        <v>5.0</v>
      </c>
      <c r="N205" s="11">
        <v>8.0</v>
      </c>
      <c r="O205" s="11">
        <v>3.0</v>
      </c>
      <c r="P205" s="13">
        <v>0.0</v>
      </c>
      <c r="Q205" s="13">
        <v>0.0</v>
      </c>
      <c r="R205" s="11">
        <v>6.0</v>
      </c>
      <c r="S205" s="13">
        <v>0.0</v>
      </c>
      <c r="T205" s="10">
        <v>0.09</v>
      </c>
      <c r="U205" s="11">
        <v>0.15</v>
      </c>
      <c r="V205" s="11">
        <v>0.24</v>
      </c>
      <c r="W205" s="11">
        <v>0.09</v>
      </c>
      <c r="X205" s="11">
        <v>0.24</v>
      </c>
      <c r="Y205" s="14" t="s">
        <v>1011</v>
      </c>
    </row>
    <row r="206">
      <c r="A206" s="74">
        <v>200.0</v>
      </c>
      <c r="B206" s="7" t="s">
        <v>40</v>
      </c>
      <c r="C206" s="8" t="s">
        <v>25</v>
      </c>
      <c r="D206" s="9" t="s">
        <v>26</v>
      </c>
      <c r="E206" s="7" t="s">
        <v>36</v>
      </c>
      <c r="F206" s="9">
        <v>23.0</v>
      </c>
      <c r="G206" s="9">
        <v>2000.0</v>
      </c>
      <c r="H206" s="10">
        <v>12.0</v>
      </c>
      <c r="I206" s="11">
        <v>4.0</v>
      </c>
      <c r="J206" s="11">
        <v>486.0</v>
      </c>
      <c r="K206" s="11">
        <v>5.4</v>
      </c>
      <c r="L206" s="10">
        <v>1.0</v>
      </c>
      <c r="M206" s="13">
        <v>0.0</v>
      </c>
      <c r="N206" s="11">
        <v>1.0</v>
      </c>
      <c r="O206" s="11">
        <v>1.0</v>
      </c>
      <c r="P206" s="13">
        <v>0.0</v>
      </c>
      <c r="Q206" s="13">
        <v>0.0</v>
      </c>
      <c r="R206" s="11">
        <v>1.0</v>
      </c>
      <c r="S206" s="13">
        <v>0.0</v>
      </c>
      <c r="T206" s="10">
        <v>0.19</v>
      </c>
      <c r="U206" s="13">
        <v>0.0</v>
      </c>
      <c r="V206" s="11">
        <v>0.19</v>
      </c>
      <c r="W206" s="11">
        <v>0.19</v>
      </c>
      <c r="X206" s="11">
        <v>0.19</v>
      </c>
      <c r="Y206" s="14" t="s">
        <v>1012</v>
      </c>
    </row>
    <row r="207">
      <c r="A207" s="74">
        <v>201.0</v>
      </c>
      <c r="B207" s="7" t="s">
        <v>434</v>
      </c>
      <c r="C207" s="8" t="s">
        <v>70</v>
      </c>
      <c r="D207" s="9" t="s">
        <v>30</v>
      </c>
      <c r="E207" s="7" t="s">
        <v>31</v>
      </c>
      <c r="F207" s="9">
        <v>31.0</v>
      </c>
      <c r="G207" s="9">
        <v>1992.0</v>
      </c>
      <c r="H207" s="10">
        <v>10.0</v>
      </c>
      <c r="I207" s="11">
        <v>5.0</v>
      </c>
      <c r="J207" s="11">
        <v>427.0</v>
      </c>
      <c r="K207" s="11">
        <v>4.7</v>
      </c>
      <c r="L207" s="10">
        <v>1.0</v>
      </c>
      <c r="M207" s="13">
        <v>0.0</v>
      </c>
      <c r="N207" s="11">
        <v>1.0</v>
      </c>
      <c r="O207" s="11">
        <v>1.0</v>
      </c>
      <c r="P207" s="13">
        <v>0.0</v>
      </c>
      <c r="Q207" s="13">
        <v>0.0</v>
      </c>
      <c r="R207" s="11">
        <v>1.0</v>
      </c>
      <c r="S207" s="13">
        <v>0.0</v>
      </c>
      <c r="T207" s="10">
        <v>0.21</v>
      </c>
      <c r="U207" s="13">
        <v>0.0</v>
      </c>
      <c r="V207" s="11">
        <v>0.21</v>
      </c>
      <c r="W207" s="11">
        <v>0.21</v>
      </c>
      <c r="X207" s="11">
        <v>0.21</v>
      </c>
      <c r="Y207" s="14" t="s">
        <v>1013</v>
      </c>
    </row>
    <row r="208">
      <c r="A208" s="74">
        <v>202.0</v>
      </c>
      <c r="B208" s="7" t="s">
        <v>91</v>
      </c>
      <c r="C208" s="8" t="s">
        <v>70</v>
      </c>
      <c r="D208" s="9" t="s">
        <v>47</v>
      </c>
      <c r="E208" s="7" t="s">
        <v>44</v>
      </c>
      <c r="F208" s="9">
        <v>21.0</v>
      </c>
      <c r="G208" s="9">
        <v>2002.0</v>
      </c>
      <c r="H208" s="10">
        <v>11.0</v>
      </c>
      <c r="I208" s="11">
        <v>7.0</v>
      </c>
      <c r="J208" s="11">
        <v>589.0</v>
      </c>
      <c r="K208" s="11">
        <v>6.5</v>
      </c>
      <c r="L208" s="10">
        <v>2.0</v>
      </c>
      <c r="M208" s="13">
        <v>0.0</v>
      </c>
      <c r="N208" s="11">
        <v>2.0</v>
      </c>
      <c r="O208" s="11">
        <v>2.0</v>
      </c>
      <c r="P208" s="13">
        <v>0.0</v>
      </c>
      <c r="Q208" s="13">
        <v>0.0</v>
      </c>
      <c r="R208" s="11">
        <v>1.0</v>
      </c>
      <c r="S208" s="13">
        <v>0.0</v>
      </c>
      <c r="T208" s="10">
        <v>0.31</v>
      </c>
      <c r="U208" s="13">
        <v>0.0</v>
      </c>
      <c r="V208" s="11">
        <v>0.31</v>
      </c>
      <c r="W208" s="11">
        <v>0.31</v>
      </c>
      <c r="X208" s="11">
        <v>0.31</v>
      </c>
      <c r="Y208" s="14" t="s">
        <v>1014</v>
      </c>
    </row>
    <row r="209">
      <c r="A209" s="74">
        <v>203.0</v>
      </c>
      <c r="B209" s="7" t="s">
        <v>453</v>
      </c>
      <c r="C209" s="8" t="s">
        <v>25</v>
      </c>
      <c r="D209" s="9" t="s">
        <v>30</v>
      </c>
      <c r="E209" s="7" t="s">
        <v>27</v>
      </c>
      <c r="F209" s="9">
        <v>16.0</v>
      </c>
      <c r="G209" s="9">
        <v>2007.0</v>
      </c>
      <c r="H209" s="10">
        <v>31.0</v>
      </c>
      <c r="I209" s="11">
        <v>14.0</v>
      </c>
      <c r="J209" s="15">
        <v>1471.0</v>
      </c>
      <c r="K209" s="11">
        <v>16.3</v>
      </c>
      <c r="L209" s="10">
        <v>6.0</v>
      </c>
      <c r="M209" s="11">
        <v>1.0</v>
      </c>
      <c r="N209" s="11">
        <v>7.0</v>
      </c>
      <c r="O209" s="11">
        <v>6.0</v>
      </c>
      <c r="P209" s="13">
        <v>0.0</v>
      </c>
      <c r="Q209" s="13">
        <v>0.0</v>
      </c>
      <c r="R209" s="11">
        <v>3.0</v>
      </c>
      <c r="S209" s="13">
        <v>0.0</v>
      </c>
      <c r="T209" s="10">
        <v>0.37</v>
      </c>
      <c r="U209" s="11">
        <v>0.06</v>
      </c>
      <c r="V209" s="11">
        <v>0.43</v>
      </c>
      <c r="W209" s="11">
        <v>0.37</v>
      </c>
      <c r="X209" s="11">
        <v>0.43</v>
      </c>
      <c r="Y209" s="14" t="s">
        <v>1015</v>
      </c>
    </row>
    <row r="210">
      <c r="A210" s="74">
        <v>204.0</v>
      </c>
      <c r="B210" s="7" t="s">
        <v>451</v>
      </c>
      <c r="C210" s="8" t="s">
        <v>446</v>
      </c>
      <c r="D210" s="9" t="s">
        <v>87</v>
      </c>
      <c r="E210" s="7" t="s">
        <v>44</v>
      </c>
      <c r="F210" s="9">
        <v>26.0</v>
      </c>
      <c r="G210" s="9">
        <v>1997.0</v>
      </c>
      <c r="H210" s="10">
        <v>20.0</v>
      </c>
      <c r="I210" s="11">
        <v>14.0</v>
      </c>
      <c r="J210" s="15">
        <v>1203.0</v>
      </c>
      <c r="K210" s="11">
        <v>13.4</v>
      </c>
      <c r="L210" s="12">
        <v>0.0</v>
      </c>
      <c r="M210" s="13">
        <v>0.0</v>
      </c>
      <c r="N210" s="13">
        <v>0.0</v>
      </c>
      <c r="O210" s="13">
        <v>0.0</v>
      </c>
      <c r="P210" s="13">
        <v>0.0</v>
      </c>
      <c r="Q210" s="13">
        <v>0.0</v>
      </c>
      <c r="R210" s="11">
        <v>4.0</v>
      </c>
      <c r="S210" s="13">
        <v>0.0</v>
      </c>
      <c r="T210" s="12">
        <v>0.0</v>
      </c>
      <c r="U210" s="13">
        <v>0.0</v>
      </c>
      <c r="V210" s="13">
        <v>0.0</v>
      </c>
      <c r="W210" s="13">
        <v>0.0</v>
      </c>
      <c r="X210" s="13">
        <v>0.0</v>
      </c>
      <c r="Y210" s="14" t="s">
        <v>1016</v>
      </c>
    </row>
    <row r="211">
      <c r="A211" s="74">
        <v>205.0</v>
      </c>
      <c r="B211" s="7" t="s">
        <v>333</v>
      </c>
      <c r="C211" s="8" t="s">
        <v>25</v>
      </c>
      <c r="D211" s="9" t="s">
        <v>35</v>
      </c>
      <c r="E211" s="7" t="s">
        <v>44</v>
      </c>
      <c r="F211" s="9">
        <v>20.0</v>
      </c>
      <c r="G211" s="9">
        <v>2003.0</v>
      </c>
      <c r="H211" s="10">
        <v>24.0</v>
      </c>
      <c r="I211" s="11">
        <v>18.0</v>
      </c>
      <c r="J211" s="15">
        <v>1669.0</v>
      </c>
      <c r="K211" s="11">
        <v>18.5</v>
      </c>
      <c r="L211" s="10">
        <v>1.0</v>
      </c>
      <c r="M211" s="13">
        <v>0.0</v>
      </c>
      <c r="N211" s="11">
        <v>1.0</v>
      </c>
      <c r="O211" s="11">
        <v>1.0</v>
      </c>
      <c r="P211" s="13">
        <v>0.0</v>
      </c>
      <c r="Q211" s="13">
        <v>0.0</v>
      </c>
      <c r="R211" s="11">
        <v>4.0</v>
      </c>
      <c r="S211" s="13">
        <v>0.0</v>
      </c>
      <c r="T211" s="10">
        <v>0.05</v>
      </c>
      <c r="U211" s="13">
        <v>0.0</v>
      </c>
      <c r="V211" s="11">
        <v>0.05</v>
      </c>
      <c r="W211" s="11">
        <v>0.05</v>
      </c>
      <c r="X211" s="11">
        <v>0.05</v>
      </c>
      <c r="Y211" s="14" t="s">
        <v>1017</v>
      </c>
    </row>
    <row r="212">
      <c r="A212" s="74">
        <v>206.0</v>
      </c>
      <c r="B212" s="7" t="s">
        <v>269</v>
      </c>
      <c r="C212" s="8" t="s">
        <v>25</v>
      </c>
      <c r="D212" s="9" t="s">
        <v>35</v>
      </c>
      <c r="E212" s="7" t="s">
        <v>58</v>
      </c>
      <c r="F212" s="9">
        <v>22.0</v>
      </c>
      <c r="G212" s="9">
        <v>2001.0</v>
      </c>
      <c r="H212" s="10">
        <v>22.0</v>
      </c>
      <c r="I212" s="11">
        <v>22.0</v>
      </c>
      <c r="J212" s="15">
        <v>1980.0</v>
      </c>
      <c r="K212" s="11">
        <v>22.0</v>
      </c>
      <c r="L212" s="10">
        <v>1.0</v>
      </c>
      <c r="M212" s="13">
        <v>0.0</v>
      </c>
      <c r="N212" s="11">
        <v>1.0</v>
      </c>
      <c r="O212" s="11">
        <v>1.0</v>
      </c>
      <c r="P212" s="13">
        <v>0.0</v>
      </c>
      <c r="Q212" s="13">
        <v>0.0</v>
      </c>
      <c r="R212" s="13">
        <v>0.0</v>
      </c>
      <c r="S212" s="13">
        <v>0.0</v>
      </c>
      <c r="T212" s="10">
        <v>0.05</v>
      </c>
      <c r="U212" s="13">
        <v>0.0</v>
      </c>
      <c r="V212" s="11">
        <v>0.05</v>
      </c>
      <c r="W212" s="11">
        <v>0.05</v>
      </c>
      <c r="X212" s="11">
        <v>0.05</v>
      </c>
      <c r="Y212" s="14" t="s">
        <v>1018</v>
      </c>
    </row>
    <row r="213">
      <c r="A213" s="74">
        <v>207.0</v>
      </c>
      <c r="B213" s="7" t="s">
        <v>592</v>
      </c>
      <c r="C213" s="8" t="s">
        <v>25</v>
      </c>
      <c r="D213" s="9" t="s">
        <v>77</v>
      </c>
      <c r="E213" s="7" t="s">
        <v>80</v>
      </c>
      <c r="F213" s="9">
        <v>18.0</v>
      </c>
      <c r="G213" s="9">
        <v>2005.0</v>
      </c>
      <c r="H213" s="10">
        <v>2.0</v>
      </c>
      <c r="I213" s="11">
        <v>2.0</v>
      </c>
      <c r="J213" s="11">
        <v>180.0</v>
      </c>
      <c r="K213" s="11">
        <v>2.0</v>
      </c>
      <c r="L213" s="12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3">
        <v>0.0</v>
      </c>
      <c r="S213" s="13">
        <v>0.0</v>
      </c>
      <c r="T213" s="12">
        <v>0.0</v>
      </c>
      <c r="U213" s="13">
        <v>0.0</v>
      </c>
      <c r="V213" s="13">
        <v>0.0</v>
      </c>
      <c r="W213" s="13">
        <v>0.0</v>
      </c>
      <c r="X213" s="13">
        <v>0.0</v>
      </c>
      <c r="Y213" s="14" t="s">
        <v>1019</v>
      </c>
    </row>
    <row r="214">
      <c r="A214" s="74">
        <v>208.0</v>
      </c>
      <c r="B214" s="7" t="s">
        <v>618</v>
      </c>
      <c r="C214" s="8" t="s">
        <v>25</v>
      </c>
      <c r="D214" s="9" t="s">
        <v>55</v>
      </c>
      <c r="E214" s="7" t="s">
        <v>80</v>
      </c>
      <c r="F214" s="9">
        <v>14.0</v>
      </c>
      <c r="G214" s="9">
        <v>2009.0</v>
      </c>
      <c r="H214" s="10">
        <v>1.0</v>
      </c>
      <c r="I214" s="13">
        <v>0.0</v>
      </c>
      <c r="J214" s="11">
        <v>8.0</v>
      </c>
      <c r="K214" s="11">
        <v>0.1</v>
      </c>
      <c r="L214" s="12">
        <v>0.0</v>
      </c>
      <c r="M214" s="13">
        <v>0.0</v>
      </c>
      <c r="N214" s="13">
        <v>0.0</v>
      </c>
      <c r="O214" s="13">
        <v>0.0</v>
      </c>
      <c r="P214" s="13">
        <v>0.0</v>
      </c>
      <c r="Q214" s="13">
        <v>0.0</v>
      </c>
      <c r="R214" s="13">
        <v>0.0</v>
      </c>
      <c r="S214" s="13">
        <v>0.0</v>
      </c>
      <c r="T214" s="12">
        <v>0.0</v>
      </c>
      <c r="U214" s="13">
        <v>0.0</v>
      </c>
      <c r="V214" s="13">
        <v>0.0</v>
      </c>
      <c r="W214" s="13">
        <v>0.0</v>
      </c>
      <c r="X214" s="13">
        <v>0.0</v>
      </c>
      <c r="Y214" s="14" t="s">
        <v>1020</v>
      </c>
    </row>
    <row r="215">
      <c r="A215" s="74">
        <v>209.0</v>
      </c>
      <c r="B215" s="7" t="s">
        <v>479</v>
      </c>
      <c r="C215" s="8" t="s">
        <v>25</v>
      </c>
      <c r="D215" s="9" t="s">
        <v>26</v>
      </c>
      <c r="E215" s="7" t="s">
        <v>128</v>
      </c>
      <c r="F215" s="9">
        <v>23.0</v>
      </c>
      <c r="G215" s="9">
        <v>2000.0</v>
      </c>
      <c r="H215" s="10">
        <v>35.0</v>
      </c>
      <c r="I215" s="11">
        <v>35.0</v>
      </c>
      <c r="J215" s="15">
        <v>3124.0</v>
      </c>
      <c r="K215" s="11">
        <v>34.7</v>
      </c>
      <c r="L215" s="10">
        <v>1.0</v>
      </c>
      <c r="M215" s="11">
        <v>1.0</v>
      </c>
      <c r="N215" s="11">
        <v>2.0</v>
      </c>
      <c r="O215" s="11">
        <v>1.0</v>
      </c>
      <c r="P215" s="13">
        <v>0.0</v>
      </c>
      <c r="Q215" s="13">
        <v>0.0</v>
      </c>
      <c r="R215" s="11">
        <v>13.0</v>
      </c>
      <c r="S215" s="13">
        <v>0.0</v>
      </c>
      <c r="T215" s="10">
        <v>0.03</v>
      </c>
      <c r="U215" s="11">
        <v>0.03</v>
      </c>
      <c r="V215" s="11">
        <v>0.06</v>
      </c>
      <c r="W215" s="11">
        <v>0.03</v>
      </c>
      <c r="X215" s="11">
        <v>0.06</v>
      </c>
      <c r="Y215" s="14" t="s">
        <v>1021</v>
      </c>
    </row>
    <row r="216">
      <c r="A216" s="74">
        <v>210.0</v>
      </c>
      <c r="B216" s="7" t="s">
        <v>343</v>
      </c>
      <c r="C216" s="8" t="s">
        <v>25</v>
      </c>
      <c r="D216" s="9" t="s">
        <v>83</v>
      </c>
      <c r="E216" s="7" t="s">
        <v>80</v>
      </c>
      <c r="F216" s="9">
        <v>30.0</v>
      </c>
      <c r="G216" s="9">
        <v>1993.0</v>
      </c>
      <c r="H216" s="10">
        <v>28.0</v>
      </c>
      <c r="I216" s="11">
        <v>24.0</v>
      </c>
      <c r="J216" s="15">
        <v>2124.0</v>
      </c>
      <c r="K216" s="11">
        <v>23.6</v>
      </c>
      <c r="L216" s="10">
        <v>2.0</v>
      </c>
      <c r="M216" s="11">
        <v>1.0</v>
      </c>
      <c r="N216" s="11">
        <v>3.0</v>
      </c>
      <c r="O216" s="11">
        <v>2.0</v>
      </c>
      <c r="P216" s="13">
        <v>0.0</v>
      </c>
      <c r="Q216" s="13">
        <v>0.0</v>
      </c>
      <c r="R216" s="11">
        <v>4.0</v>
      </c>
      <c r="S216" s="13">
        <v>0.0</v>
      </c>
      <c r="T216" s="10">
        <v>0.08</v>
      </c>
      <c r="U216" s="11">
        <v>0.04</v>
      </c>
      <c r="V216" s="11">
        <v>0.13</v>
      </c>
      <c r="W216" s="11">
        <v>0.08</v>
      </c>
      <c r="X216" s="11">
        <v>0.13</v>
      </c>
      <c r="Y216" s="14" t="s">
        <v>1022</v>
      </c>
    </row>
    <row r="217">
      <c r="A217" s="74">
        <v>211.0</v>
      </c>
      <c r="B217" s="7" t="s">
        <v>191</v>
      </c>
      <c r="C217" s="8" t="s">
        <v>70</v>
      </c>
      <c r="D217" s="9" t="s">
        <v>30</v>
      </c>
      <c r="E217" s="7" t="s">
        <v>52</v>
      </c>
      <c r="F217" s="9">
        <v>28.0</v>
      </c>
      <c r="G217" s="9">
        <v>1995.0</v>
      </c>
      <c r="H217" s="10">
        <v>32.0</v>
      </c>
      <c r="I217" s="11">
        <v>14.0</v>
      </c>
      <c r="J217" s="15">
        <v>1499.0</v>
      </c>
      <c r="K217" s="11">
        <v>16.7</v>
      </c>
      <c r="L217" s="10">
        <v>7.0</v>
      </c>
      <c r="M217" s="11">
        <v>2.0</v>
      </c>
      <c r="N217" s="11">
        <v>9.0</v>
      </c>
      <c r="O217" s="11">
        <v>7.0</v>
      </c>
      <c r="P217" s="13">
        <v>0.0</v>
      </c>
      <c r="Q217" s="13">
        <v>0.0</v>
      </c>
      <c r="R217" s="11">
        <v>4.0</v>
      </c>
      <c r="S217" s="13">
        <v>0.0</v>
      </c>
      <c r="T217" s="10">
        <v>0.42</v>
      </c>
      <c r="U217" s="11">
        <v>0.12</v>
      </c>
      <c r="V217" s="11">
        <v>0.54</v>
      </c>
      <c r="W217" s="11">
        <v>0.42</v>
      </c>
      <c r="X217" s="11">
        <v>0.54</v>
      </c>
      <c r="Y217" s="14" t="s">
        <v>1023</v>
      </c>
    </row>
    <row r="218">
      <c r="A218" s="74">
        <v>212.0</v>
      </c>
      <c r="B218" s="7" t="s">
        <v>290</v>
      </c>
      <c r="C218" s="8" t="s">
        <v>34</v>
      </c>
      <c r="D218" s="9" t="s">
        <v>83</v>
      </c>
      <c r="E218" s="7" t="s">
        <v>80</v>
      </c>
      <c r="F218" s="9">
        <v>21.0</v>
      </c>
      <c r="G218" s="9">
        <v>2002.0</v>
      </c>
      <c r="H218" s="10">
        <v>16.0</v>
      </c>
      <c r="I218" s="11">
        <v>10.0</v>
      </c>
      <c r="J218" s="15">
        <v>1000.0</v>
      </c>
      <c r="K218" s="11">
        <v>11.1</v>
      </c>
      <c r="L218" s="12">
        <v>0.0</v>
      </c>
      <c r="M218" s="13">
        <v>0.0</v>
      </c>
      <c r="N218" s="13">
        <v>0.0</v>
      </c>
      <c r="O218" s="13">
        <v>0.0</v>
      </c>
      <c r="P218" s="13">
        <v>0.0</v>
      </c>
      <c r="Q218" s="13">
        <v>0.0</v>
      </c>
      <c r="R218" s="11">
        <v>5.0</v>
      </c>
      <c r="S218" s="13">
        <v>0.0</v>
      </c>
      <c r="T218" s="12">
        <v>0.0</v>
      </c>
      <c r="U218" s="13">
        <v>0.0</v>
      </c>
      <c r="V218" s="13">
        <v>0.0</v>
      </c>
      <c r="W218" s="13">
        <v>0.0</v>
      </c>
      <c r="X218" s="13">
        <v>0.0</v>
      </c>
      <c r="Y218" s="14" t="s">
        <v>1024</v>
      </c>
    </row>
    <row r="219">
      <c r="A219" s="74">
        <v>213.0</v>
      </c>
      <c r="B219" s="7" t="s">
        <v>426</v>
      </c>
      <c r="C219" s="8" t="s">
        <v>25</v>
      </c>
      <c r="D219" s="9" t="s">
        <v>35</v>
      </c>
      <c r="E219" s="7" t="s">
        <v>80</v>
      </c>
      <c r="F219" s="9">
        <v>16.0</v>
      </c>
      <c r="G219" s="9">
        <v>2007.0</v>
      </c>
      <c r="H219" s="10">
        <v>2.0</v>
      </c>
      <c r="I219" s="13">
        <v>0.0</v>
      </c>
      <c r="J219" s="11">
        <v>31.0</v>
      </c>
      <c r="K219" s="11">
        <v>0.3</v>
      </c>
      <c r="L219" s="12">
        <v>0.0</v>
      </c>
      <c r="M219" s="13">
        <v>0.0</v>
      </c>
      <c r="N219" s="13">
        <v>0.0</v>
      </c>
      <c r="O219" s="13">
        <v>0.0</v>
      </c>
      <c r="P219" s="13">
        <v>0.0</v>
      </c>
      <c r="Q219" s="13">
        <v>0.0</v>
      </c>
      <c r="R219" s="13">
        <v>0.0</v>
      </c>
      <c r="S219" s="13">
        <v>0.0</v>
      </c>
      <c r="T219" s="12">
        <v>0.0</v>
      </c>
      <c r="U219" s="13">
        <v>0.0</v>
      </c>
      <c r="V219" s="13">
        <v>0.0</v>
      </c>
      <c r="W219" s="13">
        <v>0.0</v>
      </c>
      <c r="X219" s="13">
        <v>0.0</v>
      </c>
      <c r="Y219" s="14" t="s">
        <v>1025</v>
      </c>
    </row>
    <row r="220">
      <c r="A220" s="74">
        <v>214.0</v>
      </c>
      <c r="B220" s="7" t="s">
        <v>305</v>
      </c>
      <c r="C220" s="8" t="s">
        <v>25</v>
      </c>
      <c r="D220" s="9" t="s">
        <v>47</v>
      </c>
      <c r="E220" s="7" t="s">
        <v>27</v>
      </c>
      <c r="F220" s="9">
        <v>27.0</v>
      </c>
      <c r="G220" s="9">
        <v>1996.0</v>
      </c>
      <c r="H220" s="10">
        <v>31.0</v>
      </c>
      <c r="I220" s="11">
        <v>23.0</v>
      </c>
      <c r="J220" s="15">
        <v>1844.0</v>
      </c>
      <c r="K220" s="11">
        <v>20.5</v>
      </c>
      <c r="L220" s="10">
        <v>7.0</v>
      </c>
      <c r="M220" s="11">
        <v>3.0</v>
      </c>
      <c r="N220" s="11">
        <v>10.0</v>
      </c>
      <c r="O220" s="11">
        <v>7.0</v>
      </c>
      <c r="P220" s="13">
        <v>0.0</v>
      </c>
      <c r="Q220" s="13">
        <v>0.0</v>
      </c>
      <c r="R220" s="11">
        <v>3.0</v>
      </c>
      <c r="S220" s="13">
        <v>0.0</v>
      </c>
      <c r="T220" s="10">
        <v>0.34</v>
      </c>
      <c r="U220" s="11">
        <v>0.15</v>
      </c>
      <c r="V220" s="11">
        <v>0.49</v>
      </c>
      <c r="W220" s="11">
        <v>0.34</v>
      </c>
      <c r="X220" s="11">
        <v>0.49</v>
      </c>
      <c r="Y220" s="14" t="s">
        <v>1026</v>
      </c>
    </row>
    <row r="221">
      <c r="A221" s="74">
        <v>215.0</v>
      </c>
      <c r="B221" s="7" t="s">
        <v>544</v>
      </c>
      <c r="C221" s="8" t="s">
        <v>70</v>
      </c>
      <c r="D221" s="9" t="s">
        <v>77</v>
      </c>
      <c r="E221" s="7" t="s">
        <v>80</v>
      </c>
      <c r="F221" s="9">
        <v>23.0</v>
      </c>
      <c r="G221" s="9">
        <v>2000.0</v>
      </c>
      <c r="H221" s="10">
        <v>20.0</v>
      </c>
      <c r="I221" s="11">
        <v>19.0</v>
      </c>
      <c r="J221" s="15">
        <v>1755.0</v>
      </c>
      <c r="K221" s="11">
        <v>19.5</v>
      </c>
      <c r="L221" s="12">
        <v>0.0</v>
      </c>
      <c r="M221" s="13">
        <v>0.0</v>
      </c>
      <c r="N221" s="13">
        <v>0.0</v>
      </c>
      <c r="O221" s="13">
        <v>0.0</v>
      </c>
      <c r="P221" s="13">
        <v>0.0</v>
      </c>
      <c r="Q221" s="13">
        <v>0.0</v>
      </c>
      <c r="R221" s="11">
        <v>1.0</v>
      </c>
      <c r="S221" s="13">
        <v>0.0</v>
      </c>
      <c r="T221" s="12">
        <v>0.0</v>
      </c>
      <c r="U221" s="13">
        <v>0.0</v>
      </c>
      <c r="V221" s="13">
        <v>0.0</v>
      </c>
      <c r="W221" s="13">
        <v>0.0</v>
      </c>
      <c r="X221" s="13">
        <v>0.0</v>
      </c>
      <c r="Y221" s="14" t="s">
        <v>1027</v>
      </c>
    </row>
    <row r="222">
      <c r="A222" s="74">
        <v>216.0</v>
      </c>
      <c r="B222" s="7" t="s">
        <v>67</v>
      </c>
      <c r="C222" s="8" t="s">
        <v>25</v>
      </c>
      <c r="D222" s="9" t="s">
        <v>26</v>
      </c>
      <c r="E222" s="7" t="s">
        <v>27</v>
      </c>
      <c r="F222" s="9">
        <v>20.0</v>
      </c>
      <c r="G222" s="9">
        <v>2003.0</v>
      </c>
      <c r="H222" s="10">
        <v>22.0</v>
      </c>
      <c r="I222" s="11">
        <v>7.0</v>
      </c>
      <c r="J222" s="11">
        <v>725.0</v>
      </c>
      <c r="K222" s="11">
        <v>8.1</v>
      </c>
      <c r="L222" s="10">
        <v>2.0</v>
      </c>
      <c r="M222" s="13">
        <v>0.0</v>
      </c>
      <c r="N222" s="11">
        <v>2.0</v>
      </c>
      <c r="O222" s="11">
        <v>2.0</v>
      </c>
      <c r="P222" s="13">
        <v>0.0</v>
      </c>
      <c r="Q222" s="13">
        <v>0.0</v>
      </c>
      <c r="R222" s="11">
        <v>3.0</v>
      </c>
      <c r="S222" s="13">
        <v>0.0</v>
      </c>
      <c r="T222" s="10">
        <v>0.25</v>
      </c>
      <c r="U222" s="13">
        <v>0.0</v>
      </c>
      <c r="V222" s="11">
        <v>0.25</v>
      </c>
      <c r="W222" s="11">
        <v>0.25</v>
      </c>
      <c r="X222" s="11">
        <v>0.25</v>
      </c>
      <c r="Y222" s="14" t="s">
        <v>1028</v>
      </c>
    </row>
    <row r="223">
      <c r="A223" s="74">
        <v>217.0</v>
      </c>
      <c r="B223" s="7" t="s">
        <v>154</v>
      </c>
      <c r="C223" s="8" t="s">
        <v>25</v>
      </c>
      <c r="D223" s="9" t="s">
        <v>47</v>
      </c>
      <c r="E223" s="7" t="s">
        <v>31</v>
      </c>
      <c r="F223" s="9">
        <v>21.0</v>
      </c>
      <c r="G223" s="9">
        <v>2003.0</v>
      </c>
      <c r="H223" s="10">
        <v>19.0</v>
      </c>
      <c r="I223" s="11">
        <v>10.0</v>
      </c>
      <c r="J223" s="11">
        <v>857.0</v>
      </c>
      <c r="K223" s="11">
        <v>9.5</v>
      </c>
      <c r="L223" s="12">
        <v>0.0</v>
      </c>
      <c r="M223" s="11">
        <v>4.0</v>
      </c>
      <c r="N223" s="11">
        <v>4.0</v>
      </c>
      <c r="O223" s="13">
        <v>0.0</v>
      </c>
      <c r="P223" s="13">
        <v>0.0</v>
      </c>
      <c r="Q223" s="13">
        <v>0.0</v>
      </c>
      <c r="R223" s="11">
        <v>3.0</v>
      </c>
      <c r="S223" s="13">
        <v>0.0</v>
      </c>
      <c r="T223" s="12">
        <v>0.0</v>
      </c>
      <c r="U223" s="11">
        <v>0.42</v>
      </c>
      <c r="V223" s="11">
        <v>0.42</v>
      </c>
      <c r="W223" s="13">
        <v>0.0</v>
      </c>
      <c r="X223" s="11">
        <v>0.42</v>
      </c>
      <c r="Y223" s="14" t="s">
        <v>1029</v>
      </c>
    </row>
    <row r="224">
      <c r="A224" s="74">
        <v>218.0</v>
      </c>
      <c r="B224" s="7" t="s">
        <v>473</v>
      </c>
      <c r="C224" s="8" t="s">
        <v>25</v>
      </c>
      <c r="D224" s="9" t="s">
        <v>55</v>
      </c>
      <c r="E224" s="7" t="s">
        <v>27</v>
      </c>
      <c r="F224" s="9">
        <v>15.0</v>
      </c>
      <c r="G224" s="9">
        <v>2008.0</v>
      </c>
      <c r="H224" s="10">
        <v>1.0</v>
      </c>
      <c r="I224" s="13">
        <v>0.0</v>
      </c>
      <c r="J224" s="11">
        <v>2.0</v>
      </c>
      <c r="K224" s="13">
        <v>0.0</v>
      </c>
      <c r="L224" s="12">
        <v>0.0</v>
      </c>
      <c r="M224" s="13">
        <v>0.0</v>
      </c>
      <c r="N224" s="13">
        <v>0.0</v>
      </c>
      <c r="O224" s="13">
        <v>0.0</v>
      </c>
      <c r="P224" s="13">
        <v>0.0</v>
      </c>
      <c r="Q224" s="13">
        <v>0.0</v>
      </c>
      <c r="R224" s="13">
        <v>0.0</v>
      </c>
      <c r="S224" s="13">
        <v>0.0</v>
      </c>
      <c r="T224" s="12">
        <v>0.0</v>
      </c>
      <c r="U224" s="13">
        <v>0.0</v>
      </c>
      <c r="V224" s="13">
        <v>0.0</v>
      </c>
      <c r="W224" s="13">
        <v>0.0</v>
      </c>
      <c r="X224" s="13">
        <v>0.0</v>
      </c>
      <c r="Y224" s="14" t="s">
        <v>1030</v>
      </c>
    </row>
    <row r="225">
      <c r="A225" s="74">
        <v>219.0</v>
      </c>
      <c r="B225" s="7" t="s">
        <v>203</v>
      </c>
      <c r="C225" s="8" t="s">
        <v>25</v>
      </c>
      <c r="D225" s="9" t="s">
        <v>47</v>
      </c>
      <c r="E225" s="7" t="s">
        <v>31</v>
      </c>
      <c r="F225" s="9">
        <v>22.0</v>
      </c>
      <c r="G225" s="9">
        <v>2001.0</v>
      </c>
      <c r="H225" s="10">
        <v>27.0</v>
      </c>
      <c r="I225" s="11">
        <v>19.0</v>
      </c>
      <c r="J225" s="15">
        <v>1739.0</v>
      </c>
      <c r="K225" s="11">
        <v>19.3</v>
      </c>
      <c r="L225" s="10">
        <v>1.0</v>
      </c>
      <c r="M225" s="11">
        <v>2.0</v>
      </c>
      <c r="N225" s="11">
        <v>3.0</v>
      </c>
      <c r="O225" s="11">
        <v>1.0</v>
      </c>
      <c r="P225" s="13">
        <v>0.0</v>
      </c>
      <c r="Q225" s="13">
        <v>0.0</v>
      </c>
      <c r="R225" s="11">
        <v>4.0</v>
      </c>
      <c r="S225" s="13">
        <v>0.0</v>
      </c>
      <c r="T225" s="10">
        <v>0.05</v>
      </c>
      <c r="U225" s="11">
        <v>0.1</v>
      </c>
      <c r="V225" s="11">
        <v>0.16</v>
      </c>
      <c r="W225" s="11">
        <v>0.05</v>
      </c>
      <c r="X225" s="11">
        <v>0.16</v>
      </c>
      <c r="Y225" s="14" t="s">
        <v>1031</v>
      </c>
    </row>
    <row r="226">
      <c r="A226" s="74">
        <v>220.0</v>
      </c>
      <c r="B226" s="7" t="s">
        <v>461</v>
      </c>
      <c r="C226" s="8" t="s">
        <v>25</v>
      </c>
      <c r="D226" s="9" t="s">
        <v>87</v>
      </c>
      <c r="E226" s="7" t="s">
        <v>62</v>
      </c>
      <c r="F226" s="9">
        <v>25.0</v>
      </c>
      <c r="G226" s="9">
        <v>1998.0</v>
      </c>
      <c r="H226" s="10">
        <v>17.0</v>
      </c>
      <c r="I226" s="11">
        <v>9.0</v>
      </c>
      <c r="J226" s="11">
        <v>872.0</v>
      </c>
      <c r="K226" s="11">
        <v>9.7</v>
      </c>
      <c r="L226" s="10">
        <v>3.0</v>
      </c>
      <c r="M226" s="11">
        <v>1.0</v>
      </c>
      <c r="N226" s="11">
        <v>4.0</v>
      </c>
      <c r="O226" s="11">
        <v>3.0</v>
      </c>
      <c r="P226" s="13">
        <v>0.0</v>
      </c>
      <c r="Q226" s="13">
        <v>0.0</v>
      </c>
      <c r="R226" s="11">
        <v>2.0</v>
      </c>
      <c r="S226" s="13">
        <v>0.0</v>
      </c>
      <c r="T226" s="10">
        <v>0.31</v>
      </c>
      <c r="U226" s="11">
        <v>0.1</v>
      </c>
      <c r="V226" s="11">
        <v>0.41</v>
      </c>
      <c r="W226" s="11">
        <v>0.31</v>
      </c>
      <c r="X226" s="11">
        <v>0.41</v>
      </c>
      <c r="Y226" s="14" t="s">
        <v>1032</v>
      </c>
    </row>
    <row r="227">
      <c r="A227" s="74">
        <v>221.0</v>
      </c>
      <c r="B227" s="7" t="s">
        <v>57</v>
      </c>
      <c r="C227" s="8" t="s">
        <v>25</v>
      </c>
      <c r="D227" s="9" t="s">
        <v>55</v>
      </c>
      <c r="E227" s="7" t="s">
        <v>58</v>
      </c>
      <c r="F227" s="9">
        <v>30.0</v>
      </c>
      <c r="G227" s="9">
        <v>1993.0</v>
      </c>
      <c r="H227" s="10">
        <v>8.0</v>
      </c>
      <c r="I227" s="11">
        <v>5.0</v>
      </c>
      <c r="J227" s="11">
        <v>459.0</v>
      </c>
      <c r="K227" s="11">
        <v>5.1</v>
      </c>
      <c r="L227" s="10">
        <v>1.0</v>
      </c>
      <c r="M227" s="13">
        <v>0.0</v>
      </c>
      <c r="N227" s="11">
        <v>1.0</v>
      </c>
      <c r="O227" s="11">
        <v>1.0</v>
      </c>
      <c r="P227" s="13">
        <v>0.0</v>
      </c>
      <c r="Q227" s="13">
        <v>0.0</v>
      </c>
      <c r="R227" s="13">
        <v>0.0</v>
      </c>
      <c r="S227" s="13">
        <v>0.0</v>
      </c>
      <c r="T227" s="10">
        <v>0.2</v>
      </c>
      <c r="U227" s="13">
        <v>0.0</v>
      </c>
      <c r="V227" s="11">
        <v>0.2</v>
      </c>
      <c r="W227" s="11">
        <v>0.2</v>
      </c>
      <c r="X227" s="11">
        <v>0.2</v>
      </c>
      <c r="Y227" s="14" t="s">
        <v>1033</v>
      </c>
    </row>
    <row r="228">
      <c r="A228" s="74">
        <v>222.0</v>
      </c>
      <c r="B228" s="7" t="s">
        <v>457</v>
      </c>
      <c r="C228" s="8" t="s">
        <v>25</v>
      </c>
      <c r="D228" s="9" t="s">
        <v>26</v>
      </c>
      <c r="E228" s="7" t="s">
        <v>36</v>
      </c>
      <c r="F228" s="9">
        <v>20.0</v>
      </c>
      <c r="G228" s="9">
        <v>2004.0</v>
      </c>
      <c r="H228" s="10">
        <v>9.0</v>
      </c>
      <c r="I228" s="11">
        <v>4.0</v>
      </c>
      <c r="J228" s="11">
        <v>440.0</v>
      </c>
      <c r="K228" s="11">
        <v>4.9</v>
      </c>
      <c r="L228" s="12">
        <v>0.0</v>
      </c>
      <c r="M228" s="13">
        <v>0.0</v>
      </c>
      <c r="N228" s="13">
        <v>0.0</v>
      </c>
      <c r="O228" s="13">
        <v>0.0</v>
      </c>
      <c r="P228" s="13">
        <v>0.0</v>
      </c>
      <c r="Q228" s="13">
        <v>0.0</v>
      </c>
      <c r="R228" s="11">
        <v>2.0</v>
      </c>
      <c r="S228" s="13">
        <v>0.0</v>
      </c>
      <c r="T228" s="12">
        <v>0.0</v>
      </c>
      <c r="U228" s="13">
        <v>0.0</v>
      </c>
      <c r="V228" s="13">
        <v>0.0</v>
      </c>
      <c r="W228" s="13">
        <v>0.0</v>
      </c>
      <c r="X228" s="13">
        <v>0.0</v>
      </c>
      <c r="Y228" s="14" t="s">
        <v>1034</v>
      </c>
    </row>
    <row r="229">
      <c r="A229" s="74">
        <v>223.0</v>
      </c>
      <c r="B229" s="7" t="s">
        <v>364</v>
      </c>
      <c r="C229" s="8" t="s">
        <v>70</v>
      </c>
      <c r="D229" s="9" t="s">
        <v>55</v>
      </c>
      <c r="E229" s="7" t="s">
        <v>80</v>
      </c>
      <c r="F229" s="9">
        <v>19.0</v>
      </c>
      <c r="G229" s="9">
        <v>2004.0</v>
      </c>
      <c r="H229" s="10">
        <v>1.0</v>
      </c>
      <c r="I229" s="13">
        <v>0.0</v>
      </c>
      <c r="J229" s="11">
        <v>16.0</v>
      </c>
      <c r="K229" s="11">
        <v>0.2</v>
      </c>
      <c r="L229" s="12">
        <v>0.0</v>
      </c>
      <c r="M229" s="13">
        <v>0.0</v>
      </c>
      <c r="N229" s="13">
        <v>0.0</v>
      </c>
      <c r="O229" s="13">
        <v>0.0</v>
      </c>
      <c r="P229" s="13">
        <v>0.0</v>
      </c>
      <c r="Q229" s="13">
        <v>0.0</v>
      </c>
      <c r="R229" s="11">
        <v>1.0</v>
      </c>
      <c r="S229" s="13">
        <v>0.0</v>
      </c>
      <c r="T229" s="12">
        <v>0.0</v>
      </c>
      <c r="U229" s="13">
        <v>0.0</v>
      </c>
      <c r="V229" s="13">
        <v>0.0</v>
      </c>
      <c r="W229" s="13">
        <v>0.0</v>
      </c>
      <c r="X229" s="13">
        <v>0.0</v>
      </c>
      <c r="Y229" s="14" t="s">
        <v>1035</v>
      </c>
    </row>
    <row r="230">
      <c r="A230" s="74">
        <v>224.0</v>
      </c>
      <c r="B230" s="7" t="s">
        <v>558</v>
      </c>
      <c r="C230" s="8" t="s">
        <v>25</v>
      </c>
      <c r="D230" s="9" t="s">
        <v>47</v>
      </c>
      <c r="E230" s="7" t="s">
        <v>80</v>
      </c>
      <c r="F230" s="9">
        <v>20.0</v>
      </c>
      <c r="G230" s="9">
        <v>2003.0</v>
      </c>
      <c r="H230" s="10">
        <v>33.0</v>
      </c>
      <c r="I230" s="11">
        <v>14.0</v>
      </c>
      <c r="J230" s="15">
        <v>1460.0</v>
      </c>
      <c r="K230" s="11">
        <v>16.2</v>
      </c>
      <c r="L230" s="10">
        <v>3.0</v>
      </c>
      <c r="M230" s="11">
        <v>2.0</v>
      </c>
      <c r="N230" s="11">
        <v>5.0</v>
      </c>
      <c r="O230" s="11">
        <v>3.0</v>
      </c>
      <c r="P230" s="13">
        <v>0.0</v>
      </c>
      <c r="Q230" s="13">
        <v>0.0</v>
      </c>
      <c r="R230" s="11">
        <v>1.0</v>
      </c>
      <c r="S230" s="13">
        <v>0.0</v>
      </c>
      <c r="T230" s="10">
        <v>0.18</v>
      </c>
      <c r="U230" s="11">
        <v>0.12</v>
      </c>
      <c r="V230" s="11">
        <v>0.31</v>
      </c>
      <c r="W230" s="11">
        <v>0.18</v>
      </c>
      <c r="X230" s="11">
        <v>0.31</v>
      </c>
      <c r="Y230" s="14" t="s">
        <v>1036</v>
      </c>
    </row>
    <row r="231">
      <c r="A231" s="74">
        <v>225.0</v>
      </c>
      <c r="B231" s="7" t="s">
        <v>171</v>
      </c>
      <c r="C231" s="8" t="s">
        <v>25</v>
      </c>
      <c r="D231" s="9" t="s">
        <v>83</v>
      </c>
      <c r="E231" s="7" t="s">
        <v>62</v>
      </c>
      <c r="F231" s="9">
        <v>30.0</v>
      </c>
      <c r="G231" s="9">
        <v>1993.0</v>
      </c>
      <c r="H231" s="10">
        <v>16.0</v>
      </c>
      <c r="I231" s="11">
        <v>5.0</v>
      </c>
      <c r="J231" s="11">
        <v>570.0</v>
      </c>
      <c r="K231" s="11">
        <v>6.3</v>
      </c>
      <c r="L231" s="10">
        <v>1.0</v>
      </c>
      <c r="M231" s="13">
        <v>0.0</v>
      </c>
      <c r="N231" s="11">
        <v>1.0</v>
      </c>
      <c r="O231" s="11">
        <v>1.0</v>
      </c>
      <c r="P231" s="13">
        <v>0.0</v>
      </c>
      <c r="Q231" s="13">
        <v>0.0</v>
      </c>
      <c r="R231" s="11">
        <v>1.0</v>
      </c>
      <c r="S231" s="13">
        <v>0.0</v>
      </c>
      <c r="T231" s="10">
        <v>0.16</v>
      </c>
      <c r="U231" s="13">
        <v>0.0</v>
      </c>
      <c r="V231" s="11">
        <v>0.16</v>
      </c>
      <c r="W231" s="11">
        <v>0.16</v>
      </c>
      <c r="X231" s="11">
        <v>0.16</v>
      </c>
      <c r="Y231" s="14" t="s">
        <v>1037</v>
      </c>
    </row>
    <row r="232">
      <c r="A232" s="74">
        <v>226.0</v>
      </c>
      <c r="B232" s="7" t="s">
        <v>481</v>
      </c>
      <c r="C232" s="8" t="s">
        <v>25</v>
      </c>
      <c r="D232" s="9" t="s">
        <v>26</v>
      </c>
      <c r="E232" s="7" t="s">
        <v>98</v>
      </c>
      <c r="F232" s="9">
        <v>24.0</v>
      </c>
      <c r="G232" s="9">
        <v>2000.0</v>
      </c>
      <c r="H232" s="10">
        <v>19.0</v>
      </c>
      <c r="I232" s="11">
        <v>6.0</v>
      </c>
      <c r="J232" s="11">
        <v>689.0</v>
      </c>
      <c r="K232" s="11">
        <v>7.7</v>
      </c>
      <c r="L232" s="10">
        <v>1.0</v>
      </c>
      <c r="M232" s="13">
        <v>0.0</v>
      </c>
      <c r="N232" s="11">
        <v>1.0</v>
      </c>
      <c r="O232" s="11">
        <v>1.0</v>
      </c>
      <c r="P232" s="13">
        <v>0.0</v>
      </c>
      <c r="Q232" s="13">
        <v>0.0</v>
      </c>
      <c r="R232" s="11">
        <v>7.0</v>
      </c>
      <c r="S232" s="13">
        <v>0.0</v>
      </c>
      <c r="T232" s="10">
        <v>0.13</v>
      </c>
      <c r="U232" s="13">
        <v>0.0</v>
      </c>
      <c r="V232" s="11">
        <v>0.13</v>
      </c>
      <c r="W232" s="11">
        <v>0.13</v>
      </c>
      <c r="X232" s="11">
        <v>0.13</v>
      </c>
      <c r="Y232" s="14" t="s">
        <v>1038</v>
      </c>
    </row>
    <row r="233">
      <c r="A233" s="74">
        <v>227.0</v>
      </c>
      <c r="B233" s="7" t="s">
        <v>267</v>
      </c>
      <c r="C233" s="8" t="s">
        <v>25</v>
      </c>
      <c r="D233" s="9" t="s">
        <v>26</v>
      </c>
      <c r="E233" s="7" t="s">
        <v>31</v>
      </c>
      <c r="F233" s="9">
        <v>29.0</v>
      </c>
      <c r="G233" s="9">
        <v>1995.0</v>
      </c>
      <c r="H233" s="10">
        <v>23.0</v>
      </c>
      <c r="I233" s="11">
        <v>22.0</v>
      </c>
      <c r="J233" s="15">
        <v>1736.0</v>
      </c>
      <c r="K233" s="11">
        <v>19.3</v>
      </c>
      <c r="L233" s="12">
        <v>0.0</v>
      </c>
      <c r="M233" s="11">
        <v>1.0</v>
      </c>
      <c r="N233" s="11">
        <v>1.0</v>
      </c>
      <c r="O233" s="13">
        <v>0.0</v>
      </c>
      <c r="P233" s="13">
        <v>0.0</v>
      </c>
      <c r="Q233" s="13">
        <v>0.0</v>
      </c>
      <c r="R233" s="11">
        <v>6.0</v>
      </c>
      <c r="S233" s="13">
        <v>0.0</v>
      </c>
      <c r="T233" s="12">
        <v>0.0</v>
      </c>
      <c r="U233" s="11">
        <v>0.05</v>
      </c>
      <c r="V233" s="11">
        <v>0.05</v>
      </c>
      <c r="W233" s="13">
        <v>0.0</v>
      </c>
      <c r="X233" s="11">
        <v>0.05</v>
      </c>
      <c r="Y233" s="14" t="s">
        <v>1039</v>
      </c>
    </row>
    <row r="234">
      <c r="A234" s="74">
        <v>228.0</v>
      </c>
      <c r="B234" s="7" t="s">
        <v>51</v>
      </c>
      <c r="C234" s="8" t="s">
        <v>25</v>
      </c>
      <c r="D234" s="9" t="s">
        <v>26</v>
      </c>
      <c r="E234" s="7" t="s">
        <v>52</v>
      </c>
      <c r="F234" s="9">
        <v>22.0</v>
      </c>
      <c r="G234" s="9">
        <v>2001.0</v>
      </c>
      <c r="H234" s="10">
        <v>35.0</v>
      </c>
      <c r="I234" s="11">
        <v>32.0</v>
      </c>
      <c r="J234" s="15">
        <v>2842.0</v>
      </c>
      <c r="K234" s="11">
        <v>31.6</v>
      </c>
      <c r="L234" s="10">
        <v>1.0</v>
      </c>
      <c r="M234" s="13">
        <v>0.0</v>
      </c>
      <c r="N234" s="11">
        <v>1.0</v>
      </c>
      <c r="O234" s="11">
        <v>1.0</v>
      </c>
      <c r="P234" s="13">
        <v>0.0</v>
      </c>
      <c r="Q234" s="13">
        <v>0.0</v>
      </c>
      <c r="R234" s="11">
        <v>9.0</v>
      </c>
      <c r="S234" s="13">
        <v>0.0</v>
      </c>
      <c r="T234" s="10">
        <v>0.03</v>
      </c>
      <c r="U234" s="13">
        <v>0.0</v>
      </c>
      <c r="V234" s="11">
        <v>0.03</v>
      </c>
      <c r="W234" s="11">
        <v>0.03</v>
      </c>
      <c r="X234" s="11">
        <v>0.03</v>
      </c>
      <c r="Y234" s="14" t="s">
        <v>1040</v>
      </c>
    </row>
    <row r="235">
      <c r="A235" s="74">
        <v>229.0</v>
      </c>
      <c r="B235" s="7" t="s">
        <v>175</v>
      </c>
      <c r="C235" s="8" t="s">
        <v>25</v>
      </c>
      <c r="D235" s="9" t="s">
        <v>26</v>
      </c>
      <c r="E235" s="7" t="s">
        <v>31</v>
      </c>
      <c r="F235" s="9">
        <v>17.0</v>
      </c>
      <c r="G235" s="9">
        <v>2006.0</v>
      </c>
      <c r="H235" s="10">
        <v>6.0</v>
      </c>
      <c r="I235" s="11">
        <v>3.0</v>
      </c>
      <c r="J235" s="11">
        <v>300.0</v>
      </c>
      <c r="K235" s="11">
        <v>3.3</v>
      </c>
      <c r="L235" s="10">
        <v>1.0</v>
      </c>
      <c r="M235" s="13">
        <v>0.0</v>
      </c>
      <c r="N235" s="11">
        <v>1.0</v>
      </c>
      <c r="O235" s="11">
        <v>1.0</v>
      </c>
      <c r="P235" s="13">
        <v>0.0</v>
      </c>
      <c r="Q235" s="13">
        <v>0.0</v>
      </c>
      <c r="R235" s="13">
        <v>0.0</v>
      </c>
      <c r="S235" s="13">
        <v>0.0</v>
      </c>
      <c r="T235" s="10">
        <v>0.3</v>
      </c>
      <c r="U235" s="13">
        <v>0.0</v>
      </c>
      <c r="V235" s="11">
        <v>0.3</v>
      </c>
      <c r="W235" s="11">
        <v>0.3</v>
      </c>
      <c r="X235" s="11">
        <v>0.3</v>
      </c>
      <c r="Y235" s="14" t="s">
        <v>1041</v>
      </c>
    </row>
    <row r="236">
      <c r="A236" s="74">
        <v>230.0</v>
      </c>
      <c r="B236" s="7" t="s">
        <v>345</v>
      </c>
      <c r="C236" s="8" t="s">
        <v>25</v>
      </c>
      <c r="D236" s="9" t="s">
        <v>47</v>
      </c>
      <c r="E236" s="7" t="s">
        <v>58</v>
      </c>
      <c r="F236" s="9">
        <v>30.0</v>
      </c>
      <c r="G236" s="9">
        <v>1993.0</v>
      </c>
      <c r="H236" s="10">
        <v>24.0</v>
      </c>
      <c r="I236" s="11">
        <v>12.0</v>
      </c>
      <c r="J236" s="15">
        <v>1004.0</v>
      </c>
      <c r="K236" s="11">
        <v>11.2</v>
      </c>
      <c r="L236" s="10">
        <v>1.0</v>
      </c>
      <c r="M236" s="13">
        <v>0.0</v>
      </c>
      <c r="N236" s="11">
        <v>1.0</v>
      </c>
      <c r="O236" s="11">
        <v>1.0</v>
      </c>
      <c r="P236" s="13">
        <v>0.0</v>
      </c>
      <c r="Q236" s="13">
        <v>0.0</v>
      </c>
      <c r="R236" s="11">
        <v>7.0</v>
      </c>
      <c r="S236" s="13">
        <v>0.0</v>
      </c>
      <c r="T236" s="10">
        <v>0.09</v>
      </c>
      <c r="U236" s="13">
        <v>0.0</v>
      </c>
      <c r="V236" s="11">
        <v>0.09</v>
      </c>
      <c r="W236" s="11">
        <v>0.09</v>
      </c>
      <c r="X236" s="11">
        <v>0.09</v>
      </c>
      <c r="Y236" s="14" t="s">
        <v>1042</v>
      </c>
    </row>
    <row r="237">
      <c r="A237" s="74">
        <v>231.0</v>
      </c>
      <c r="B237" s="7" t="s">
        <v>345</v>
      </c>
      <c r="C237" s="8" t="s">
        <v>25</v>
      </c>
      <c r="D237" s="9" t="s">
        <v>26</v>
      </c>
      <c r="E237" s="7" t="s">
        <v>31</v>
      </c>
      <c r="F237" s="9">
        <v>18.0</v>
      </c>
      <c r="G237" s="9">
        <v>2006.0</v>
      </c>
      <c r="H237" s="10">
        <v>1.0</v>
      </c>
      <c r="I237" s="13">
        <v>0.0</v>
      </c>
      <c r="J237" s="11">
        <v>16.0</v>
      </c>
      <c r="K237" s="11">
        <v>0.2</v>
      </c>
      <c r="L237" s="12">
        <v>0.0</v>
      </c>
      <c r="M237" s="13">
        <v>0.0</v>
      </c>
      <c r="N237" s="13">
        <v>0.0</v>
      </c>
      <c r="O237" s="13">
        <v>0.0</v>
      </c>
      <c r="P237" s="13">
        <v>0.0</v>
      </c>
      <c r="Q237" s="13">
        <v>0.0</v>
      </c>
      <c r="R237" s="13">
        <v>0.0</v>
      </c>
      <c r="S237" s="13">
        <v>0.0</v>
      </c>
      <c r="T237" s="12">
        <v>0.0</v>
      </c>
      <c r="U237" s="13">
        <v>0.0</v>
      </c>
      <c r="V237" s="13">
        <v>0.0</v>
      </c>
      <c r="W237" s="13">
        <v>0.0</v>
      </c>
      <c r="X237" s="13">
        <v>0.0</v>
      </c>
      <c r="Y237" s="14" t="s">
        <v>1043</v>
      </c>
    </row>
    <row r="238">
      <c r="A238" s="74">
        <v>232.0</v>
      </c>
      <c r="B238" s="7" t="s">
        <v>380</v>
      </c>
      <c r="C238" s="8" t="s">
        <v>25</v>
      </c>
      <c r="D238" s="9" t="s">
        <v>47</v>
      </c>
      <c r="E238" s="7" t="s">
        <v>62</v>
      </c>
      <c r="F238" s="9">
        <v>24.0</v>
      </c>
      <c r="G238" s="9">
        <v>1999.0</v>
      </c>
      <c r="H238" s="10">
        <v>30.0</v>
      </c>
      <c r="I238" s="11">
        <v>21.0</v>
      </c>
      <c r="J238" s="15">
        <v>1678.0</v>
      </c>
      <c r="K238" s="11">
        <v>18.6</v>
      </c>
      <c r="L238" s="12">
        <v>0.0</v>
      </c>
      <c r="M238" s="11">
        <v>4.0</v>
      </c>
      <c r="N238" s="11">
        <v>4.0</v>
      </c>
      <c r="O238" s="13">
        <v>0.0</v>
      </c>
      <c r="P238" s="13">
        <v>0.0</v>
      </c>
      <c r="Q238" s="13">
        <v>0.0</v>
      </c>
      <c r="R238" s="11">
        <v>4.0</v>
      </c>
      <c r="S238" s="11">
        <v>1.0</v>
      </c>
      <c r="T238" s="12">
        <v>0.0</v>
      </c>
      <c r="U238" s="11">
        <v>0.21</v>
      </c>
      <c r="V238" s="11">
        <v>0.21</v>
      </c>
      <c r="W238" s="13">
        <v>0.0</v>
      </c>
      <c r="X238" s="11">
        <v>0.21</v>
      </c>
      <c r="Y238" s="14" t="s">
        <v>1044</v>
      </c>
    </row>
    <row r="239">
      <c r="A239" s="74">
        <v>233.0</v>
      </c>
      <c r="B239" s="7" t="s">
        <v>368</v>
      </c>
      <c r="C239" s="8" t="s">
        <v>34</v>
      </c>
      <c r="D239" s="9" t="s">
        <v>55</v>
      </c>
      <c r="E239" s="7" t="s">
        <v>62</v>
      </c>
      <c r="F239" s="9">
        <v>29.0</v>
      </c>
      <c r="G239" s="9">
        <v>1994.0</v>
      </c>
      <c r="H239" s="10">
        <v>4.0</v>
      </c>
      <c r="I239" s="13">
        <v>0.0</v>
      </c>
      <c r="J239" s="11">
        <v>23.0</v>
      </c>
      <c r="K239" s="11">
        <v>0.3</v>
      </c>
      <c r="L239" s="12">
        <v>0.0</v>
      </c>
      <c r="M239" s="13">
        <v>0.0</v>
      </c>
      <c r="N239" s="13">
        <v>0.0</v>
      </c>
      <c r="O239" s="13">
        <v>0.0</v>
      </c>
      <c r="P239" s="13">
        <v>0.0</v>
      </c>
      <c r="Q239" s="13">
        <v>0.0</v>
      </c>
      <c r="R239" s="13">
        <v>0.0</v>
      </c>
      <c r="S239" s="13">
        <v>0.0</v>
      </c>
      <c r="T239" s="12">
        <v>0.0</v>
      </c>
      <c r="U239" s="13">
        <v>0.0</v>
      </c>
      <c r="V239" s="13">
        <v>0.0</v>
      </c>
      <c r="W239" s="13">
        <v>0.0</v>
      </c>
      <c r="X239" s="13">
        <v>0.0</v>
      </c>
      <c r="Y239" s="14" t="s">
        <v>1045</v>
      </c>
    </row>
    <row r="240">
      <c r="A240" s="74">
        <v>234.0</v>
      </c>
      <c r="B240" s="7" t="s">
        <v>483</v>
      </c>
      <c r="C240" s="8" t="s">
        <v>25</v>
      </c>
      <c r="D240" s="9" t="s">
        <v>26</v>
      </c>
      <c r="E240" s="7" t="s">
        <v>44</v>
      </c>
      <c r="F240" s="9">
        <v>17.0</v>
      </c>
      <c r="G240" s="9">
        <v>2006.0</v>
      </c>
      <c r="H240" s="10">
        <v>5.0</v>
      </c>
      <c r="I240" s="13">
        <v>0.0</v>
      </c>
      <c r="J240" s="11">
        <v>49.0</v>
      </c>
      <c r="K240" s="11">
        <v>0.5</v>
      </c>
      <c r="L240" s="12">
        <v>0.0</v>
      </c>
      <c r="M240" s="13">
        <v>0.0</v>
      </c>
      <c r="N240" s="13">
        <v>0.0</v>
      </c>
      <c r="O240" s="13">
        <v>0.0</v>
      </c>
      <c r="P240" s="13">
        <v>0.0</v>
      </c>
      <c r="Q240" s="13">
        <v>0.0</v>
      </c>
      <c r="R240" s="11">
        <v>1.0</v>
      </c>
      <c r="S240" s="13">
        <v>0.0</v>
      </c>
      <c r="T240" s="12">
        <v>0.0</v>
      </c>
      <c r="U240" s="13">
        <v>0.0</v>
      </c>
      <c r="V240" s="13">
        <v>0.0</v>
      </c>
      <c r="W240" s="13">
        <v>0.0</v>
      </c>
      <c r="X240" s="13">
        <v>0.0</v>
      </c>
      <c r="Y240" s="14" t="s">
        <v>1046</v>
      </c>
    </row>
    <row r="241">
      <c r="A241" s="74">
        <v>235.0</v>
      </c>
      <c r="B241" s="7" t="s">
        <v>392</v>
      </c>
      <c r="C241" s="8" t="s">
        <v>393</v>
      </c>
      <c r="D241" s="9" t="s">
        <v>87</v>
      </c>
      <c r="E241" s="7" t="s">
        <v>80</v>
      </c>
      <c r="F241" s="9">
        <v>24.0</v>
      </c>
      <c r="G241" s="9">
        <v>2000.0</v>
      </c>
      <c r="H241" s="10">
        <v>14.0</v>
      </c>
      <c r="I241" s="11">
        <v>9.0</v>
      </c>
      <c r="J241" s="11">
        <v>836.0</v>
      </c>
      <c r="K241" s="11">
        <v>9.3</v>
      </c>
      <c r="L241" s="12">
        <v>0.0</v>
      </c>
      <c r="M241" s="13">
        <v>0.0</v>
      </c>
      <c r="N241" s="13">
        <v>0.0</v>
      </c>
      <c r="O241" s="13">
        <v>0.0</v>
      </c>
      <c r="P241" s="13">
        <v>0.0</v>
      </c>
      <c r="Q241" s="13">
        <v>0.0</v>
      </c>
      <c r="R241" s="11">
        <v>3.0</v>
      </c>
      <c r="S241" s="13">
        <v>0.0</v>
      </c>
      <c r="T241" s="12">
        <v>0.0</v>
      </c>
      <c r="U241" s="13">
        <v>0.0</v>
      </c>
      <c r="V241" s="13">
        <v>0.0</v>
      </c>
      <c r="W241" s="13">
        <v>0.0</v>
      </c>
      <c r="X241" s="13">
        <v>0.0</v>
      </c>
      <c r="Y241" s="14" t="s">
        <v>1047</v>
      </c>
    </row>
    <row r="242">
      <c r="A242" s="74">
        <v>236.0</v>
      </c>
      <c r="B242" s="7" t="s">
        <v>536</v>
      </c>
      <c r="C242" s="8" t="s">
        <v>34</v>
      </c>
      <c r="D242" s="9" t="s">
        <v>87</v>
      </c>
      <c r="E242" s="7" t="s">
        <v>27</v>
      </c>
      <c r="F242" s="9">
        <v>24.0</v>
      </c>
      <c r="G242" s="9">
        <v>1999.0</v>
      </c>
      <c r="H242" s="10">
        <v>19.0</v>
      </c>
      <c r="I242" s="11">
        <v>5.0</v>
      </c>
      <c r="J242" s="11">
        <v>564.0</v>
      </c>
      <c r="K242" s="11">
        <v>6.3</v>
      </c>
      <c r="L242" s="10">
        <v>1.0</v>
      </c>
      <c r="M242" s="11">
        <v>1.0</v>
      </c>
      <c r="N242" s="11">
        <v>2.0</v>
      </c>
      <c r="O242" s="11">
        <v>1.0</v>
      </c>
      <c r="P242" s="13">
        <v>0.0</v>
      </c>
      <c r="Q242" s="13">
        <v>0.0</v>
      </c>
      <c r="R242" s="11">
        <v>3.0</v>
      </c>
      <c r="S242" s="13">
        <v>0.0</v>
      </c>
      <c r="T242" s="10">
        <v>0.16</v>
      </c>
      <c r="U242" s="11">
        <v>0.16</v>
      </c>
      <c r="V242" s="11">
        <v>0.32</v>
      </c>
      <c r="W242" s="11">
        <v>0.16</v>
      </c>
      <c r="X242" s="11">
        <v>0.32</v>
      </c>
      <c r="Y242" s="14" t="s">
        <v>1048</v>
      </c>
    </row>
    <row r="243">
      <c r="A243" s="74">
        <v>237.0</v>
      </c>
      <c r="B243" s="7" t="s">
        <v>161</v>
      </c>
      <c r="C243" s="8" t="s">
        <v>34</v>
      </c>
      <c r="D243" s="9" t="s">
        <v>47</v>
      </c>
      <c r="E243" s="7" t="s">
        <v>98</v>
      </c>
      <c r="F243" s="9">
        <v>23.0</v>
      </c>
      <c r="G243" s="9">
        <v>2000.0</v>
      </c>
      <c r="H243" s="10">
        <v>33.0</v>
      </c>
      <c r="I243" s="11">
        <v>28.0</v>
      </c>
      <c r="J243" s="15">
        <v>2382.0</v>
      </c>
      <c r="K243" s="11">
        <v>26.5</v>
      </c>
      <c r="L243" s="10">
        <v>3.0</v>
      </c>
      <c r="M243" s="11">
        <v>3.0</v>
      </c>
      <c r="N243" s="11">
        <v>6.0</v>
      </c>
      <c r="O243" s="11">
        <v>3.0</v>
      </c>
      <c r="P243" s="13">
        <v>0.0</v>
      </c>
      <c r="Q243" s="13">
        <v>0.0</v>
      </c>
      <c r="R243" s="11">
        <v>6.0</v>
      </c>
      <c r="S243" s="13">
        <v>0.0</v>
      </c>
      <c r="T243" s="10">
        <v>0.11</v>
      </c>
      <c r="U243" s="11">
        <v>0.11</v>
      </c>
      <c r="V243" s="11">
        <v>0.23</v>
      </c>
      <c r="W243" s="11">
        <v>0.11</v>
      </c>
      <c r="X243" s="11">
        <v>0.23</v>
      </c>
      <c r="Y243" s="14" t="s">
        <v>1049</v>
      </c>
    </row>
    <row r="244">
      <c r="A244" s="74">
        <v>238.0</v>
      </c>
      <c r="B244" s="7" t="s">
        <v>637</v>
      </c>
      <c r="C244" s="8" t="s">
        <v>34</v>
      </c>
      <c r="D244" s="9" t="s">
        <v>26</v>
      </c>
      <c r="E244" s="7" t="s">
        <v>52</v>
      </c>
      <c r="F244" s="9">
        <v>25.0</v>
      </c>
      <c r="G244" s="9">
        <v>1998.0</v>
      </c>
      <c r="H244" s="10">
        <v>33.0</v>
      </c>
      <c r="I244" s="11">
        <v>30.0</v>
      </c>
      <c r="J244" s="15">
        <v>2585.0</v>
      </c>
      <c r="K244" s="11">
        <v>28.7</v>
      </c>
      <c r="L244" s="10">
        <v>7.0</v>
      </c>
      <c r="M244" s="11">
        <v>4.0</v>
      </c>
      <c r="N244" s="11">
        <v>11.0</v>
      </c>
      <c r="O244" s="11">
        <v>3.0</v>
      </c>
      <c r="P244" s="11">
        <v>4.0</v>
      </c>
      <c r="Q244" s="11">
        <v>4.0</v>
      </c>
      <c r="R244" s="11">
        <v>5.0</v>
      </c>
      <c r="S244" s="13">
        <v>0.0</v>
      </c>
      <c r="T244" s="10">
        <v>0.24</v>
      </c>
      <c r="U244" s="11">
        <v>0.14</v>
      </c>
      <c r="V244" s="11">
        <v>0.38</v>
      </c>
      <c r="W244" s="11">
        <v>0.1</v>
      </c>
      <c r="X244" s="11">
        <v>0.24</v>
      </c>
      <c r="Y244" s="14" t="s">
        <v>1050</v>
      </c>
    </row>
    <row r="245">
      <c r="A245" s="74">
        <v>239.0</v>
      </c>
      <c r="B245" s="7" t="s">
        <v>130</v>
      </c>
      <c r="C245" s="8" t="s">
        <v>34</v>
      </c>
      <c r="D245" s="9" t="s">
        <v>47</v>
      </c>
      <c r="E245" s="7" t="s">
        <v>98</v>
      </c>
      <c r="F245" s="9">
        <v>26.0</v>
      </c>
      <c r="G245" s="9">
        <v>1997.0</v>
      </c>
      <c r="H245" s="10">
        <v>25.0</v>
      </c>
      <c r="I245" s="11">
        <v>17.0</v>
      </c>
      <c r="J245" s="15">
        <v>1497.0</v>
      </c>
      <c r="K245" s="11">
        <v>16.6</v>
      </c>
      <c r="L245" s="10">
        <v>4.0</v>
      </c>
      <c r="M245" s="11">
        <v>2.0</v>
      </c>
      <c r="N245" s="11">
        <v>6.0</v>
      </c>
      <c r="O245" s="11">
        <v>4.0</v>
      </c>
      <c r="P245" s="13">
        <v>0.0</v>
      </c>
      <c r="Q245" s="13">
        <v>0.0</v>
      </c>
      <c r="R245" s="11">
        <v>1.0</v>
      </c>
      <c r="S245" s="13">
        <v>0.0</v>
      </c>
      <c r="T245" s="10">
        <v>0.24</v>
      </c>
      <c r="U245" s="11">
        <v>0.12</v>
      </c>
      <c r="V245" s="11">
        <v>0.36</v>
      </c>
      <c r="W245" s="11">
        <v>0.24</v>
      </c>
      <c r="X245" s="11">
        <v>0.36</v>
      </c>
      <c r="Y245" s="14" t="s">
        <v>1051</v>
      </c>
    </row>
    <row r="246">
      <c r="A246" s="74">
        <v>240.0</v>
      </c>
      <c r="B246" s="7" t="s">
        <v>177</v>
      </c>
      <c r="C246" s="8" t="s">
        <v>25</v>
      </c>
      <c r="D246" s="9" t="s">
        <v>26</v>
      </c>
      <c r="E246" s="7" t="s">
        <v>128</v>
      </c>
      <c r="F246" s="9">
        <v>16.0</v>
      </c>
      <c r="G246" s="9">
        <v>2008.0</v>
      </c>
      <c r="H246" s="10">
        <v>3.0</v>
      </c>
      <c r="I246" s="13">
        <v>0.0</v>
      </c>
      <c r="J246" s="11">
        <v>35.0</v>
      </c>
      <c r="K246" s="11">
        <v>0.4</v>
      </c>
      <c r="L246" s="12">
        <v>0.0</v>
      </c>
      <c r="M246" s="13">
        <v>0.0</v>
      </c>
      <c r="N246" s="13">
        <v>0.0</v>
      </c>
      <c r="O246" s="13">
        <v>0.0</v>
      </c>
      <c r="P246" s="13">
        <v>0.0</v>
      </c>
      <c r="Q246" s="13">
        <v>0.0</v>
      </c>
      <c r="R246" s="13">
        <v>0.0</v>
      </c>
      <c r="S246" s="13">
        <v>0.0</v>
      </c>
      <c r="T246" s="12">
        <v>0.0</v>
      </c>
      <c r="U246" s="13">
        <v>0.0</v>
      </c>
      <c r="V246" s="13">
        <v>0.0</v>
      </c>
      <c r="W246" s="13">
        <v>0.0</v>
      </c>
      <c r="X246" s="13">
        <v>0.0</v>
      </c>
      <c r="Y246" s="14" t="s">
        <v>1052</v>
      </c>
    </row>
    <row r="247">
      <c r="A247" s="74">
        <v>241.0</v>
      </c>
      <c r="B247" s="7" t="s">
        <v>594</v>
      </c>
      <c r="C247" s="8" t="s">
        <v>25</v>
      </c>
      <c r="D247" s="9" t="s">
        <v>55</v>
      </c>
      <c r="E247" s="7" t="s">
        <v>52</v>
      </c>
      <c r="F247" s="9">
        <v>17.0</v>
      </c>
      <c r="G247" s="9">
        <v>2006.0</v>
      </c>
      <c r="H247" s="10">
        <v>5.0</v>
      </c>
      <c r="I247" s="13">
        <v>0.0</v>
      </c>
      <c r="J247" s="11">
        <v>43.0</v>
      </c>
      <c r="K247" s="11">
        <v>0.5</v>
      </c>
      <c r="L247" s="12">
        <v>0.0</v>
      </c>
      <c r="M247" s="13">
        <v>0.0</v>
      </c>
      <c r="N247" s="13">
        <v>0.0</v>
      </c>
      <c r="O247" s="13">
        <v>0.0</v>
      </c>
      <c r="P247" s="13">
        <v>0.0</v>
      </c>
      <c r="Q247" s="13">
        <v>0.0</v>
      </c>
      <c r="R247" s="13">
        <v>0.0</v>
      </c>
      <c r="S247" s="13">
        <v>0.0</v>
      </c>
      <c r="T247" s="12">
        <v>0.0</v>
      </c>
      <c r="U247" s="13">
        <v>0.0</v>
      </c>
      <c r="V247" s="13">
        <v>0.0</v>
      </c>
      <c r="W247" s="13">
        <v>0.0</v>
      </c>
      <c r="X247" s="13">
        <v>0.0</v>
      </c>
      <c r="Y247" s="14" t="s">
        <v>1053</v>
      </c>
    </row>
    <row r="248">
      <c r="A248" s="74">
        <v>242.0</v>
      </c>
      <c r="B248" s="7" t="s">
        <v>428</v>
      </c>
      <c r="C248" s="8" t="s">
        <v>25</v>
      </c>
      <c r="D248" s="9" t="s">
        <v>30</v>
      </c>
      <c r="E248" s="7" t="s">
        <v>128</v>
      </c>
      <c r="F248" s="9">
        <v>19.0</v>
      </c>
      <c r="G248" s="9">
        <v>2004.0</v>
      </c>
      <c r="H248" s="10">
        <v>11.0</v>
      </c>
      <c r="I248" s="11">
        <v>4.0</v>
      </c>
      <c r="J248" s="11">
        <v>464.0</v>
      </c>
      <c r="K248" s="11">
        <v>5.2</v>
      </c>
      <c r="L248" s="10">
        <v>2.0</v>
      </c>
      <c r="M248" s="13">
        <v>0.0</v>
      </c>
      <c r="N248" s="11">
        <v>2.0</v>
      </c>
      <c r="O248" s="11">
        <v>2.0</v>
      </c>
      <c r="P248" s="13">
        <v>0.0</v>
      </c>
      <c r="Q248" s="13">
        <v>0.0</v>
      </c>
      <c r="R248" s="11">
        <v>3.0</v>
      </c>
      <c r="S248" s="11">
        <v>1.0</v>
      </c>
      <c r="T248" s="10">
        <v>0.39</v>
      </c>
      <c r="U248" s="13">
        <v>0.0</v>
      </c>
      <c r="V248" s="11">
        <v>0.39</v>
      </c>
      <c r="W248" s="11">
        <v>0.39</v>
      </c>
      <c r="X248" s="11">
        <v>0.39</v>
      </c>
      <c r="Y248" s="14" t="s">
        <v>1054</v>
      </c>
    </row>
    <row r="249">
      <c r="A249" s="74">
        <v>243.0</v>
      </c>
      <c r="B249" s="7" t="s">
        <v>509</v>
      </c>
      <c r="C249" s="8" t="s">
        <v>510</v>
      </c>
      <c r="D249" s="9" t="s">
        <v>35</v>
      </c>
      <c r="E249" s="7" t="s">
        <v>31</v>
      </c>
      <c r="F249" s="9">
        <v>31.0</v>
      </c>
      <c r="G249" s="9">
        <v>1992.0</v>
      </c>
      <c r="H249" s="10">
        <v>33.0</v>
      </c>
      <c r="I249" s="11">
        <v>31.0</v>
      </c>
      <c r="J249" s="15">
        <v>2818.0</v>
      </c>
      <c r="K249" s="11">
        <v>31.3</v>
      </c>
      <c r="L249" s="10">
        <v>1.0</v>
      </c>
      <c r="M249" s="13">
        <v>0.0</v>
      </c>
      <c r="N249" s="11">
        <v>1.0</v>
      </c>
      <c r="O249" s="11">
        <v>1.0</v>
      </c>
      <c r="P249" s="13">
        <v>0.0</v>
      </c>
      <c r="Q249" s="13">
        <v>0.0</v>
      </c>
      <c r="R249" s="11">
        <v>10.0</v>
      </c>
      <c r="S249" s="11">
        <v>1.0</v>
      </c>
      <c r="T249" s="10">
        <v>0.03</v>
      </c>
      <c r="U249" s="13">
        <v>0.0</v>
      </c>
      <c r="V249" s="11">
        <v>0.03</v>
      </c>
      <c r="W249" s="11">
        <v>0.03</v>
      </c>
      <c r="X249" s="11">
        <v>0.03</v>
      </c>
      <c r="Y249" s="14" t="s">
        <v>1055</v>
      </c>
    </row>
    <row r="250">
      <c r="A250" s="74">
        <v>244.0</v>
      </c>
      <c r="B250" s="7" t="s">
        <v>258</v>
      </c>
      <c r="C250" s="8" t="s">
        <v>259</v>
      </c>
      <c r="D250" s="9" t="s">
        <v>55</v>
      </c>
      <c r="E250" s="7" t="s">
        <v>36</v>
      </c>
      <c r="F250" s="9">
        <v>24.0</v>
      </c>
      <c r="G250" s="9">
        <v>1999.0</v>
      </c>
      <c r="H250" s="10">
        <v>31.0</v>
      </c>
      <c r="I250" s="11">
        <v>24.0</v>
      </c>
      <c r="J250" s="15">
        <v>2064.0</v>
      </c>
      <c r="K250" s="11">
        <v>22.9</v>
      </c>
      <c r="L250" s="10">
        <v>10.0</v>
      </c>
      <c r="M250" s="11">
        <v>1.0</v>
      </c>
      <c r="N250" s="11">
        <v>11.0</v>
      </c>
      <c r="O250" s="11">
        <v>9.0</v>
      </c>
      <c r="P250" s="11">
        <v>1.0</v>
      </c>
      <c r="Q250" s="11">
        <v>1.0</v>
      </c>
      <c r="R250" s="11">
        <v>6.0</v>
      </c>
      <c r="S250" s="11">
        <v>1.0</v>
      </c>
      <c r="T250" s="10">
        <v>0.44</v>
      </c>
      <c r="U250" s="11">
        <v>0.04</v>
      </c>
      <c r="V250" s="11">
        <v>0.48</v>
      </c>
      <c r="W250" s="11">
        <v>0.39</v>
      </c>
      <c r="X250" s="11">
        <v>0.44</v>
      </c>
      <c r="Y250" s="14" t="s">
        <v>1056</v>
      </c>
    </row>
    <row r="251">
      <c r="A251" s="74">
        <v>245.0</v>
      </c>
      <c r="B251" s="7" t="s">
        <v>475</v>
      </c>
      <c r="C251" s="8" t="s">
        <v>65</v>
      </c>
      <c r="D251" s="9" t="s">
        <v>35</v>
      </c>
      <c r="E251" s="7" t="s">
        <v>128</v>
      </c>
      <c r="F251" s="9">
        <v>24.0</v>
      </c>
      <c r="G251" s="9">
        <v>1999.0</v>
      </c>
      <c r="H251" s="10">
        <v>14.0</v>
      </c>
      <c r="I251" s="11">
        <v>14.0</v>
      </c>
      <c r="J251" s="15">
        <v>1241.0</v>
      </c>
      <c r="K251" s="11">
        <v>13.8</v>
      </c>
      <c r="L251" s="12">
        <v>0.0</v>
      </c>
      <c r="M251" s="11">
        <v>2.0</v>
      </c>
      <c r="N251" s="11">
        <v>2.0</v>
      </c>
      <c r="O251" s="13">
        <v>0.0</v>
      </c>
      <c r="P251" s="13">
        <v>0.0</v>
      </c>
      <c r="Q251" s="13">
        <v>0.0</v>
      </c>
      <c r="R251" s="11">
        <v>7.0</v>
      </c>
      <c r="S251" s="13">
        <v>0.0</v>
      </c>
      <c r="T251" s="12">
        <v>0.0</v>
      </c>
      <c r="U251" s="11">
        <v>0.15</v>
      </c>
      <c r="V251" s="11">
        <v>0.15</v>
      </c>
      <c r="W251" s="13">
        <v>0.0</v>
      </c>
      <c r="X251" s="11">
        <v>0.15</v>
      </c>
      <c r="Y251" s="14" t="s">
        <v>1057</v>
      </c>
    </row>
    <row r="252">
      <c r="A252" s="74">
        <v>246.0</v>
      </c>
      <c r="B252" s="7" t="s">
        <v>179</v>
      </c>
      <c r="C252" s="8" t="s">
        <v>34</v>
      </c>
      <c r="D252" s="9" t="s">
        <v>35</v>
      </c>
      <c r="E252" s="7" t="s">
        <v>80</v>
      </c>
      <c r="F252" s="9">
        <v>22.0</v>
      </c>
      <c r="G252" s="9">
        <v>2002.0</v>
      </c>
      <c r="H252" s="10">
        <v>9.0</v>
      </c>
      <c r="I252" s="11">
        <v>8.0</v>
      </c>
      <c r="J252" s="11">
        <v>691.0</v>
      </c>
      <c r="K252" s="11">
        <v>7.7</v>
      </c>
      <c r="L252" s="12">
        <v>0.0</v>
      </c>
      <c r="M252" s="13">
        <v>0.0</v>
      </c>
      <c r="N252" s="13">
        <v>0.0</v>
      </c>
      <c r="O252" s="13">
        <v>0.0</v>
      </c>
      <c r="P252" s="13">
        <v>0.0</v>
      </c>
      <c r="Q252" s="13">
        <v>0.0</v>
      </c>
      <c r="R252" s="11">
        <v>1.0</v>
      </c>
      <c r="S252" s="13">
        <v>0.0</v>
      </c>
      <c r="T252" s="12">
        <v>0.0</v>
      </c>
      <c r="U252" s="13">
        <v>0.0</v>
      </c>
      <c r="V252" s="13">
        <v>0.0</v>
      </c>
      <c r="W252" s="13">
        <v>0.0</v>
      </c>
      <c r="X252" s="13">
        <v>0.0</v>
      </c>
      <c r="Y252" s="14" t="s">
        <v>1058</v>
      </c>
    </row>
    <row r="253">
      <c r="A253" s="74">
        <v>247.0</v>
      </c>
      <c r="B253" s="7" t="s">
        <v>254</v>
      </c>
      <c r="C253" s="8" t="s">
        <v>101</v>
      </c>
      <c r="D253" s="9" t="s">
        <v>55</v>
      </c>
      <c r="E253" s="7" t="s">
        <v>44</v>
      </c>
      <c r="F253" s="9">
        <v>28.0</v>
      </c>
      <c r="G253" s="9">
        <v>1995.0</v>
      </c>
      <c r="H253" s="10">
        <v>21.0</v>
      </c>
      <c r="I253" s="11">
        <v>4.0</v>
      </c>
      <c r="J253" s="11">
        <v>692.0</v>
      </c>
      <c r="K253" s="11">
        <v>7.7</v>
      </c>
      <c r="L253" s="10">
        <v>2.0</v>
      </c>
      <c r="M253" s="11">
        <v>1.0</v>
      </c>
      <c r="N253" s="11">
        <v>3.0</v>
      </c>
      <c r="O253" s="11">
        <v>2.0</v>
      </c>
      <c r="P253" s="13">
        <v>0.0</v>
      </c>
      <c r="Q253" s="13">
        <v>0.0</v>
      </c>
      <c r="R253" s="11">
        <v>9.0</v>
      </c>
      <c r="S253" s="13">
        <v>0.0</v>
      </c>
      <c r="T253" s="10">
        <v>0.26</v>
      </c>
      <c r="U253" s="11">
        <v>0.13</v>
      </c>
      <c r="V253" s="11">
        <v>0.39</v>
      </c>
      <c r="W253" s="11">
        <v>0.26</v>
      </c>
      <c r="X253" s="11">
        <v>0.39</v>
      </c>
      <c r="Y253" s="14" t="s">
        <v>1059</v>
      </c>
    </row>
    <row r="254">
      <c r="A254" s="74">
        <v>248.0</v>
      </c>
      <c r="B254" s="7" t="s">
        <v>436</v>
      </c>
      <c r="C254" s="8" t="s">
        <v>437</v>
      </c>
      <c r="D254" s="9" t="s">
        <v>77</v>
      </c>
      <c r="E254" s="7" t="s">
        <v>27</v>
      </c>
      <c r="F254" s="9">
        <v>21.0</v>
      </c>
      <c r="G254" s="9">
        <v>2002.0</v>
      </c>
      <c r="H254" s="10">
        <v>4.0</v>
      </c>
      <c r="I254" s="11">
        <v>4.0</v>
      </c>
      <c r="J254" s="11">
        <v>360.0</v>
      </c>
      <c r="K254" s="11">
        <v>4.0</v>
      </c>
      <c r="L254" s="12">
        <v>0.0</v>
      </c>
      <c r="M254" s="13">
        <v>0.0</v>
      </c>
      <c r="N254" s="13">
        <v>0.0</v>
      </c>
      <c r="O254" s="13">
        <v>0.0</v>
      </c>
      <c r="P254" s="13">
        <v>0.0</v>
      </c>
      <c r="Q254" s="13">
        <v>0.0</v>
      </c>
      <c r="R254" s="11">
        <v>2.0</v>
      </c>
      <c r="S254" s="13">
        <v>0.0</v>
      </c>
      <c r="T254" s="12">
        <v>0.0</v>
      </c>
      <c r="U254" s="13">
        <v>0.0</v>
      </c>
      <c r="V254" s="13">
        <v>0.0</v>
      </c>
      <c r="W254" s="13">
        <v>0.0</v>
      </c>
      <c r="X254" s="13">
        <v>0.0</v>
      </c>
      <c r="Y254" s="14" t="s">
        <v>1060</v>
      </c>
    </row>
    <row r="255">
      <c r="A255" s="74">
        <v>249.0</v>
      </c>
      <c r="B255" s="7" t="s">
        <v>407</v>
      </c>
      <c r="C255" s="8" t="s">
        <v>250</v>
      </c>
      <c r="D255" s="9" t="s">
        <v>77</v>
      </c>
      <c r="E255" s="7" t="s">
        <v>31</v>
      </c>
      <c r="F255" s="9">
        <v>26.0</v>
      </c>
      <c r="G255" s="9">
        <v>1997.0</v>
      </c>
      <c r="H255" s="10">
        <v>35.0</v>
      </c>
      <c r="I255" s="11">
        <v>35.0</v>
      </c>
      <c r="J255" s="15">
        <v>3150.0</v>
      </c>
      <c r="K255" s="11">
        <v>35.0</v>
      </c>
      <c r="L255" s="12">
        <v>0.0</v>
      </c>
      <c r="M255" s="13">
        <v>0.0</v>
      </c>
      <c r="N255" s="13">
        <v>0.0</v>
      </c>
      <c r="O255" s="13">
        <v>0.0</v>
      </c>
      <c r="P255" s="13">
        <v>0.0</v>
      </c>
      <c r="Q255" s="13">
        <v>0.0</v>
      </c>
      <c r="R255" s="11">
        <v>4.0</v>
      </c>
      <c r="S255" s="13">
        <v>0.0</v>
      </c>
      <c r="T255" s="12">
        <v>0.0</v>
      </c>
      <c r="U255" s="13">
        <v>0.0</v>
      </c>
      <c r="V255" s="13">
        <v>0.0</v>
      </c>
      <c r="W255" s="13">
        <v>0.0</v>
      </c>
      <c r="X255" s="13">
        <v>0.0</v>
      </c>
      <c r="Y255" s="14" t="s">
        <v>1061</v>
      </c>
    </row>
    <row r="256">
      <c r="A256" s="74">
        <v>250.0</v>
      </c>
      <c r="B256" s="7" t="s">
        <v>445</v>
      </c>
      <c r="C256" s="8" t="s">
        <v>446</v>
      </c>
      <c r="D256" s="9" t="s">
        <v>26</v>
      </c>
      <c r="E256" s="7" t="s">
        <v>31</v>
      </c>
      <c r="F256" s="9">
        <v>24.0</v>
      </c>
      <c r="G256" s="9">
        <v>1999.0</v>
      </c>
      <c r="H256" s="10">
        <v>25.0</v>
      </c>
      <c r="I256" s="11">
        <v>16.0</v>
      </c>
      <c r="J256" s="15">
        <v>1604.0</v>
      </c>
      <c r="K256" s="11">
        <v>17.8</v>
      </c>
      <c r="L256" s="10">
        <v>1.0</v>
      </c>
      <c r="M256" s="11">
        <v>2.0</v>
      </c>
      <c r="N256" s="11">
        <v>3.0</v>
      </c>
      <c r="O256" s="11">
        <v>1.0</v>
      </c>
      <c r="P256" s="13">
        <v>0.0</v>
      </c>
      <c r="Q256" s="13">
        <v>0.0</v>
      </c>
      <c r="R256" s="11">
        <v>6.0</v>
      </c>
      <c r="S256" s="13">
        <v>0.0</v>
      </c>
      <c r="T256" s="10">
        <v>0.06</v>
      </c>
      <c r="U256" s="11">
        <v>0.11</v>
      </c>
      <c r="V256" s="11">
        <v>0.17</v>
      </c>
      <c r="W256" s="11">
        <v>0.06</v>
      </c>
      <c r="X256" s="11">
        <v>0.17</v>
      </c>
      <c r="Y256" s="14" t="s">
        <v>1062</v>
      </c>
    </row>
    <row r="257">
      <c r="A257" s="74">
        <v>251.0</v>
      </c>
      <c r="B257" s="7" t="s">
        <v>205</v>
      </c>
      <c r="C257" s="8" t="s">
        <v>25</v>
      </c>
      <c r="D257" s="9" t="s">
        <v>83</v>
      </c>
      <c r="E257" s="7" t="s">
        <v>98</v>
      </c>
      <c r="F257" s="9">
        <v>23.0</v>
      </c>
      <c r="G257" s="9">
        <v>2000.0</v>
      </c>
      <c r="H257" s="10">
        <v>35.0</v>
      </c>
      <c r="I257" s="11">
        <v>35.0</v>
      </c>
      <c r="J257" s="15">
        <v>3037.0</v>
      </c>
      <c r="K257" s="11">
        <v>33.7</v>
      </c>
      <c r="L257" s="10">
        <v>2.0</v>
      </c>
      <c r="M257" s="11">
        <v>1.0</v>
      </c>
      <c r="N257" s="11">
        <v>3.0</v>
      </c>
      <c r="O257" s="11">
        <v>2.0</v>
      </c>
      <c r="P257" s="13">
        <v>0.0</v>
      </c>
      <c r="Q257" s="13">
        <v>0.0</v>
      </c>
      <c r="R257" s="11">
        <v>8.0</v>
      </c>
      <c r="S257" s="13">
        <v>0.0</v>
      </c>
      <c r="T257" s="10">
        <v>0.06</v>
      </c>
      <c r="U257" s="11">
        <v>0.03</v>
      </c>
      <c r="V257" s="11">
        <v>0.09</v>
      </c>
      <c r="W257" s="11">
        <v>0.06</v>
      </c>
      <c r="X257" s="11">
        <v>0.09</v>
      </c>
      <c r="Y257" s="14" t="s">
        <v>1063</v>
      </c>
    </row>
    <row r="258">
      <c r="A258" s="74">
        <v>252.0</v>
      </c>
      <c r="B258" s="7" t="s">
        <v>607</v>
      </c>
      <c r="C258" s="8" t="s">
        <v>25</v>
      </c>
      <c r="D258" s="9" t="s">
        <v>47</v>
      </c>
      <c r="E258" s="7" t="s">
        <v>128</v>
      </c>
      <c r="F258" s="9">
        <v>25.0</v>
      </c>
      <c r="G258" s="9">
        <v>1998.0</v>
      </c>
      <c r="H258" s="10">
        <v>19.0</v>
      </c>
      <c r="I258" s="11">
        <v>16.0</v>
      </c>
      <c r="J258" s="15">
        <v>1375.0</v>
      </c>
      <c r="K258" s="11">
        <v>15.3</v>
      </c>
      <c r="L258" s="10">
        <v>4.0</v>
      </c>
      <c r="M258" s="11">
        <v>2.0</v>
      </c>
      <c r="N258" s="11">
        <v>6.0</v>
      </c>
      <c r="O258" s="11">
        <v>4.0</v>
      </c>
      <c r="P258" s="13">
        <v>0.0</v>
      </c>
      <c r="Q258" s="13">
        <v>0.0</v>
      </c>
      <c r="R258" s="11">
        <v>2.0</v>
      </c>
      <c r="S258" s="11">
        <v>1.0</v>
      </c>
      <c r="T258" s="10">
        <v>0.26</v>
      </c>
      <c r="U258" s="11">
        <v>0.13</v>
      </c>
      <c r="V258" s="11">
        <v>0.39</v>
      </c>
      <c r="W258" s="11">
        <v>0.26</v>
      </c>
      <c r="X258" s="11">
        <v>0.39</v>
      </c>
      <c r="Y258" s="14" t="s">
        <v>1064</v>
      </c>
    </row>
    <row r="259">
      <c r="A259" s="74">
        <v>253.0</v>
      </c>
      <c r="B259" s="7" t="s">
        <v>74</v>
      </c>
      <c r="C259" s="8" t="s">
        <v>25</v>
      </c>
      <c r="D259" s="9" t="s">
        <v>35</v>
      </c>
      <c r="E259" s="7" t="s">
        <v>36</v>
      </c>
      <c r="F259" s="9">
        <v>22.0</v>
      </c>
      <c r="G259" s="9">
        <v>2002.0</v>
      </c>
      <c r="H259" s="10">
        <v>27.0</v>
      </c>
      <c r="I259" s="11">
        <v>25.0</v>
      </c>
      <c r="J259" s="15">
        <v>2097.0</v>
      </c>
      <c r="K259" s="11">
        <v>23.3</v>
      </c>
      <c r="L259" s="10">
        <v>2.0</v>
      </c>
      <c r="M259" s="11">
        <v>1.0</v>
      </c>
      <c r="N259" s="11">
        <v>3.0</v>
      </c>
      <c r="O259" s="11">
        <v>2.0</v>
      </c>
      <c r="P259" s="13">
        <v>0.0</v>
      </c>
      <c r="Q259" s="13">
        <v>0.0</v>
      </c>
      <c r="R259" s="11">
        <v>2.0</v>
      </c>
      <c r="S259" s="13">
        <v>0.0</v>
      </c>
      <c r="T259" s="10">
        <v>0.09</v>
      </c>
      <c r="U259" s="11">
        <v>0.04</v>
      </c>
      <c r="V259" s="11">
        <v>0.13</v>
      </c>
      <c r="W259" s="11">
        <v>0.09</v>
      </c>
      <c r="X259" s="11">
        <v>0.13</v>
      </c>
      <c r="Y259" s="14" t="s">
        <v>1065</v>
      </c>
    </row>
    <row r="260">
      <c r="A260" s="74">
        <v>254.0</v>
      </c>
      <c r="B260" s="7" t="s">
        <v>372</v>
      </c>
      <c r="C260" s="8" t="s">
        <v>101</v>
      </c>
      <c r="D260" s="9" t="s">
        <v>35</v>
      </c>
      <c r="E260" s="7" t="s">
        <v>98</v>
      </c>
      <c r="F260" s="9">
        <v>22.0</v>
      </c>
      <c r="G260" s="9">
        <v>2001.0</v>
      </c>
      <c r="H260" s="10">
        <v>30.0</v>
      </c>
      <c r="I260" s="11">
        <v>26.0</v>
      </c>
      <c r="J260" s="15">
        <v>2301.0</v>
      </c>
      <c r="K260" s="11">
        <v>25.6</v>
      </c>
      <c r="L260" s="12">
        <v>0.0</v>
      </c>
      <c r="M260" s="13">
        <v>0.0</v>
      </c>
      <c r="N260" s="13">
        <v>0.0</v>
      </c>
      <c r="O260" s="13">
        <v>0.0</v>
      </c>
      <c r="P260" s="13">
        <v>0.0</v>
      </c>
      <c r="Q260" s="13">
        <v>0.0</v>
      </c>
      <c r="R260" s="11">
        <v>7.0</v>
      </c>
      <c r="S260" s="13">
        <v>0.0</v>
      </c>
      <c r="T260" s="12">
        <v>0.0</v>
      </c>
      <c r="U260" s="13">
        <v>0.0</v>
      </c>
      <c r="V260" s="13">
        <v>0.0</v>
      </c>
      <c r="W260" s="13">
        <v>0.0</v>
      </c>
      <c r="X260" s="13">
        <v>0.0</v>
      </c>
      <c r="Y260" s="14" t="s">
        <v>1066</v>
      </c>
    </row>
    <row r="261">
      <c r="A261" s="74">
        <v>255.0</v>
      </c>
      <c r="B261" s="7" t="s">
        <v>609</v>
      </c>
      <c r="C261" s="8" t="s">
        <v>610</v>
      </c>
      <c r="D261" s="9" t="s">
        <v>47</v>
      </c>
      <c r="E261" s="7" t="s">
        <v>128</v>
      </c>
      <c r="F261" s="9">
        <v>23.0</v>
      </c>
      <c r="G261" s="9">
        <v>2000.0</v>
      </c>
      <c r="H261" s="10">
        <v>15.0</v>
      </c>
      <c r="I261" s="11">
        <v>8.0</v>
      </c>
      <c r="J261" s="11">
        <v>729.0</v>
      </c>
      <c r="K261" s="11">
        <v>8.1</v>
      </c>
      <c r="L261" s="12">
        <v>0.0</v>
      </c>
      <c r="M261" s="11">
        <v>1.0</v>
      </c>
      <c r="N261" s="11">
        <v>1.0</v>
      </c>
      <c r="O261" s="13">
        <v>0.0</v>
      </c>
      <c r="P261" s="13">
        <v>0.0</v>
      </c>
      <c r="Q261" s="13">
        <v>0.0</v>
      </c>
      <c r="R261" s="11">
        <v>1.0</v>
      </c>
      <c r="S261" s="13">
        <v>0.0</v>
      </c>
      <c r="T261" s="12">
        <v>0.0</v>
      </c>
      <c r="U261" s="11">
        <v>0.12</v>
      </c>
      <c r="V261" s="11">
        <v>0.12</v>
      </c>
      <c r="W261" s="13">
        <v>0.0</v>
      </c>
      <c r="X261" s="11">
        <v>0.12</v>
      </c>
      <c r="Y261" s="14" t="s">
        <v>1067</v>
      </c>
    </row>
    <row r="262">
      <c r="A262" s="74">
        <v>256.0</v>
      </c>
      <c r="B262" s="7" t="s">
        <v>337</v>
      </c>
      <c r="C262" s="8" t="s">
        <v>25</v>
      </c>
      <c r="D262" s="9" t="s">
        <v>35</v>
      </c>
      <c r="E262" s="7" t="s">
        <v>27</v>
      </c>
      <c r="F262" s="9">
        <v>24.0</v>
      </c>
      <c r="G262" s="9">
        <v>2000.0</v>
      </c>
      <c r="H262" s="10">
        <v>32.0</v>
      </c>
      <c r="I262" s="11">
        <v>32.0</v>
      </c>
      <c r="J262" s="15">
        <v>2779.0</v>
      </c>
      <c r="K262" s="11">
        <v>30.9</v>
      </c>
      <c r="L262" s="10">
        <v>4.0</v>
      </c>
      <c r="M262" s="11">
        <v>2.0</v>
      </c>
      <c r="N262" s="11">
        <v>6.0</v>
      </c>
      <c r="O262" s="11">
        <v>4.0</v>
      </c>
      <c r="P262" s="13">
        <v>0.0</v>
      </c>
      <c r="Q262" s="13">
        <v>0.0</v>
      </c>
      <c r="R262" s="11">
        <v>6.0</v>
      </c>
      <c r="S262" s="13">
        <v>0.0</v>
      </c>
      <c r="T262" s="10">
        <v>0.13</v>
      </c>
      <c r="U262" s="11">
        <v>0.06</v>
      </c>
      <c r="V262" s="11">
        <v>0.19</v>
      </c>
      <c r="W262" s="11">
        <v>0.13</v>
      </c>
      <c r="X262" s="11">
        <v>0.19</v>
      </c>
      <c r="Y262" s="14" t="s">
        <v>1068</v>
      </c>
    </row>
    <row r="263">
      <c r="A263" s="74">
        <v>257.0</v>
      </c>
      <c r="B263" s="7" t="s">
        <v>612</v>
      </c>
      <c r="C263" s="8" t="s">
        <v>446</v>
      </c>
      <c r="D263" s="9" t="s">
        <v>55</v>
      </c>
      <c r="E263" s="7" t="s">
        <v>44</v>
      </c>
      <c r="F263" s="9">
        <v>25.0</v>
      </c>
      <c r="G263" s="9">
        <v>1998.0</v>
      </c>
      <c r="H263" s="10">
        <v>8.0</v>
      </c>
      <c r="I263" s="11">
        <v>3.0</v>
      </c>
      <c r="J263" s="11">
        <v>246.0</v>
      </c>
      <c r="K263" s="11">
        <v>2.7</v>
      </c>
      <c r="L263" s="10">
        <v>1.0</v>
      </c>
      <c r="M263" s="13">
        <v>0.0</v>
      </c>
      <c r="N263" s="11">
        <v>1.0</v>
      </c>
      <c r="O263" s="11">
        <v>1.0</v>
      </c>
      <c r="P263" s="13">
        <v>0.0</v>
      </c>
      <c r="Q263" s="13">
        <v>0.0</v>
      </c>
      <c r="R263" s="13">
        <v>0.0</v>
      </c>
      <c r="S263" s="13">
        <v>0.0</v>
      </c>
      <c r="T263" s="10">
        <v>0.37</v>
      </c>
      <c r="U263" s="13">
        <v>0.0</v>
      </c>
      <c r="V263" s="11">
        <v>0.37</v>
      </c>
      <c r="W263" s="11">
        <v>0.37</v>
      </c>
      <c r="X263" s="11">
        <v>0.37</v>
      </c>
      <c r="Y263" s="14" t="s">
        <v>1069</v>
      </c>
    </row>
    <row r="264">
      <c r="A264" s="74">
        <v>258.0</v>
      </c>
      <c r="B264" s="7" t="s">
        <v>173</v>
      </c>
      <c r="C264" s="8" t="s">
        <v>25</v>
      </c>
      <c r="D264" s="9" t="s">
        <v>35</v>
      </c>
      <c r="E264" s="7" t="s">
        <v>128</v>
      </c>
      <c r="F264" s="9">
        <v>18.0</v>
      </c>
      <c r="G264" s="9">
        <v>2005.0</v>
      </c>
      <c r="H264" s="10">
        <v>4.0</v>
      </c>
      <c r="I264" s="11">
        <v>3.0</v>
      </c>
      <c r="J264" s="11">
        <v>187.0</v>
      </c>
      <c r="K264" s="11">
        <v>2.1</v>
      </c>
      <c r="L264" s="12">
        <v>0.0</v>
      </c>
      <c r="M264" s="13">
        <v>0.0</v>
      </c>
      <c r="N264" s="13">
        <v>0.0</v>
      </c>
      <c r="O264" s="13">
        <v>0.0</v>
      </c>
      <c r="P264" s="13">
        <v>0.0</v>
      </c>
      <c r="Q264" s="13">
        <v>0.0</v>
      </c>
      <c r="R264" s="11">
        <v>3.0</v>
      </c>
      <c r="S264" s="13">
        <v>0.0</v>
      </c>
      <c r="T264" s="12">
        <v>0.0</v>
      </c>
      <c r="U264" s="13">
        <v>0.0</v>
      </c>
      <c r="V264" s="13">
        <v>0.0</v>
      </c>
      <c r="W264" s="13">
        <v>0.0</v>
      </c>
      <c r="X264" s="13">
        <v>0.0</v>
      </c>
      <c r="Y264" s="14" t="s">
        <v>1070</v>
      </c>
    </row>
    <row r="265">
      <c r="A265" s="74">
        <v>259.0</v>
      </c>
      <c r="B265" s="7" t="s">
        <v>187</v>
      </c>
      <c r="C265" s="8" t="s">
        <v>25</v>
      </c>
      <c r="D265" s="9" t="s">
        <v>55</v>
      </c>
      <c r="E265" s="7" t="s">
        <v>58</v>
      </c>
      <c r="F265" s="9">
        <v>16.0</v>
      </c>
      <c r="G265" s="9">
        <v>2007.0</v>
      </c>
      <c r="H265" s="10">
        <v>1.0</v>
      </c>
      <c r="I265" s="13">
        <v>0.0</v>
      </c>
      <c r="J265" s="11">
        <v>1.0</v>
      </c>
      <c r="K265" s="13">
        <v>0.0</v>
      </c>
      <c r="L265" s="12">
        <v>0.0</v>
      </c>
      <c r="M265" s="13">
        <v>0.0</v>
      </c>
      <c r="N265" s="13">
        <v>0.0</v>
      </c>
      <c r="O265" s="13">
        <v>0.0</v>
      </c>
      <c r="P265" s="13">
        <v>0.0</v>
      </c>
      <c r="Q265" s="13">
        <v>0.0</v>
      </c>
      <c r="R265" s="13">
        <v>0.0</v>
      </c>
      <c r="S265" s="13">
        <v>0.0</v>
      </c>
      <c r="T265" s="12">
        <v>0.0</v>
      </c>
      <c r="U265" s="13">
        <v>0.0</v>
      </c>
      <c r="V265" s="13">
        <v>0.0</v>
      </c>
      <c r="W265" s="13">
        <v>0.0</v>
      </c>
      <c r="X265" s="13">
        <v>0.0</v>
      </c>
      <c r="Y265" s="14" t="s">
        <v>1071</v>
      </c>
    </row>
    <row r="266">
      <c r="A266" s="74">
        <v>260.0</v>
      </c>
      <c r="B266" s="7" t="s">
        <v>596</v>
      </c>
      <c r="C266" s="8" t="s">
        <v>34</v>
      </c>
      <c r="D266" s="9" t="s">
        <v>26</v>
      </c>
      <c r="E266" s="7" t="s">
        <v>52</v>
      </c>
      <c r="F266" s="9">
        <v>22.0</v>
      </c>
      <c r="G266" s="9">
        <v>2001.0</v>
      </c>
      <c r="H266" s="10">
        <v>7.0</v>
      </c>
      <c r="I266" s="13">
        <v>0.0</v>
      </c>
      <c r="J266" s="11">
        <v>90.0</v>
      </c>
      <c r="K266" s="11">
        <v>1.0</v>
      </c>
      <c r="L266" s="12">
        <v>0.0</v>
      </c>
      <c r="M266" s="13">
        <v>0.0</v>
      </c>
      <c r="N266" s="13">
        <v>0.0</v>
      </c>
      <c r="O266" s="13">
        <v>0.0</v>
      </c>
      <c r="P266" s="13">
        <v>0.0</v>
      </c>
      <c r="Q266" s="13">
        <v>0.0</v>
      </c>
      <c r="R266" s="11">
        <v>1.0</v>
      </c>
      <c r="S266" s="13">
        <v>0.0</v>
      </c>
      <c r="T266" s="12">
        <v>0.0</v>
      </c>
      <c r="U266" s="13">
        <v>0.0</v>
      </c>
      <c r="V266" s="13">
        <v>0.0</v>
      </c>
      <c r="W266" s="13">
        <v>0.0</v>
      </c>
      <c r="X266" s="13">
        <v>0.0</v>
      </c>
      <c r="Y266" s="14" t="s">
        <v>1072</v>
      </c>
    </row>
    <row r="267">
      <c r="A267" s="74">
        <v>261.0</v>
      </c>
      <c r="B267" s="7" t="s">
        <v>193</v>
      </c>
      <c r="C267" s="8" t="s">
        <v>25</v>
      </c>
      <c r="D267" s="9" t="s">
        <v>77</v>
      </c>
      <c r="E267" s="7" t="s">
        <v>27</v>
      </c>
      <c r="F267" s="9">
        <v>29.0</v>
      </c>
      <c r="G267" s="9">
        <v>1994.0</v>
      </c>
      <c r="H267" s="10">
        <v>20.0</v>
      </c>
      <c r="I267" s="11">
        <v>20.0</v>
      </c>
      <c r="J267" s="15">
        <v>1800.0</v>
      </c>
      <c r="K267" s="11">
        <v>20.0</v>
      </c>
      <c r="L267" s="12">
        <v>0.0</v>
      </c>
      <c r="M267" s="13">
        <v>0.0</v>
      </c>
      <c r="N267" s="13">
        <v>0.0</v>
      </c>
      <c r="O267" s="13">
        <v>0.0</v>
      </c>
      <c r="P267" s="13">
        <v>0.0</v>
      </c>
      <c r="Q267" s="13">
        <v>0.0</v>
      </c>
      <c r="R267" s="11">
        <v>2.0</v>
      </c>
      <c r="S267" s="13">
        <v>0.0</v>
      </c>
      <c r="T267" s="12">
        <v>0.0</v>
      </c>
      <c r="U267" s="13">
        <v>0.0</v>
      </c>
      <c r="V267" s="13">
        <v>0.0</v>
      </c>
      <c r="W267" s="13">
        <v>0.0</v>
      </c>
      <c r="X267" s="13">
        <v>0.0</v>
      </c>
      <c r="Y267" s="14" t="s">
        <v>1073</v>
      </c>
    </row>
    <row r="268">
      <c r="A268" s="74">
        <v>262.0</v>
      </c>
      <c r="B268" s="7" t="s">
        <v>215</v>
      </c>
      <c r="C268" s="8" t="s">
        <v>25</v>
      </c>
      <c r="D268" s="9" t="s">
        <v>47</v>
      </c>
      <c r="E268" s="7" t="s">
        <v>44</v>
      </c>
      <c r="F268" s="9">
        <v>25.0</v>
      </c>
      <c r="G268" s="9">
        <v>1998.0</v>
      </c>
      <c r="H268" s="10">
        <v>35.0</v>
      </c>
      <c r="I268" s="11">
        <v>32.0</v>
      </c>
      <c r="J268" s="15">
        <v>2822.0</v>
      </c>
      <c r="K268" s="11">
        <v>31.4</v>
      </c>
      <c r="L268" s="10">
        <v>7.0</v>
      </c>
      <c r="M268" s="11">
        <v>10.0</v>
      </c>
      <c r="N268" s="11">
        <v>17.0</v>
      </c>
      <c r="O268" s="11">
        <v>5.0</v>
      </c>
      <c r="P268" s="11">
        <v>2.0</v>
      </c>
      <c r="Q268" s="11">
        <v>3.0</v>
      </c>
      <c r="R268" s="11">
        <v>5.0</v>
      </c>
      <c r="S268" s="13">
        <v>0.0</v>
      </c>
      <c r="T268" s="10">
        <v>0.22</v>
      </c>
      <c r="U268" s="11">
        <v>0.32</v>
      </c>
      <c r="V268" s="11">
        <v>0.54</v>
      </c>
      <c r="W268" s="11">
        <v>0.16</v>
      </c>
      <c r="X268" s="11">
        <v>0.48</v>
      </c>
      <c r="Y268" s="14" t="s">
        <v>1074</v>
      </c>
    </row>
    <row r="269">
      <c r="A269" s="74">
        <v>263.0</v>
      </c>
      <c r="B269" s="7" t="s">
        <v>348</v>
      </c>
      <c r="C269" s="8" t="s">
        <v>25</v>
      </c>
      <c r="D269" s="9" t="s">
        <v>35</v>
      </c>
      <c r="E269" s="7" t="s">
        <v>128</v>
      </c>
      <c r="F269" s="9">
        <v>25.0</v>
      </c>
      <c r="G269" s="9">
        <v>1998.0</v>
      </c>
      <c r="H269" s="10">
        <v>30.0</v>
      </c>
      <c r="I269" s="11">
        <v>30.0</v>
      </c>
      <c r="J269" s="15">
        <v>2650.0</v>
      </c>
      <c r="K269" s="11">
        <v>29.4</v>
      </c>
      <c r="L269" s="12">
        <v>0.0</v>
      </c>
      <c r="M269" s="11">
        <v>2.0</v>
      </c>
      <c r="N269" s="11">
        <v>2.0</v>
      </c>
      <c r="O269" s="13">
        <v>0.0</v>
      </c>
      <c r="P269" s="13">
        <v>0.0</v>
      </c>
      <c r="Q269" s="13">
        <v>0.0</v>
      </c>
      <c r="R269" s="11">
        <v>8.0</v>
      </c>
      <c r="S269" s="11">
        <v>1.0</v>
      </c>
      <c r="T269" s="12">
        <v>0.0</v>
      </c>
      <c r="U269" s="11">
        <v>0.07</v>
      </c>
      <c r="V269" s="11">
        <v>0.07</v>
      </c>
      <c r="W269" s="13">
        <v>0.0</v>
      </c>
      <c r="X269" s="11">
        <v>0.07</v>
      </c>
      <c r="Y269" s="14" t="s">
        <v>1075</v>
      </c>
    </row>
    <row r="270">
      <c r="A270" s="74">
        <v>264.0</v>
      </c>
      <c r="B270" s="7" t="s">
        <v>569</v>
      </c>
      <c r="C270" s="8" t="s">
        <v>34</v>
      </c>
      <c r="D270" s="9" t="s">
        <v>77</v>
      </c>
      <c r="E270" s="7" t="s">
        <v>98</v>
      </c>
      <c r="F270" s="9">
        <v>26.0</v>
      </c>
      <c r="G270" s="9">
        <v>1997.0</v>
      </c>
      <c r="H270" s="10">
        <v>30.0</v>
      </c>
      <c r="I270" s="11">
        <v>30.0</v>
      </c>
      <c r="J270" s="15">
        <v>2700.0</v>
      </c>
      <c r="K270" s="11">
        <v>30.0</v>
      </c>
      <c r="L270" s="12">
        <v>0.0</v>
      </c>
      <c r="M270" s="11">
        <v>1.0</v>
      </c>
      <c r="N270" s="11">
        <v>1.0</v>
      </c>
      <c r="O270" s="13">
        <v>0.0</v>
      </c>
      <c r="P270" s="13">
        <v>0.0</v>
      </c>
      <c r="Q270" s="13">
        <v>0.0</v>
      </c>
      <c r="R270" s="13">
        <v>0.0</v>
      </c>
      <c r="S270" s="13">
        <v>0.0</v>
      </c>
      <c r="T270" s="12">
        <v>0.0</v>
      </c>
      <c r="U270" s="11">
        <v>0.03</v>
      </c>
      <c r="V270" s="11">
        <v>0.03</v>
      </c>
      <c r="W270" s="13">
        <v>0.0</v>
      </c>
      <c r="X270" s="11">
        <v>0.03</v>
      </c>
      <c r="Y270" s="14" t="s">
        <v>1076</v>
      </c>
    </row>
    <row r="271">
      <c r="A271" s="74">
        <v>265.0</v>
      </c>
      <c r="B271" s="7" t="s">
        <v>273</v>
      </c>
      <c r="C271" s="8" t="s">
        <v>34</v>
      </c>
      <c r="D271" s="9" t="s">
        <v>77</v>
      </c>
      <c r="E271" s="7" t="s">
        <v>80</v>
      </c>
      <c r="F271" s="9">
        <v>22.0</v>
      </c>
      <c r="G271" s="9">
        <v>2001.0</v>
      </c>
      <c r="H271" s="10">
        <v>9.0</v>
      </c>
      <c r="I271" s="11">
        <v>9.0</v>
      </c>
      <c r="J271" s="11">
        <v>764.0</v>
      </c>
      <c r="K271" s="11">
        <v>8.5</v>
      </c>
      <c r="L271" s="12">
        <v>0.0</v>
      </c>
      <c r="M271" s="13">
        <v>0.0</v>
      </c>
      <c r="N271" s="13">
        <v>0.0</v>
      </c>
      <c r="O271" s="13">
        <v>0.0</v>
      </c>
      <c r="P271" s="13">
        <v>0.0</v>
      </c>
      <c r="Q271" s="13">
        <v>0.0</v>
      </c>
      <c r="R271" s="13">
        <v>0.0</v>
      </c>
      <c r="S271" s="11">
        <v>1.0</v>
      </c>
      <c r="T271" s="12">
        <v>0.0</v>
      </c>
      <c r="U271" s="13">
        <v>0.0</v>
      </c>
      <c r="V271" s="13">
        <v>0.0</v>
      </c>
      <c r="W271" s="13">
        <v>0.0</v>
      </c>
      <c r="X271" s="13">
        <v>0.0</v>
      </c>
      <c r="Y271" s="14" t="s">
        <v>1077</v>
      </c>
    </row>
    <row r="272">
      <c r="A272" s="74">
        <v>266.0</v>
      </c>
      <c r="B272" s="7" t="s">
        <v>93</v>
      </c>
      <c r="C272" s="8" t="s">
        <v>94</v>
      </c>
      <c r="D272" s="9" t="s">
        <v>83</v>
      </c>
      <c r="E272" s="7" t="s">
        <v>27</v>
      </c>
      <c r="F272" s="9">
        <v>23.0</v>
      </c>
      <c r="G272" s="9">
        <v>2000.0</v>
      </c>
      <c r="H272" s="10">
        <v>18.0</v>
      </c>
      <c r="I272" s="11">
        <v>13.0</v>
      </c>
      <c r="J272" s="15">
        <v>1176.0</v>
      </c>
      <c r="K272" s="11">
        <v>13.1</v>
      </c>
      <c r="L272" s="12">
        <v>0.0</v>
      </c>
      <c r="M272" s="11">
        <v>1.0</v>
      </c>
      <c r="N272" s="11">
        <v>1.0</v>
      </c>
      <c r="O272" s="13">
        <v>0.0</v>
      </c>
      <c r="P272" s="13">
        <v>0.0</v>
      </c>
      <c r="Q272" s="13">
        <v>0.0</v>
      </c>
      <c r="R272" s="11">
        <v>2.0</v>
      </c>
      <c r="S272" s="13">
        <v>0.0</v>
      </c>
      <c r="T272" s="12">
        <v>0.0</v>
      </c>
      <c r="U272" s="11">
        <v>0.08</v>
      </c>
      <c r="V272" s="11">
        <v>0.08</v>
      </c>
      <c r="W272" s="13">
        <v>0.0</v>
      </c>
      <c r="X272" s="11">
        <v>0.08</v>
      </c>
      <c r="Y272" s="14" t="s">
        <v>1078</v>
      </c>
    </row>
    <row r="273">
      <c r="A273" s="74">
        <v>267.0</v>
      </c>
      <c r="B273" s="7" t="s">
        <v>374</v>
      </c>
      <c r="C273" s="8" t="s">
        <v>101</v>
      </c>
      <c r="D273" s="9" t="s">
        <v>26</v>
      </c>
      <c r="E273" s="7" t="s">
        <v>98</v>
      </c>
      <c r="F273" s="9">
        <v>21.0</v>
      </c>
      <c r="G273" s="9">
        <v>2003.0</v>
      </c>
      <c r="H273" s="10">
        <v>1.0</v>
      </c>
      <c r="I273" s="13">
        <v>0.0</v>
      </c>
      <c r="J273" s="11">
        <v>6.0</v>
      </c>
      <c r="K273" s="11">
        <v>0.1</v>
      </c>
      <c r="L273" s="12">
        <v>0.0</v>
      </c>
      <c r="M273" s="13">
        <v>0.0</v>
      </c>
      <c r="N273" s="13">
        <v>0.0</v>
      </c>
      <c r="O273" s="13">
        <v>0.0</v>
      </c>
      <c r="P273" s="13">
        <v>0.0</v>
      </c>
      <c r="Q273" s="13">
        <v>0.0</v>
      </c>
      <c r="R273" s="11">
        <v>1.0</v>
      </c>
      <c r="S273" s="13">
        <v>0.0</v>
      </c>
      <c r="T273" s="12">
        <v>0.0</v>
      </c>
      <c r="U273" s="13">
        <v>0.0</v>
      </c>
      <c r="V273" s="13">
        <v>0.0</v>
      </c>
      <c r="W273" s="13">
        <v>0.0</v>
      </c>
      <c r="X273" s="13">
        <v>0.0</v>
      </c>
      <c r="Y273" s="14" t="s">
        <v>1079</v>
      </c>
    </row>
    <row r="274">
      <c r="A274" s="74">
        <v>268.0</v>
      </c>
      <c r="B274" s="7" t="s">
        <v>528</v>
      </c>
      <c r="C274" s="8" t="s">
        <v>25</v>
      </c>
      <c r="D274" s="9" t="s">
        <v>35</v>
      </c>
      <c r="E274" s="7" t="s">
        <v>62</v>
      </c>
      <c r="F274" s="9">
        <v>25.0</v>
      </c>
      <c r="G274" s="9">
        <v>1998.0</v>
      </c>
      <c r="H274" s="10">
        <v>28.0</v>
      </c>
      <c r="I274" s="11">
        <v>22.0</v>
      </c>
      <c r="J274" s="15">
        <v>1949.0</v>
      </c>
      <c r="K274" s="11">
        <v>21.7</v>
      </c>
      <c r="L274" s="10">
        <v>2.0</v>
      </c>
      <c r="M274" s="11">
        <v>1.0</v>
      </c>
      <c r="N274" s="11">
        <v>3.0</v>
      </c>
      <c r="O274" s="11">
        <v>2.0</v>
      </c>
      <c r="P274" s="13">
        <v>0.0</v>
      </c>
      <c r="Q274" s="13">
        <v>0.0</v>
      </c>
      <c r="R274" s="11">
        <v>5.0</v>
      </c>
      <c r="S274" s="13">
        <v>0.0</v>
      </c>
      <c r="T274" s="10">
        <v>0.09</v>
      </c>
      <c r="U274" s="11">
        <v>0.05</v>
      </c>
      <c r="V274" s="11">
        <v>0.14</v>
      </c>
      <c r="W274" s="11">
        <v>0.09</v>
      </c>
      <c r="X274" s="11">
        <v>0.14</v>
      </c>
      <c r="Y274" s="14" t="s">
        <v>1080</v>
      </c>
    </row>
    <row r="275">
      <c r="A275" s="74">
        <v>269.0</v>
      </c>
      <c r="B275" s="7" t="s">
        <v>518</v>
      </c>
      <c r="C275" s="8" t="s">
        <v>393</v>
      </c>
      <c r="D275" s="9" t="s">
        <v>47</v>
      </c>
      <c r="E275" s="7" t="s">
        <v>128</v>
      </c>
      <c r="F275" s="9">
        <v>23.0</v>
      </c>
      <c r="G275" s="9">
        <v>2001.0</v>
      </c>
      <c r="H275" s="10">
        <v>11.0</v>
      </c>
      <c r="I275" s="11">
        <v>2.0</v>
      </c>
      <c r="J275" s="11">
        <v>345.0</v>
      </c>
      <c r="K275" s="11">
        <v>3.8</v>
      </c>
      <c r="L275" s="12">
        <v>0.0</v>
      </c>
      <c r="M275" s="13">
        <v>0.0</v>
      </c>
      <c r="N275" s="13">
        <v>0.0</v>
      </c>
      <c r="O275" s="13">
        <v>0.0</v>
      </c>
      <c r="P275" s="13">
        <v>0.0</v>
      </c>
      <c r="Q275" s="13">
        <v>0.0</v>
      </c>
      <c r="R275" s="11">
        <v>2.0</v>
      </c>
      <c r="S275" s="13">
        <v>0.0</v>
      </c>
      <c r="T275" s="12">
        <v>0.0</v>
      </c>
      <c r="U275" s="13">
        <v>0.0</v>
      </c>
      <c r="V275" s="13">
        <v>0.0</v>
      </c>
      <c r="W275" s="13">
        <v>0.0</v>
      </c>
      <c r="X275" s="13">
        <v>0.0</v>
      </c>
      <c r="Y275" s="14" t="s">
        <v>1081</v>
      </c>
    </row>
    <row r="276">
      <c r="A276" s="74">
        <v>270.0</v>
      </c>
      <c r="B276" s="7" t="s">
        <v>413</v>
      </c>
      <c r="C276" s="8" t="s">
        <v>70</v>
      </c>
      <c r="D276" s="9" t="s">
        <v>35</v>
      </c>
      <c r="E276" s="7" t="s">
        <v>44</v>
      </c>
      <c r="F276" s="9">
        <v>27.0</v>
      </c>
      <c r="G276" s="9">
        <v>1996.0</v>
      </c>
      <c r="H276" s="10">
        <v>9.0</v>
      </c>
      <c r="I276" s="11">
        <v>8.0</v>
      </c>
      <c r="J276" s="11">
        <v>732.0</v>
      </c>
      <c r="K276" s="11">
        <v>8.1</v>
      </c>
      <c r="L276" s="12">
        <v>0.0</v>
      </c>
      <c r="M276" s="13">
        <v>0.0</v>
      </c>
      <c r="N276" s="13">
        <v>0.0</v>
      </c>
      <c r="O276" s="13">
        <v>0.0</v>
      </c>
      <c r="P276" s="13">
        <v>0.0</v>
      </c>
      <c r="Q276" s="13">
        <v>0.0</v>
      </c>
      <c r="R276" s="11">
        <v>1.0</v>
      </c>
      <c r="S276" s="13">
        <v>0.0</v>
      </c>
      <c r="T276" s="12">
        <v>0.0</v>
      </c>
      <c r="U276" s="13">
        <v>0.0</v>
      </c>
      <c r="V276" s="13">
        <v>0.0</v>
      </c>
      <c r="W276" s="13">
        <v>0.0</v>
      </c>
      <c r="X276" s="13">
        <v>0.0</v>
      </c>
      <c r="Y276" s="14" t="s">
        <v>1082</v>
      </c>
    </row>
    <row r="277">
      <c r="A277" s="74">
        <v>271.0</v>
      </c>
      <c r="B277" s="7" t="s">
        <v>459</v>
      </c>
      <c r="C277" s="8" t="s">
        <v>70</v>
      </c>
      <c r="D277" s="9" t="s">
        <v>30</v>
      </c>
      <c r="E277" s="7" t="s">
        <v>58</v>
      </c>
      <c r="F277" s="9">
        <v>26.0</v>
      </c>
      <c r="G277" s="9">
        <v>1997.0</v>
      </c>
      <c r="H277" s="10">
        <v>30.0</v>
      </c>
      <c r="I277" s="11">
        <v>18.0</v>
      </c>
      <c r="J277" s="15">
        <v>1510.0</v>
      </c>
      <c r="K277" s="11">
        <v>16.8</v>
      </c>
      <c r="L277" s="10">
        <v>2.0</v>
      </c>
      <c r="M277" s="11">
        <v>2.0</v>
      </c>
      <c r="N277" s="11">
        <v>4.0</v>
      </c>
      <c r="O277" s="11">
        <v>2.0</v>
      </c>
      <c r="P277" s="13">
        <v>0.0</v>
      </c>
      <c r="Q277" s="13">
        <v>0.0</v>
      </c>
      <c r="R277" s="11">
        <v>5.0</v>
      </c>
      <c r="S277" s="11">
        <v>1.0</v>
      </c>
      <c r="T277" s="10">
        <v>0.12</v>
      </c>
      <c r="U277" s="11">
        <v>0.12</v>
      </c>
      <c r="V277" s="11">
        <v>0.24</v>
      </c>
      <c r="W277" s="11">
        <v>0.12</v>
      </c>
      <c r="X277" s="11">
        <v>0.24</v>
      </c>
      <c r="Y277" s="14" t="s">
        <v>1083</v>
      </c>
    </row>
    <row r="278">
      <c r="A278" s="74">
        <v>272.0</v>
      </c>
      <c r="B278" s="7" t="s">
        <v>401</v>
      </c>
      <c r="C278" s="8" t="s">
        <v>25</v>
      </c>
      <c r="D278" s="9" t="s">
        <v>77</v>
      </c>
      <c r="E278" s="7" t="s">
        <v>31</v>
      </c>
      <c r="F278" s="9">
        <v>31.0</v>
      </c>
      <c r="G278" s="9">
        <v>1993.0</v>
      </c>
      <c r="H278" s="10">
        <v>1.0</v>
      </c>
      <c r="I278" s="11">
        <v>1.0</v>
      </c>
      <c r="J278" s="11">
        <v>90.0</v>
      </c>
      <c r="K278" s="11">
        <v>1.0</v>
      </c>
      <c r="L278" s="12">
        <v>0.0</v>
      </c>
      <c r="M278" s="13">
        <v>0.0</v>
      </c>
      <c r="N278" s="13">
        <v>0.0</v>
      </c>
      <c r="O278" s="13">
        <v>0.0</v>
      </c>
      <c r="P278" s="13">
        <v>0.0</v>
      </c>
      <c r="Q278" s="13">
        <v>0.0</v>
      </c>
      <c r="R278" s="11">
        <v>1.0</v>
      </c>
      <c r="S278" s="13">
        <v>0.0</v>
      </c>
      <c r="T278" s="12">
        <v>0.0</v>
      </c>
      <c r="U278" s="13">
        <v>0.0</v>
      </c>
      <c r="V278" s="13">
        <v>0.0</v>
      </c>
      <c r="W278" s="13">
        <v>0.0</v>
      </c>
      <c r="X278" s="13">
        <v>0.0</v>
      </c>
      <c r="Y278" s="14" t="s">
        <v>1084</v>
      </c>
    </row>
    <row r="279">
      <c r="A279" s="74">
        <v>273.0</v>
      </c>
      <c r="B279" s="7" t="s">
        <v>448</v>
      </c>
      <c r="C279" s="8" t="s">
        <v>449</v>
      </c>
      <c r="D279" s="9" t="s">
        <v>26</v>
      </c>
      <c r="E279" s="7" t="s">
        <v>44</v>
      </c>
      <c r="F279" s="9">
        <v>17.0</v>
      </c>
      <c r="G279" s="9">
        <v>2006.0</v>
      </c>
      <c r="H279" s="10">
        <v>1.0</v>
      </c>
      <c r="I279" s="13">
        <v>0.0</v>
      </c>
      <c r="J279" s="11">
        <v>11.0</v>
      </c>
      <c r="K279" s="11">
        <v>0.1</v>
      </c>
      <c r="L279" s="12">
        <v>0.0</v>
      </c>
      <c r="M279" s="13">
        <v>0.0</v>
      </c>
      <c r="N279" s="13">
        <v>0.0</v>
      </c>
      <c r="O279" s="13">
        <v>0.0</v>
      </c>
      <c r="P279" s="13">
        <v>0.0</v>
      </c>
      <c r="Q279" s="13">
        <v>0.0</v>
      </c>
      <c r="R279" s="13">
        <v>0.0</v>
      </c>
      <c r="S279" s="13">
        <v>0.0</v>
      </c>
      <c r="T279" s="12">
        <v>0.0</v>
      </c>
      <c r="U279" s="13">
        <v>0.0</v>
      </c>
      <c r="V279" s="13">
        <v>0.0</v>
      </c>
      <c r="W279" s="13">
        <v>0.0</v>
      </c>
      <c r="X279" s="13">
        <v>0.0</v>
      </c>
      <c r="Y279" s="14" t="s">
        <v>1085</v>
      </c>
    </row>
    <row r="280">
      <c r="A280" s="74">
        <v>274.0</v>
      </c>
      <c r="B280" s="7" t="s">
        <v>319</v>
      </c>
      <c r="C280" s="8" t="s">
        <v>25</v>
      </c>
      <c r="D280" s="9" t="s">
        <v>77</v>
      </c>
      <c r="E280" s="7" t="s">
        <v>44</v>
      </c>
      <c r="F280" s="9">
        <v>26.0</v>
      </c>
      <c r="G280" s="9">
        <v>1997.0</v>
      </c>
      <c r="H280" s="10">
        <v>2.0</v>
      </c>
      <c r="I280" s="11">
        <v>2.0</v>
      </c>
      <c r="J280" s="11">
        <v>180.0</v>
      </c>
      <c r="K280" s="11">
        <v>2.0</v>
      </c>
      <c r="L280" s="12">
        <v>0.0</v>
      </c>
      <c r="M280" s="13">
        <v>0.0</v>
      </c>
      <c r="N280" s="13">
        <v>0.0</v>
      </c>
      <c r="O280" s="13">
        <v>0.0</v>
      </c>
      <c r="P280" s="13">
        <v>0.0</v>
      </c>
      <c r="Q280" s="13">
        <v>0.0</v>
      </c>
      <c r="R280" s="13">
        <v>0.0</v>
      </c>
      <c r="S280" s="13">
        <v>0.0</v>
      </c>
      <c r="T280" s="12">
        <v>0.0</v>
      </c>
      <c r="U280" s="13">
        <v>0.0</v>
      </c>
      <c r="V280" s="13">
        <v>0.0</v>
      </c>
      <c r="W280" s="13">
        <v>0.0</v>
      </c>
      <c r="X280" s="13">
        <v>0.0</v>
      </c>
      <c r="Y280" s="14" t="s">
        <v>1086</v>
      </c>
    </row>
    <row r="281">
      <c r="A281" s="74">
        <v>275.0</v>
      </c>
      <c r="B281" s="7" t="s">
        <v>409</v>
      </c>
      <c r="C281" s="8" t="s">
        <v>25</v>
      </c>
      <c r="D281" s="9" t="s">
        <v>35</v>
      </c>
      <c r="E281" s="7" t="s">
        <v>58</v>
      </c>
      <c r="F281" s="9">
        <v>18.0</v>
      </c>
      <c r="G281" s="9">
        <v>2005.0</v>
      </c>
      <c r="H281" s="10">
        <v>2.0</v>
      </c>
      <c r="I281" s="11">
        <v>1.0</v>
      </c>
      <c r="J281" s="11">
        <v>60.0</v>
      </c>
      <c r="K281" s="11">
        <v>0.7</v>
      </c>
      <c r="L281" s="12">
        <v>0.0</v>
      </c>
      <c r="M281" s="13">
        <v>0.0</v>
      </c>
      <c r="N281" s="13">
        <v>0.0</v>
      </c>
      <c r="O281" s="13">
        <v>0.0</v>
      </c>
      <c r="P281" s="13">
        <v>0.0</v>
      </c>
      <c r="Q281" s="13">
        <v>0.0</v>
      </c>
      <c r="R281" s="13">
        <v>0.0</v>
      </c>
      <c r="S281" s="13">
        <v>0.0</v>
      </c>
      <c r="T281" s="12">
        <v>0.0</v>
      </c>
      <c r="U281" s="13">
        <v>0.0</v>
      </c>
      <c r="V281" s="13">
        <v>0.0</v>
      </c>
      <c r="W281" s="13">
        <v>0.0</v>
      </c>
      <c r="X281" s="13">
        <v>0.0</v>
      </c>
      <c r="Y281" s="14" t="s">
        <v>1087</v>
      </c>
    </row>
    <row r="282">
      <c r="A282" s="74">
        <v>276.0</v>
      </c>
      <c r="B282" s="7" t="s">
        <v>546</v>
      </c>
      <c r="C282" s="8" t="s">
        <v>25</v>
      </c>
      <c r="D282" s="9" t="s">
        <v>26</v>
      </c>
      <c r="E282" s="7" t="s">
        <v>44</v>
      </c>
      <c r="F282" s="9">
        <v>22.0</v>
      </c>
      <c r="G282" s="9">
        <v>2001.0</v>
      </c>
      <c r="H282" s="10">
        <v>13.0</v>
      </c>
      <c r="I282" s="11">
        <v>12.0</v>
      </c>
      <c r="J282" s="15">
        <v>1048.0</v>
      </c>
      <c r="K282" s="11">
        <v>11.6</v>
      </c>
      <c r="L282" s="10">
        <v>3.0</v>
      </c>
      <c r="M282" s="13">
        <v>0.0</v>
      </c>
      <c r="N282" s="11">
        <v>3.0</v>
      </c>
      <c r="O282" s="11">
        <v>3.0</v>
      </c>
      <c r="P282" s="13">
        <v>0.0</v>
      </c>
      <c r="Q282" s="13">
        <v>0.0</v>
      </c>
      <c r="R282" s="11">
        <v>4.0</v>
      </c>
      <c r="S282" s="11">
        <v>1.0</v>
      </c>
      <c r="T282" s="10">
        <v>0.26</v>
      </c>
      <c r="U282" s="13">
        <v>0.0</v>
      </c>
      <c r="V282" s="11">
        <v>0.26</v>
      </c>
      <c r="W282" s="11">
        <v>0.26</v>
      </c>
      <c r="X282" s="11">
        <v>0.26</v>
      </c>
      <c r="Y282" s="14" t="s">
        <v>1088</v>
      </c>
    </row>
    <row r="283">
      <c r="A283" s="74">
        <v>277.0</v>
      </c>
      <c r="B283" s="7" t="s">
        <v>571</v>
      </c>
      <c r="C283" s="8" t="s">
        <v>25</v>
      </c>
      <c r="D283" s="9" t="s">
        <v>35</v>
      </c>
      <c r="E283" s="7" t="s">
        <v>52</v>
      </c>
      <c r="F283" s="9">
        <v>25.0</v>
      </c>
      <c r="G283" s="9">
        <v>1998.0</v>
      </c>
      <c r="H283" s="10">
        <v>10.0</v>
      </c>
      <c r="I283" s="11">
        <v>4.0</v>
      </c>
      <c r="J283" s="11">
        <v>309.0</v>
      </c>
      <c r="K283" s="11">
        <v>3.4</v>
      </c>
      <c r="L283" s="12">
        <v>0.0</v>
      </c>
      <c r="M283" s="13">
        <v>0.0</v>
      </c>
      <c r="N283" s="13">
        <v>0.0</v>
      </c>
      <c r="O283" s="13">
        <v>0.0</v>
      </c>
      <c r="P283" s="13">
        <v>0.0</v>
      </c>
      <c r="Q283" s="13">
        <v>0.0</v>
      </c>
      <c r="R283" s="11">
        <v>3.0</v>
      </c>
      <c r="S283" s="11">
        <v>1.0</v>
      </c>
      <c r="T283" s="12">
        <v>0.0</v>
      </c>
      <c r="U283" s="13">
        <v>0.0</v>
      </c>
      <c r="V283" s="13">
        <v>0.0</v>
      </c>
      <c r="W283" s="13">
        <v>0.0</v>
      </c>
      <c r="X283" s="13">
        <v>0.0</v>
      </c>
      <c r="Y283" s="14" t="s">
        <v>1089</v>
      </c>
    </row>
    <row r="284">
      <c r="A284" s="74">
        <v>278.0</v>
      </c>
      <c r="B284" s="7" t="s">
        <v>148</v>
      </c>
      <c r="C284" s="8" t="s">
        <v>25</v>
      </c>
      <c r="D284" s="9" t="s">
        <v>55</v>
      </c>
      <c r="E284" s="7" t="s">
        <v>62</v>
      </c>
      <c r="F284" s="9">
        <v>15.0</v>
      </c>
      <c r="G284" s="9">
        <v>2008.0</v>
      </c>
      <c r="H284" s="10">
        <v>1.0</v>
      </c>
      <c r="I284" s="13">
        <v>0.0</v>
      </c>
      <c r="J284" s="11">
        <v>5.0</v>
      </c>
      <c r="K284" s="11">
        <v>0.1</v>
      </c>
      <c r="L284" s="12">
        <v>0.0</v>
      </c>
      <c r="M284" s="13">
        <v>0.0</v>
      </c>
      <c r="N284" s="13">
        <v>0.0</v>
      </c>
      <c r="O284" s="13">
        <v>0.0</v>
      </c>
      <c r="P284" s="13">
        <v>0.0</v>
      </c>
      <c r="Q284" s="13">
        <v>0.0</v>
      </c>
      <c r="R284" s="13">
        <v>0.0</v>
      </c>
      <c r="S284" s="13">
        <v>0.0</v>
      </c>
      <c r="T284" s="12">
        <v>0.0</v>
      </c>
      <c r="U284" s="13">
        <v>0.0</v>
      </c>
      <c r="V284" s="13">
        <v>0.0</v>
      </c>
      <c r="W284" s="13">
        <v>0.0</v>
      </c>
      <c r="X284" s="13">
        <v>0.0</v>
      </c>
      <c r="Y284" s="14" t="s">
        <v>1090</v>
      </c>
    </row>
    <row r="285">
      <c r="A285" s="74">
        <v>279.0</v>
      </c>
      <c r="B285" s="7" t="s">
        <v>239</v>
      </c>
      <c r="C285" s="8"/>
      <c r="D285" s="9" t="s">
        <v>26</v>
      </c>
      <c r="E285" s="7" t="s">
        <v>36</v>
      </c>
      <c r="F285" s="9">
        <v>18.0</v>
      </c>
      <c r="G285" s="9">
        <v>2005.0</v>
      </c>
      <c r="H285" s="10">
        <v>1.0</v>
      </c>
      <c r="I285" s="13">
        <v>0.0</v>
      </c>
      <c r="J285" s="11">
        <v>15.0</v>
      </c>
      <c r="K285" s="11">
        <v>0.2</v>
      </c>
      <c r="L285" s="12">
        <v>0.0</v>
      </c>
      <c r="M285" s="13">
        <v>0.0</v>
      </c>
      <c r="N285" s="13">
        <v>0.0</v>
      </c>
      <c r="O285" s="13">
        <v>0.0</v>
      </c>
      <c r="P285" s="13">
        <v>0.0</v>
      </c>
      <c r="Q285" s="13">
        <v>0.0</v>
      </c>
      <c r="R285" s="13">
        <v>0.0</v>
      </c>
      <c r="S285" s="13">
        <v>0.0</v>
      </c>
      <c r="T285" s="12">
        <v>0.0</v>
      </c>
      <c r="U285" s="13">
        <v>0.0</v>
      </c>
      <c r="V285" s="13">
        <v>0.0</v>
      </c>
      <c r="W285" s="13">
        <v>0.0</v>
      </c>
      <c r="X285" s="13">
        <v>0.0</v>
      </c>
      <c r="Y285" s="14" t="s">
        <v>1091</v>
      </c>
    </row>
    <row r="286">
      <c r="A286" s="74">
        <v>280.0</v>
      </c>
      <c r="B286" s="7" t="s">
        <v>524</v>
      </c>
      <c r="C286" s="8" t="s">
        <v>25</v>
      </c>
      <c r="D286" s="9" t="s">
        <v>47</v>
      </c>
      <c r="E286" s="7" t="s">
        <v>31</v>
      </c>
      <c r="F286" s="9">
        <v>32.0</v>
      </c>
      <c r="G286" s="9">
        <v>1991.0</v>
      </c>
      <c r="H286" s="10">
        <v>14.0</v>
      </c>
      <c r="I286" s="11">
        <v>6.0</v>
      </c>
      <c r="J286" s="11">
        <v>561.0</v>
      </c>
      <c r="K286" s="11">
        <v>6.2</v>
      </c>
      <c r="L286" s="10">
        <v>1.0</v>
      </c>
      <c r="M286" s="13">
        <v>0.0</v>
      </c>
      <c r="N286" s="11">
        <v>1.0</v>
      </c>
      <c r="O286" s="11">
        <v>1.0</v>
      </c>
      <c r="P286" s="13">
        <v>0.0</v>
      </c>
      <c r="Q286" s="13">
        <v>0.0</v>
      </c>
      <c r="R286" s="11">
        <v>2.0</v>
      </c>
      <c r="S286" s="13">
        <v>0.0</v>
      </c>
      <c r="T286" s="10">
        <v>0.16</v>
      </c>
      <c r="U286" s="13">
        <v>0.0</v>
      </c>
      <c r="V286" s="11">
        <v>0.16</v>
      </c>
      <c r="W286" s="11">
        <v>0.16</v>
      </c>
      <c r="X286" s="11">
        <v>0.16</v>
      </c>
      <c r="Y286" s="14" t="s">
        <v>1092</v>
      </c>
    </row>
    <row r="287">
      <c r="A287" s="74">
        <v>281.0</v>
      </c>
      <c r="B287" s="7" t="s">
        <v>512</v>
      </c>
      <c r="C287" s="8" t="s">
        <v>34</v>
      </c>
      <c r="D287" s="9" t="s">
        <v>47</v>
      </c>
      <c r="E287" s="7" t="s">
        <v>58</v>
      </c>
      <c r="F287" s="9">
        <v>23.0</v>
      </c>
      <c r="G287" s="9">
        <v>2001.0</v>
      </c>
      <c r="H287" s="10">
        <v>10.0</v>
      </c>
      <c r="I287" s="11">
        <v>7.0</v>
      </c>
      <c r="J287" s="11">
        <v>573.0</v>
      </c>
      <c r="K287" s="11">
        <v>6.4</v>
      </c>
      <c r="L287" s="10">
        <v>2.0</v>
      </c>
      <c r="M287" s="13">
        <v>0.0</v>
      </c>
      <c r="N287" s="11">
        <v>2.0</v>
      </c>
      <c r="O287" s="11">
        <v>2.0</v>
      </c>
      <c r="P287" s="13">
        <v>0.0</v>
      </c>
      <c r="Q287" s="13">
        <v>0.0</v>
      </c>
      <c r="R287" s="13">
        <v>0.0</v>
      </c>
      <c r="S287" s="13">
        <v>0.0</v>
      </c>
      <c r="T287" s="10">
        <v>0.31</v>
      </c>
      <c r="U287" s="13">
        <v>0.0</v>
      </c>
      <c r="V287" s="11">
        <v>0.31</v>
      </c>
      <c r="W287" s="11">
        <v>0.31</v>
      </c>
      <c r="X287" s="11">
        <v>0.31</v>
      </c>
      <c r="Y287" s="14" t="s">
        <v>1093</v>
      </c>
    </row>
    <row r="288">
      <c r="A288" s="74">
        <v>282.0</v>
      </c>
      <c r="B288" s="7" t="s">
        <v>430</v>
      </c>
      <c r="C288" s="8" t="s">
        <v>25</v>
      </c>
      <c r="D288" s="9" t="s">
        <v>35</v>
      </c>
      <c r="E288" s="7" t="s">
        <v>27</v>
      </c>
      <c r="F288" s="9">
        <v>21.0</v>
      </c>
      <c r="G288" s="9">
        <v>2002.0</v>
      </c>
      <c r="H288" s="10">
        <v>28.0</v>
      </c>
      <c r="I288" s="11">
        <v>25.0</v>
      </c>
      <c r="J288" s="15">
        <v>2205.0</v>
      </c>
      <c r="K288" s="11">
        <v>24.5</v>
      </c>
      <c r="L288" s="10">
        <v>3.0</v>
      </c>
      <c r="M288" s="13">
        <v>0.0</v>
      </c>
      <c r="N288" s="11">
        <v>3.0</v>
      </c>
      <c r="O288" s="11">
        <v>3.0</v>
      </c>
      <c r="P288" s="13">
        <v>0.0</v>
      </c>
      <c r="Q288" s="13">
        <v>0.0</v>
      </c>
      <c r="R288" s="11">
        <v>4.0</v>
      </c>
      <c r="S288" s="13">
        <v>0.0</v>
      </c>
      <c r="T288" s="10">
        <v>0.12</v>
      </c>
      <c r="U288" s="13">
        <v>0.0</v>
      </c>
      <c r="V288" s="11">
        <v>0.12</v>
      </c>
      <c r="W288" s="11">
        <v>0.12</v>
      </c>
      <c r="X288" s="11">
        <v>0.12</v>
      </c>
      <c r="Y288" s="14" t="s">
        <v>1094</v>
      </c>
    </row>
    <row r="289">
      <c r="A289" s="74">
        <v>283.0</v>
      </c>
      <c r="B289" s="7" t="s">
        <v>323</v>
      </c>
      <c r="C289" s="8" t="s">
        <v>70</v>
      </c>
      <c r="D289" s="9" t="s">
        <v>35</v>
      </c>
      <c r="E289" s="7" t="s">
        <v>80</v>
      </c>
      <c r="F289" s="9">
        <v>22.0</v>
      </c>
      <c r="G289" s="9">
        <v>2001.0</v>
      </c>
      <c r="H289" s="10">
        <v>3.0</v>
      </c>
      <c r="I289" s="11">
        <v>3.0</v>
      </c>
      <c r="J289" s="11">
        <v>216.0</v>
      </c>
      <c r="K289" s="11">
        <v>2.4</v>
      </c>
      <c r="L289" s="12">
        <v>0.0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3">
        <v>0.0</v>
      </c>
      <c r="T289" s="12">
        <v>0.0</v>
      </c>
      <c r="U289" s="13">
        <v>0.0</v>
      </c>
      <c r="V289" s="13">
        <v>0.0</v>
      </c>
      <c r="W289" s="13">
        <v>0.0</v>
      </c>
      <c r="X289" s="13">
        <v>0.0</v>
      </c>
      <c r="Y289" s="14" t="s">
        <v>1095</v>
      </c>
    </row>
    <row r="290">
      <c r="A290" s="74">
        <v>284.0</v>
      </c>
      <c r="B290" s="7" t="s">
        <v>616</v>
      </c>
      <c r="C290" s="8" t="s">
        <v>25</v>
      </c>
      <c r="D290" s="9" t="s">
        <v>55</v>
      </c>
      <c r="E290" s="7" t="s">
        <v>62</v>
      </c>
      <c r="F290" s="9">
        <v>33.0</v>
      </c>
      <c r="G290" s="9">
        <v>1990.0</v>
      </c>
      <c r="H290" s="10">
        <v>33.0</v>
      </c>
      <c r="I290" s="11">
        <v>27.0</v>
      </c>
      <c r="J290" s="15">
        <v>2544.0</v>
      </c>
      <c r="K290" s="11">
        <v>28.3</v>
      </c>
      <c r="L290" s="10">
        <v>9.0</v>
      </c>
      <c r="M290" s="11">
        <v>3.0</v>
      </c>
      <c r="N290" s="11">
        <v>12.0</v>
      </c>
      <c r="O290" s="11">
        <v>9.0</v>
      </c>
      <c r="P290" s="13">
        <v>0.0</v>
      </c>
      <c r="Q290" s="13">
        <v>0.0</v>
      </c>
      <c r="R290" s="11">
        <v>9.0</v>
      </c>
      <c r="S290" s="11">
        <v>1.0</v>
      </c>
      <c r="T290" s="10">
        <v>0.32</v>
      </c>
      <c r="U290" s="11">
        <v>0.11</v>
      </c>
      <c r="V290" s="11">
        <v>0.42</v>
      </c>
      <c r="W290" s="11">
        <v>0.32</v>
      </c>
      <c r="X290" s="11">
        <v>0.42</v>
      </c>
      <c r="Y290" s="14" t="s">
        <v>1096</v>
      </c>
    </row>
    <row r="291">
      <c r="A291" s="74">
        <v>285.0</v>
      </c>
      <c r="B291" s="7" t="s">
        <v>382</v>
      </c>
      <c r="C291" s="8" t="s">
        <v>25</v>
      </c>
      <c r="D291" s="9" t="s">
        <v>26</v>
      </c>
      <c r="E291" s="7" t="s">
        <v>58</v>
      </c>
      <c r="F291" s="9">
        <v>33.0</v>
      </c>
      <c r="G291" s="9">
        <v>1990.0</v>
      </c>
      <c r="H291" s="10">
        <v>2.0</v>
      </c>
      <c r="I291" s="13">
        <v>0.0</v>
      </c>
      <c r="J291" s="11">
        <v>18.0</v>
      </c>
      <c r="K291" s="11">
        <v>0.2</v>
      </c>
      <c r="L291" s="12">
        <v>0.0</v>
      </c>
      <c r="M291" s="13">
        <v>0.0</v>
      </c>
      <c r="N291" s="13">
        <v>0.0</v>
      </c>
      <c r="O291" s="13">
        <v>0.0</v>
      </c>
      <c r="P291" s="13">
        <v>0.0</v>
      </c>
      <c r="Q291" s="13">
        <v>0.0</v>
      </c>
      <c r="R291" s="11">
        <v>1.0</v>
      </c>
      <c r="S291" s="13">
        <v>0.0</v>
      </c>
      <c r="T291" s="12">
        <v>0.0</v>
      </c>
      <c r="U291" s="13">
        <v>0.0</v>
      </c>
      <c r="V291" s="13">
        <v>0.0</v>
      </c>
      <c r="W291" s="13">
        <v>0.0</v>
      </c>
      <c r="X291" s="13">
        <v>0.0</v>
      </c>
      <c r="Y291" s="14" t="s">
        <v>1097</v>
      </c>
    </row>
    <row r="292">
      <c r="A292" s="74">
        <v>286.0</v>
      </c>
      <c r="B292" s="7" t="s">
        <v>229</v>
      </c>
      <c r="C292" s="8" t="s">
        <v>25</v>
      </c>
      <c r="D292" s="9" t="s">
        <v>26</v>
      </c>
      <c r="E292" s="7" t="s">
        <v>31</v>
      </c>
      <c r="F292" s="9">
        <v>26.0</v>
      </c>
      <c r="G292" s="9">
        <v>1997.0</v>
      </c>
      <c r="H292" s="10">
        <v>30.0</v>
      </c>
      <c r="I292" s="11">
        <v>27.0</v>
      </c>
      <c r="J292" s="15">
        <v>2220.0</v>
      </c>
      <c r="K292" s="11">
        <v>24.7</v>
      </c>
      <c r="L292" s="10">
        <v>4.0</v>
      </c>
      <c r="M292" s="11">
        <v>7.0</v>
      </c>
      <c r="N292" s="11">
        <v>11.0</v>
      </c>
      <c r="O292" s="11">
        <v>4.0</v>
      </c>
      <c r="P292" s="13">
        <v>0.0</v>
      </c>
      <c r="Q292" s="11">
        <v>1.0</v>
      </c>
      <c r="R292" s="11">
        <v>6.0</v>
      </c>
      <c r="S292" s="13">
        <v>0.0</v>
      </c>
      <c r="T292" s="10">
        <v>0.16</v>
      </c>
      <c r="U292" s="11">
        <v>0.28</v>
      </c>
      <c r="V292" s="11">
        <v>0.45</v>
      </c>
      <c r="W292" s="11">
        <v>0.16</v>
      </c>
      <c r="X292" s="11">
        <v>0.45</v>
      </c>
      <c r="Y292" s="14" t="s">
        <v>1098</v>
      </c>
    </row>
    <row r="293">
      <c r="A293" s="74">
        <v>287.0</v>
      </c>
      <c r="B293" s="7" t="s">
        <v>643</v>
      </c>
      <c r="C293" s="8" t="s">
        <v>25</v>
      </c>
      <c r="D293" s="9" t="s">
        <v>55</v>
      </c>
      <c r="E293" s="7" t="s">
        <v>128</v>
      </c>
      <c r="F293" s="9">
        <v>23.0</v>
      </c>
      <c r="G293" s="9">
        <v>2000.0</v>
      </c>
      <c r="H293" s="10">
        <v>28.0</v>
      </c>
      <c r="I293" s="11">
        <v>12.0</v>
      </c>
      <c r="J293" s="15">
        <v>1286.0</v>
      </c>
      <c r="K293" s="11">
        <v>14.3</v>
      </c>
      <c r="L293" s="10">
        <v>7.0</v>
      </c>
      <c r="M293" s="11">
        <v>1.0</v>
      </c>
      <c r="N293" s="11">
        <v>8.0</v>
      </c>
      <c r="O293" s="11">
        <v>7.0</v>
      </c>
      <c r="P293" s="13">
        <v>0.0</v>
      </c>
      <c r="Q293" s="13">
        <v>0.0</v>
      </c>
      <c r="R293" s="11">
        <v>1.0</v>
      </c>
      <c r="S293" s="13">
        <v>0.0</v>
      </c>
      <c r="T293" s="10">
        <v>0.49</v>
      </c>
      <c r="U293" s="11">
        <v>0.07</v>
      </c>
      <c r="V293" s="11">
        <v>0.56</v>
      </c>
      <c r="W293" s="11">
        <v>0.49</v>
      </c>
      <c r="X293" s="11">
        <v>0.56</v>
      </c>
      <c r="Y293" s="14" t="s">
        <v>1099</v>
      </c>
    </row>
    <row r="294">
      <c r="A294" s="74">
        <v>288.0</v>
      </c>
      <c r="B294" s="7" t="s">
        <v>211</v>
      </c>
      <c r="C294" s="8" t="s">
        <v>25</v>
      </c>
      <c r="D294" s="9" t="s">
        <v>35</v>
      </c>
      <c r="E294" s="7" t="s">
        <v>36</v>
      </c>
      <c r="F294" s="9">
        <v>33.0</v>
      </c>
      <c r="G294" s="9">
        <v>1990.0</v>
      </c>
      <c r="H294" s="10">
        <v>19.0</v>
      </c>
      <c r="I294" s="11">
        <v>13.0</v>
      </c>
      <c r="J294" s="15">
        <v>1176.0</v>
      </c>
      <c r="K294" s="11">
        <v>13.1</v>
      </c>
      <c r="L294" s="12">
        <v>0.0</v>
      </c>
      <c r="M294" s="13">
        <v>0.0</v>
      </c>
      <c r="N294" s="13">
        <v>0.0</v>
      </c>
      <c r="O294" s="13">
        <v>0.0</v>
      </c>
      <c r="P294" s="13">
        <v>0.0</v>
      </c>
      <c r="Q294" s="13">
        <v>0.0</v>
      </c>
      <c r="R294" s="11">
        <v>4.0</v>
      </c>
      <c r="S294" s="13">
        <v>0.0</v>
      </c>
      <c r="T294" s="12">
        <v>0.0</v>
      </c>
      <c r="U294" s="13">
        <v>0.0</v>
      </c>
      <c r="V294" s="13">
        <v>0.0</v>
      </c>
      <c r="W294" s="13">
        <v>0.0</v>
      </c>
      <c r="X294" s="13">
        <v>0.0</v>
      </c>
      <c r="Y294" s="14" t="s">
        <v>1100</v>
      </c>
    </row>
    <row r="295">
      <c r="A295" s="74">
        <v>289.0</v>
      </c>
      <c r="B295" s="7" t="s">
        <v>247</v>
      </c>
      <c r="C295" s="8" t="s">
        <v>25</v>
      </c>
      <c r="D295" s="9" t="s">
        <v>83</v>
      </c>
      <c r="E295" s="7" t="s">
        <v>36</v>
      </c>
      <c r="F295" s="9">
        <v>21.0</v>
      </c>
      <c r="G295" s="9">
        <v>2002.0</v>
      </c>
      <c r="H295" s="10">
        <v>19.0</v>
      </c>
      <c r="I295" s="11">
        <v>19.0</v>
      </c>
      <c r="J295" s="15">
        <v>1637.0</v>
      </c>
      <c r="K295" s="11">
        <v>18.2</v>
      </c>
      <c r="L295" s="10">
        <v>4.0</v>
      </c>
      <c r="M295" s="11">
        <v>2.0</v>
      </c>
      <c r="N295" s="11">
        <v>6.0</v>
      </c>
      <c r="O295" s="11">
        <v>4.0</v>
      </c>
      <c r="P295" s="13">
        <v>0.0</v>
      </c>
      <c r="Q295" s="13">
        <v>0.0</v>
      </c>
      <c r="R295" s="11">
        <v>5.0</v>
      </c>
      <c r="S295" s="13">
        <v>0.0</v>
      </c>
      <c r="T295" s="10">
        <v>0.22</v>
      </c>
      <c r="U295" s="11">
        <v>0.11</v>
      </c>
      <c r="V295" s="11">
        <v>0.33</v>
      </c>
      <c r="W295" s="11">
        <v>0.22</v>
      </c>
      <c r="X295" s="11">
        <v>0.33</v>
      </c>
      <c r="Y295" s="14" t="s">
        <v>1101</v>
      </c>
    </row>
    <row r="296">
      <c r="A296" s="74">
        <v>290.0</v>
      </c>
      <c r="B296" s="7" t="s">
        <v>152</v>
      </c>
      <c r="C296" s="8" t="s">
        <v>25</v>
      </c>
      <c r="D296" s="9" t="s">
        <v>55</v>
      </c>
      <c r="E296" s="7" t="s">
        <v>52</v>
      </c>
      <c r="F296" s="9">
        <v>23.0</v>
      </c>
      <c r="G296" s="9">
        <v>2000.0</v>
      </c>
      <c r="H296" s="10">
        <v>10.0</v>
      </c>
      <c r="I296" s="11">
        <v>2.0</v>
      </c>
      <c r="J296" s="11">
        <v>287.0</v>
      </c>
      <c r="K296" s="11">
        <v>3.2</v>
      </c>
      <c r="L296" s="10">
        <v>1.0</v>
      </c>
      <c r="M296" s="13">
        <v>0.0</v>
      </c>
      <c r="N296" s="11">
        <v>1.0</v>
      </c>
      <c r="O296" s="11">
        <v>1.0</v>
      </c>
      <c r="P296" s="13">
        <v>0.0</v>
      </c>
      <c r="Q296" s="13">
        <v>0.0</v>
      </c>
      <c r="R296" s="13">
        <v>0.0</v>
      </c>
      <c r="S296" s="13">
        <v>0.0</v>
      </c>
      <c r="T296" s="10">
        <v>0.31</v>
      </c>
      <c r="U296" s="13">
        <v>0.0</v>
      </c>
      <c r="V296" s="11">
        <v>0.31</v>
      </c>
      <c r="W296" s="11">
        <v>0.31</v>
      </c>
      <c r="X296" s="11">
        <v>0.31</v>
      </c>
      <c r="Y296" s="14" t="s">
        <v>1102</v>
      </c>
    </row>
    <row r="297">
      <c r="A297" s="74">
        <v>291.0</v>
      </c>
      <c r="B297" s="7" t="s">
        <v>127</v>
      </c>
      <c r="C297" s="8" t="s">
        <v>34</v>
      </c>
      <c r="D297" s="9" t="s">
        <v>35</v>
      </c>
      <c r="E297" s="7" t="s">
        <v>128</v>
      </c>
      <c r="F297" s="9">
        <v>21.0</v>
      </c>
      <c r="G297" s="9">
        <v>2002.0</v>
      </c>
      <c r="H297" s="10">
        <v>22.0</v>
      </c>
      <c r="I297" s="11">
        <v>18.0</v>
      </c>
      <c r="J297" s="15">
        <v>1559.0</v>
      </c>
      <c r="K297" s="11">
        <v>17.3</v>
      </c>
      <c r="L297" s="12">
        <v>0.0</v>
      </c>
      <c r="M297" s="11">
        <v>1.0</v>
      </c>
      <c r="N297" s="11">
        <v>1.0</v>
      </c>
      <c r="O297" s="13">
        <v>0.0</v>
      </c>
      <c r="P297" s="13">
        <v>0.0</v>
      </c>
      <c r="Q297" s="13">
        <v>0.0</v>
      </c>
      <c r="R297" s="11">
        <v>6.0</v>
      </c>
      <c r="S297" s="13">
        <v>0.0</v>
      </c>
      <c r="T297" s="12">
        <v>0.0</v>
      </c>
      <c r="U297" s="11">
        <v>0.06</v>
      </c>
      <c r="V297" s="11">
        <v>0.06</v>
      </c>
      <c r="W297" s="13">
        <v>0.0</v>
      </c>
      <c r="X297" s="11">
        <v>0.06</v>
      </c>
      <c r="Y297" s="14" t="s">
        <v>1103</v>
      </c>
    </row>
    <row r="298">
      <c r="A298" s="74">
        <v>292.0</v>
      </c>
      <c r="B298" s="7" t="s">
        <v>219</v>
      </c>
      <c r="C298" s="8" t="s">
        <v>25</v>
      </c>
      <c r="D298" s="9" t="s">
        <v>26</v>
      </c>
      <c r="E298" s="7" t="s">
        <v>58</v>
      </c>
      <c r="F298" s="9">
        <v>23.0</v>
      </c>
      <c r="G298" s="9">
        <v>2000.0</v>
      </c>
      <c r="H298" s="10">
        <v>15.0</v>
      </c>
      <c r="I298" s="11">
        <v>1.0</v>
      </c>
      <c r="J298" s="11">
        <v>262.0</v>
      </c>
      <c r="K298" s="11">
        <v>2.9</v>
      </c>
      <c r="L298" s="12">
        <v>0.0</v>
      </c>
      <c r="M298" s="13">
        <v>0.0</v>
      </c>
      <c r="N298" s="13">
        <v>0.0</v>
      </c>
      <c r="O298" s="13">
        <v>0.0</v>
      </c>
      <c r="P298" s="13">
        <v>0.0</v>
      </c>
      <c r="Q298" s="13">
        <v>0.0</v>
      </c>
      <c r="R298" s="11">
        <v>2.0</v>
      </c>
      <c r="S298" s="13">
        <v>0.0</v>
      </c>
      <c r="T298" s="12">
        <v>0.0</v>
      </c>
      <c r="U298" s="13">
        <v>0.0</v>
      </c>
      <c r="V298" s="13">
        <v>0.0</v>
      </c>
      <c r="W298" s="13">
        <v>0.0</v>
      </c>
      <c r="X298" s="13">
        <v>0.0</v>
      </c>
      <c r="Y298" s="14" t="s">
        <v>1104</v>
      </c>
    </row>
    <row r="299">
      <c r="A299" s="74">
        <v>293.0</v>
      </c>
      <c r="B299" s="7" t="s">
        <v>626</v>
      </c>
      <c r="C299" s="8" t="s">
        <v>25</v>
      </c>
      <c r="D299" s="9" t="s">
        <v>83</v>
      </c>
      <c r="E299" s="7" t="s">
        <v>58</v>
      </c>
      <c r="F299" s="9">
        <v>24.0</v>
      </c>
      <c r="G299" s="9">
        <v>1999.0</v>
      </c>
      <c r="H299" s="10">
        <v>34.0</v>
      </c>
      <c r="I299" s="11">
        <v>27.0</v>
      </c>
      <c r="J299" s="15">
        <v>2443.0</v>
      </c>
      <c r="K299" s="11">
        <v>27.1</v>
      </c>
      <c r="L299" s="10">
        <v>1.0</v>
      </c>
      <c r="M299" s="11">
        <v>3.0</v>
      </c>
      <c r="N299" s="11">
        <v>4.0</v>
      </c>
      <c r="O299" s="11">
        <v>1.0</v>
      </c>
      <c r="P299" s="13">
        <v>0.0</v>
      </c>
      <c r="Q299" s="11">
        <v>1.0</v>
      </c>
      <c r="R299" s="11">
        <v>6.0</v>
      </c>
      <c r="S299" s="11">
        <v>1.0</v>
      </c>
      <c r="T299" s="10">
        <v>0.04</v>
      </c>
      <c r="U299" s="11">
        <v>0.11</v>
      </c>
      <c r="V299" s="11">
        <v>0.15</v>
      </c>
      <c r="W299" s="11">
        <v>0.04</v>
      </c>
      <c r="X299" s="11">
        <v>0.15</v>
      </c>
      <c r="Y299" s="14" t="s">
        <v>1105</v>
      </c>
    </row>
    <row r="300">
      <c r="A300" s="74">
        <v>294.0</v>
      </c>
      <c r="B300" s="7" t="s">
        <v>72</v>
      </c>
      <c r="C300" s="8" t="s">
        <v>34</v>
      </c>
      <c r="D300" s="9" t="s">
        <v>35</v>
      </c>
      <c r="E300" s="7" t="s">
        <v>52</v>
      </c>
      <c r="F300" s="9">
        <v>30.0</v>
      </c>
      <c r="G300" s="9">
        <v>1993.0</v>
      </c>
      <c r="H300" s="10">
        <v>9.0</v>
      </c>
      <c r="I300" s="11">
        <v>9.0</v>
      </c>
      <c r="J300" s="15">
        <v>750.0</v>
      </c>
      <c r="K300" s="11">
        <v>8.3</v>
      </c>
      <c r="L300" s="10">
        <v>0.0</v>
      </c>
      <c r="M300" s="11">
        <v>0.0</v>
      </c>
      <c r="N300" s="11">
        <v>0.0</v>
      </c>
      <c r="O300" s="11">
        <v>0.0</v>
      </c>
      <c r="P300" s="13">
        <v>0.0</v>
      </c>
      <c r="Q300" s="11">
        <v>0.0</v>
      </c>
      <c r="R300" s="11">
        <v>1.0</v>
      </c>
      <c r="S300" s="11">
        <v>0.0</v>
      </c>
      <c r="T300" s="10">
        <v>0.0</v>
      </c>
      <c r="U300" s="11">
        <v>0.0</v>
      </c>
      <c r="V300" s="11">
        <v>0.0</v>
      </c>
      <c r="W300" s="11">
        <v>0.0</v>
      </c>
      <c r="X300" s="11">
        <v>0.0</v>
      </c>
      <c r="Y300" s="14" t="s">
        <v>1106</v>
      </c>
    </row>
    <row r="301">
      <c r="A301" s="74">
        <v>295.0</v>
      </c>
      <c r="B301" s="7" t="s">
        <v>76</v>
      </c>
      <c r="C301" s="8" t="s">
        <v>25</v>
      </c>
      <c r="D301" s="9" t="s">
        <v>77</v>
      </c>
      <c r="E301" s="7" t="s">
        <v>36</v>
      </c>
      <c r="F301" s="9">
        <v>18.0</v>
      </c>
      <c r="G301" s="9">
        <v>2005.0</v>
      </c>
      <c r="H301" s="10">
        <v>19.0</v>
      </c>
      <c r="I301" s="11">
        <v>17.0</v>
      </c>
      <c r="J301" s="15">
        <v>1590.0</v>
      </c>
      <c r="K301" s="11">
        <v>17.7</v>
      </c>
      <c r="L301" s="12">
        <v>0.0</v>
      </c>
      <c r="M301" s="11">
        <v>1.0</v>
      </c>
      <c r="N301" s="11">
        <v>1.0</v>
      </c>
      <c r="O301" s="13">
        <v>0.0</v>
      </c>
      <c r="P301" s="13">
        <v>0.0</v>
      </c>
      <c r="Q301" s="13">
        <v>0.0</v>
      </c>
      <c r="R301" s="11">
        <v>1.0</v>
      </c>
      <c r="S301" s="13">
        <v>0.0</v>
      </c>
      <c r="T301" s="12">
        <v>0.0</v>
      </c>
      <c r="U301" s="11">
        <v>0.06</v>
      </c>
      <c r="V301" s="11">
        <v>0.06</v>
      </c>
      <c r="W301" s="13">
        <v>0.0</v>
      </c>
      <c r="X301" s="11">
        <v>0.06</v>
      </c>
      <c r="Y301" s="14" t="s">
        <v>1107</v>
      </c>
    </row>
    <row r="302">
      <c r="A302" s="75">
        <v>296.0</v>
      </c>
      <c r="B302" s="7" t="s">
        <v>283</v>
      </c>
      <c r="C302" s="8" t="s">
        <v>34</v>
      </c>
      <c r="D302" s="17" t="s">
        <v>30</v>
      </c>
      <c r="E302" s="7" t="s">
        <v>58</v>
      </c>
      <c r="F302" s="17">
        <v>21.0</v>
      </c>
      <c r="G302" s="17">
        <v>2002.0</v>
      </c>
      <c r="H302" s="18">
        <v>13.0</v>
      </c>
      <c r="I302" s="19">
        <v>7.0</v>
      </c>
      <c r="J302" s="19">
        <v>638.0</v>
      </c>
      <c r="K302" s="19">
        <v>7.1</v>
      </c>
      <c r="L302" s="18">
        <v>1.0</v>
      </c>
      <c r="M302" s="19">
        <v>1.0</v>
      </c>
      <c r="N302" s="19">
        <v>2.0</v>
      </c>
      <c r="O302" s="19">
        <v>1.0</v>
      </c>
      <c r="P302" s="21">
        <v>0.0</v>
      </c>
      <c r="Q302" s="21">
        <v>0.0</v>
      </c>
      <c r="R302" s="19">
        <v>3.0</v>
      </c>
      <c r="S302" s="21">
        <v>0.0</v>
      </c>
      <c r="T302" s="18">
        <v>0.14</v>
      </c>
      <c r="U302" s="19">
        <v>0.14</v>
      </c>
      <c r="V302" s="19">
        <v>0.28</v>
      </c>
      <c r="W302" s="19">
        <v>0.14</v>
      </c>
      <c r="X302" s="19">
        <v>0.28</v>
      </c>
      <c r="Y302" s="22" t="s">
        <v>1108</v>
      </c>
    </row>
    <row r="303">
      <c r="A303" s="76"/>
      <c r="C303" s="50"/>
    </row>
    <row r="304">
      <c r="C304" s="50"/>
    </row>
    <row r="305">
      <c r="C305" s="50"/>
    </row>
    <row r="306">
      <c r="C306" s="50"/>
    </row>
    <row r="307">
      <c r="C307" s="50"/>
    </row>
    <row r="308">
      <c r="C308" s="50"/>
    </row>
    <row r="309">
      <c r="C309" s="50"/>
    </row>
    <row r="310">
      <c r="C310" s="50"/>
    </row>
    <row r="311">
      <c r="C311" s="50"/>
    </row>
    <row r="312">
      <c r="C312" s="50"/>
    </row>
    <row r="313">
      <c r="C313" s="50"/>
    </row>
    <row r="314">
      <c r="C314" s="50"/>
    </row>
    <row r="315">
      <c r="C315" s="50"/>
    </row>
    <row r="316">
      <c r="C316" s="50"/>
    </row>
    <row r="317">
      <c r="C317" s="50"/>
    </row>
    <row r="318">
      <c r="C318" s="50"/>
    </row>
    <row r="319">
      <c r="C319" s="50"/>
    </row>
    <row r="320">
      <c r="C320" s="50"/>
    </row>
    <row r="321">
      <c r="C321" s="50"/>
    </row>
    <row r="322">
      <c r="C322" s="50"/>
    </row>
    <row r="323">
      <c r="C323" s="50"/>
    </row>
    <row r="324">
      <c r="C324" s="50"/>
    </row>
    <row r="325">
      <c r="C325" s="50"/>
    </row>
    <row r="326">
      <c r="C326" s="50"/>
    </row>
    <row r="327">
      <c r="C327" s="50"/>
    </row>
    <row r="328">
      <c r="C328" s="50"/>
    </row>
    <row r="329">
      <c r="C329" s="50"/>
    </row>
    <row r="330">
      <c r="C330" s="50"/>
    </row>
    <row r="331">
      <c r="C331" s="50"/>
    </row>
    <row r="332">
      <c r="C332" s="50"/>
    </row>
    <row r="333">
      <c r="C333" s="50"/>
    </row>
    <row r="334">
      <c r="C334" s="50"/>
    </row>
    <row r="335">
      <c r="C335" s="50"/>
    </row>
    <row r="336">
      <c r="C336" s="50"/>
    </row>
    <row r="337">
      <c r="C337" s="50"/>
    </row>
    <row r="338">
      <c r="C338" s="50"/>
    </row>
    <row r="339">
      <c r="C339" s="50"/>
    </row>
    <row r="340">
      <c r="C340" s="50"/>
    </row>
    <row r="341">
      <c r="C341" s="50"/>
    </row>
    <row r="342">
      <c r="C342" s="50"/>
    </row>
    <row r="343">
      <c r="C343" s="50"/>
    </row>
    <row r="344">
      <c r="C344" s="50"/>
    </row>
    <row r="345">
      <c r="C345" s="50"/>
    </row>
    <row r="346">
      <c r="C346" s="50"/>
    </row>
    <row r="347">
      <c r="C347" s="50"/>
    </row>
    <row r="348">
      <c r="C348" s="50"/>
    </row>
    <row r="349">
      <c r="C349" s="50"/>
    </row>
    <row r="350">
      <c r="C350" s="50"/>
    </row>
    <row r="351">
      <c r="C351" s="50"/>
    </row>
    <row r="352">
      <c r="C352" s="50"/>
    </row>
    <row r="353">
      <c r="C353" s="50"/>
    </row>
    <row r="354">
      <c r="C354" s="50"/>
    </row>
    <row r="355">
      <c r="C355" s="50"/>
    </row>
    <row r="356">
      <c r="C356" s="50"/>
    </row>
    <row r="357">
      <c r="C357" s="50"/>
    </row>
    <row r="358">
      <c r="C358" s="50"/>
    </row>
    <row r="359">
      <c r="C359" s="50"/>
    </row>
    <row r="360">
      <c r="C360" s="50"/>
    </row>
    <row r="361">
      <c r="C361" s="50"/>
    </row>
    <row r="362">
      <c r="C362" s="50"/>
    </row>
    <row r="363">
      <c r="C363" s="50"/>
    </row>
    <row r="364">
      <c r="C364" s="50"/>
    </row>
    <row r="365">
      <c r="C365" s="50"/>
    </row>
    <row r="366">
      <c r="C366" s="50"/>
    </row>
    <row r="367">
      <c r="C367" s="50"/>
    </row>
    <row r="368">
      <c r="C368" s="50"/>
    </row>
    <row r="369">
      <c r="C369" s="50"/>
    </row>
    <row r="370">
      <c r="C370" s="50"/>
    </row>
    <row r="371">
      <c r="C371" s="50"/>
    </row>
    <row r="372">
      <c r="C372" s="50"/>
    </row>
    <row r="373">
      <c r="C373" s="50"/>
    </row>
    <row r="374">
      <c r="C374" s="50"/>
    </row>
    <row r="375">
      <c r="C375" s="50"/>
    </row>
    <row r="376">
      <c r="C376" s="50"/>
    </row>
    <row r="377">
      <c r="C377" s="50"/>
    </row>
    <row r="378">
      <c r="C378" s="50"/>
    </row>
    <row r="379">
      <c r="C379" s="50"/>
    </row>
    <row r="380">
      <c r="C380" s="50"/>
    </row>
    <row r="381">
      <c r="C381" s="50"/>
    </row>
    <row r="382">
      <c r="C382" s="50"/>
    </row>
    <row r="383">
      <c r="C383" s="50"/>
    </row>
    <row r="384">
      <c r="C384" s="50"/>
    </row>
    <row r="385">
      <c r="C385" s="50"/>
    </row>
    <row r="386">
      <c r="C386" s="50"/>
    </row>
    <row r="387">
      <c r="C387" s="50"/>
    </row>
    <row r="388">
      <c r="C388" s="50"/>
    </row>
    <row r="389">
      <c r="C389" s="50"/>
    </row>
    <row r="390">
      <c r="C390" s="50"/>
    </row>
    <row r="391">
      <c r="C391" s="50"/>
    </row>
    <row r="392">
      <c r="C392" s="50"/>
    </row>
    <row r="393">
      <c r="C393" s="50"/>
    </row>
    <row r="394">
      <c r="C394" s="50"/>
    </row>
    <row r="395">
      <c r="C395" s="50"/>
    </row>
    <row r="396">
      <c r="C396" s="50"/>
    </row>
    <row r="397">
      <c r="C397" s="50"/>
    </row>
    <row r="398">
      <c r="C398" s="50"/>
    </row>
    <row r="399">
      <c r="C399" s="50"/>
    </row>
    <row r="400">
      <c r="C400" s="50"/>
    </row>
    <row r="401">
      <c r="C401" s="50"/>
    </row>
    <row r="402">
      <c r="C402" s="50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  <row r="923">
      <c r="C923" s="50"/>
    </row>
    <row r="924">
      <c r="C924" s="50"/>
    </row>
    <row r="925">
      <c r="C925" s="50"/>
    </row>
    <row r="926">
      <c r="C926" s="50"/>
    </row>
    <row r="927">
      <c r="C927" s="50"/>
    </row>
    <row r="928">
      <c r="C928" s="50"/>
    </row>
    <row r="929">
      <c r="C929" s="50"/>
    </row>
    <row r="930">
      <c r="C930" s="50"/>
    </row>
    <row r="931">
      <c r="C931" s="50"/>
    </row>
    <row r="932">
      <c r="C932" s="50"/>
    </row>
    <row r="933">
      <c r="C933" s="50"/>
    </row>
    <row r="934">
      <c r="C934" s="50"/>
    </row>
    <row r="935">
      <c r="C935" s="50"/>
    </row>
    <row r="936">
      <c r="C936" s="50"/>
    </row>
    <row r="937">
      <c r="C937" s="50"/>
    </row>
    <row r="938">
      <c r="C938" s="50"/>
    </row>
    <row r="939">
      <c r="C939" s="50"/>
    </row>
    <row r="940">
      <c r="C940" s="50"/>
    </row>
    <row r="941">
      <c r="C941" s="50"/>
    </row>
    <row r="942">
      <c r="C942" s="50"/>
    </row>
    <row r="943">
      <c r="C943" s="50"/>
    </row>
    <row r="944">
      <c r="C944" s="50"/>
    </row>
    <row r="945">
      <c r="C945" s="50"/>
    </row>
    <row r="946">
      <c r="C946" s="50"/>
    </row>
    <row r="947">
      <c r="C947" s="50"/>
    </row>
    <row r="948">
      <c r="C948" s="50"/>
    </row>
    <row r="949">
      <c r="C949" s="50"/>
    </row>
    <row r="950">
      <c r="C950" s="50"/>
    </row>
    <row r="951">
      <c r="C951" s="50"/>
    </row>
    <row r="952">
      <c r="C952" s="50"/>
    </row>
    <row r="953">
      <c r="C953" s="50"/>
    </row>
    <row r="954">
      <c r="C954" s="50"/>
    </row>
    <row r="955">
      <c r="C955" s="50"/>
    </row>
    <row r="956">
      <c r="C956" s="50"/>
    </row>
    <row r="957">
      <c r="C957" s="50"/>
    </row>
    <row r="958">
      <c r="C958" s="50"/>
    </row>
    <row r="959">
      <c r="C959" s="50"/>
    </row>
    <row r="960">
      <c r="C960" s="50"/>
    </row>
    <row r="961">
      <c r="C961" s="50"/>
    </row>
    <row r="962">
      <c r="C962" s="50"/>
    </row>
    <row r="963">
      <c r="C963" s="50"/>
    </row>
    <row r="964">
      <c r="C964" s="50"/>
    </row>
    <row r="965">
      <c r="C965" s="50"/>
    </row>
    <row r="966">
      <c r="C966" s="50"/>
    </row>
    <row r="967">
      <c r="C967" s="50"/>
    </row>
    <row r="968">
      <c r="C968" s="50"/>
    </row>
    <row r="969">
      <c r="C969" s="50"/>
    </row>
    <row r="970">
      <c r="C970" s="50"/>
    </row>
    <row r="971">
      <c r="C971" s="50"/>
    </row>
    <row r="972">
      <c r="C972" s="50"/>
    </row>
    <row r="973">
      <c r="C973" s="50"/>
    </row>
    <row r="974">
      <c r="C974" s="50"/>
    </row>
    <row r="975">
      <c r="C975" s="50"/>
    </row>
    <row r="976">
      <c r="C976" s="50"/>
    </row>
    <row r="977">
      <c r="C977" s="50"/>
    </row>
    <row r="978">
      <c r="C978" s="50"/>
    </row>
    <row r="979">
      <c r="C979" s="50"/>
    </row>
    <row r="980">
      <c r="C980" s="50"/>
    </row>
    <row r="981">
      <c r="C981" s="50"/>
    </row>
    <row r="982">
      <c r="C982" s="50"/>
    </row>
    <row r="983">
      <c r="C983" s="50"/>
    </row>
    <row r="984">
      <c r="C984" s="50"/>
    </row>
    <row r="985">
      <c r="C985" s="50"/>
    </row>
    <row r="986">
      <c r="C986" s="50"/>
    </row>
    <row r="987">
      <c r="C987" s="50"/>
    </row>
    <row r="988">
      <c r="C988" s="50"/>
    </row>
    <row r="989">
      <c r="C989" s="50"/>
    </row>
  </sheetData>
  <mergeCells count="3">
    <mergeCell ref="H5:K5"/>
    <mergeCell ref="L5:S5"/>
    <mergeCell ref="T5:X5"/>
  </mergeCells>
  <hyperlinks>
    <hyperlink r:id="rId1" ref="Y7"/>
    <hyperlink r:id="rId2" ref="Y8"/>
    <hyperlink r:id="rId3" ref="Y9"/>
    <hyperlink r:id="rId4" ref="Y10"/>
    <hyperlink r:id="rId5" ref="Y11"/>
    <hyperlink r:id="rId6" ref="Y12"/>
    <hyperlink r:id="rId7" ref="Y13"/>
    <hyperlink r:id="rId8" ref="Y14"/>
    <hyperlink r:id="rId9" ref="Y15"/>
    <hyperlink r:id="rId10" ref="Y16"/>
    <hyperlink r:id="rId11" ref="Y17"/>
    <hyperlink r:id="rId12" ref="Y18"/>
    <hyperlink r:id="rId13" ref="Y19"/>
    <hyperlink r:id="rId14" ref="Y20"/>
    <hyperlink r:id="rId15" ref="Y21"/>
    <hyperlink r:id="rId16" ref="Y22"/>
    <hyperlink r:id="rId17" ref="Y23"/>
    <hyperlink r:id="rId18" ref="Y24"/>
    <hyperlink r:id="rId19" ref="Y25"/>
    <hyperlink r:id="rId20" ref="Y26"/>
    <hyperlink r:id="rId21" ref="Y27"/>
    <hyperlink r:id="rId22" ref="Y28"/>
    <hyperlink r:id="rId23" ref="Y29"/>
    <hyperlink r:id="rId24" ref="Y30"/>
    <hyperlink r:id="rId25" ref="Y31"/>
    <hyperlink r:id="rId26" ref="Y32"/>
    <hyperlink r:id="rId27" ref="Y33"/>
    <hyperlink r:id="rId28" ref="Y34"/>
    <hyperlink r:id="rId29" ref="Y35"/>
    <hyperlink r:id="rId30" ref="Y36"/>
    <hyperlink r:id="rId31" ref="Y37"/>
    <hyperlink r:id="rId32" ref="Y38"/>
    <hyperlink r:id="rId33" ref="Y39"/>
    <hyperlink r:id="rId34" ref="Y40"/>
    <hyperlink r:id="rId35" ref="Y41"/>
    <hyperlink r:id="rId36" ref="Y42"/>
    <hyperlink r:id="rId37" ref="Y43"/>
    <hyperlink r:id="rId38" ref="Y44"/>
    <hyperlink r:id="rId39" ref="Y45"/>
    <hyperlink r:id="rId40" ref="Y46"/>
    <hyperlink r:id="rId41" ref="Y47"/>
    <hyperlink r:id="rId42" ref="Y48"/>
    <hyperlink r:id="rId43" ref="Y49"/>
    <hyperlink r:id="rId44" ref="Y50"/>
    <hyperlink r:id="rId45" ref="Y51"/>
    <hyperlink r:id="rId46" ref="Y52"/>
    <hyperlink r:id="rId47" ref="Y53"/>
    <hyperlink r:id="rId48" ref="Y54"/>
    <hyperlink r:id="rId49" ref="Y55"/>
    <hyperlink r:id="rId50" ref="Y56"/>
    <hyperlink r:id="rId51" ref="Y57"/>
    <hyperlink r:id="rId52" ref="Y58"/>
    <hyperlink r:id="rId53" ref="Y59"/>
    <hyperlink r:id="rId54" ref="Y60"/>
    <hyperlink r:id="rId55" ref="Y61"/>
    <hyperlink r:id="rId56" ref="Y62"/>
    <hyperlink r:id="rId57" ref="Y63"/>
    <hyperlink r:id="rId58" ref="Y64"/>
    <hyperlink r:id="rId59" ref="Y65"/>
    <hyperlink r:id="rId60" ref="Y66"/>
    <hyperlink r:id="rId61" ref="Y67"/>
    <hyperlink r:id="rId62" ref="Y68"/>
    <hyperlink r:id="rId63" ref="Y69"/>
    <hyperlink r:id="rId64" ref="Y70"/>
    <hyperlink r:id="rId65" ref="Y71"/>
    <hyperlink r:id="rId66" ref="Y72"/>
    <hyperlink r:id="rId67" ref="Y73"/>
    <hyperlink r:id="rId68" ref="Y74"/>
    <hyperlink r:id="rId69" ref="Y75"/>
    <hyperlink r:id="rId70" ref="Y76"/>
    <hyperlink r:id="rId71" ref="Y77"/>
    <hyperlink r:id="rId72" ref="Y78"/>
    <hyperlink r:id="rId73" ref="Y79"/>
    <hyperlink r:id="rId74" ref="Y80"/>
    <hyperlink r:id="rId75" ref="Y81"/>
    <hyperlink r:id="rId76" ref="Y82"/>
    <hyperlink r:id="rId77" ref="Y83"/>
    <hyperlink r:id="rId78" ref="Y84"/>
    <hyperlink r:id="rId79" ref="Y85"/>
    <hyperlink r:id="rId80" ref="Y86"/>
    <hyperlink r:id="rId81" ref="Y87"/>
    <hyperlink r:id="rId82" ref="Y88"/>
    <hyperlink r:id="rId83" ref="Y89"/>
    <hyperlink r:id="rId84" ref="Y90"/>
    <hyperlink r:id="rId85" ref="Y91"/>
    <hyperlink r:id="rId86" ref="Y92"/>
    <hyperlink r:id="rId87" ref="Y93"/>
    <hyperlink r:id="rId88" ref="Y94"/>
    <hyperlink r:id="rId89" ref="Y95"/>
    <hyperlink r:id="rId90" ref="Y96"/>
    <hyperlink r:id="rId91" ref="Y97"/>
    <hyperlink r:id="rId92" ref="Y98"/>
    <hyperlink r:id="rId93" ref="Y99"/>
    <hyperlink r:id="rId94" ref="Y100"/>
    <hyperlink r:id="rId95" ref="Y101"/>
    <hyperlink r:id="rId96" ref="Y102"/>
    <hyperlink r:id="rId97" ref="Y103"/>
    <hyperlink r:id="rId98" ref="Y104"/>
    <hyperlink r:id="rId99" ref="Y105"/>
    <hyperlink r:id="rId100" ref="Y106"/>
    <hyperlink r:id="rId101" ref="Y107"/>
    <hyperlink r:id="rId102" ref="Y108"/>
    <hyperlink r:id="rId103" ref="Y109"/>
    <hyperlink r:id="rId104" ref="Y110"/>
    <hyperlink r:id="rId105" ref="Y111"/>
    <hyperlink r:id="rId106" ref="Y112"/>
    <hyperlink r:id="rId107" ref="Y113"/>
    <hyperlink r:id="rId108" ref="Y114"/>
    <hyperlink r:id="rId109" ref="Y115"/>
    <hyperlink r:id="rId110" ref="Y116"/>
    <hyperlink r:id="rId111" ref="Y117"/>
    <hyperlink r:id="rId112" ref="Y118"/>
    <hyperlink r:id="rId113" ref="Y119"/>
    <hyperlink r:id="rId114" ref="Y120"/>
    <hyperlink r:id="rId115" ref="Y121"/>
    <hyperlink r:id="rId116" ref="Y122"/>
    <hyperlink r:id="rId117" ref="Y123"/>
    <hyperlink r:id="rId118" ref="Y124"/>
    <hyperlink r:id="rId119" ref="Y125"/>
    <hyperlink r:id="rId120" ref="Y126"/>
    <hyperlink r:id="rId121" ref="Y127"/>
    <hyperlink r:id="rId122" ref="Y128"/>
    <hyperlink r:id="rId123" ref="Y129"/>
    <hyperlink r:id="rId124" ref="Y130"/>
    <hyperlink r:id="rId125" ref="Y131"/>
    <hyperlink r:id="rId126" ref="Y132"/>
    <hyperlink r:id="rId127" ref="Y133"/>
    <hyperlink r:id="rId128" ref="Y134"/>
    <hyperlink r:id="rId129" ref="Y135"/>
    <hyperlink r:id="rId130" ref="Y136"/>
    <hyperlink r:id="rId131" ref="Y137"/>
    <hyperlink r:id="rId132" ref="Y138"/>
    <hyperlink r:id="rId133" ref="Y139"/>
    <hyperlink r:id="rId134" ref="Y140"/>
    <hyperlink r:id="rId135" ref="Y141"/>
    <hyperlink r:id="rId136" ref="Y142"/>
    <hyperlink r:id="rId137" ref="Y143"/>
    <hyperlink r:id="rId138" ref="Y144"/>
    <hyperlink r:id="rId139" ref="Y145"/>
    <hyperlink r:id="rId140" ref="Y146"/>
    <hyperlink r:id="rId141" ref="Y147"/>
    <hyperlink r:id="rId142" ref="Y148"/>
    <hyperlink r:id="rId143" ref="Y149"/>
    <hyperlink r:id="rId144" ref="Y150"/>
    <hyperlink r:id="rId145" ref="Y151"/>
    <hyperlink r:id="rId146" ref="Y152"/>
    <hyperlink r:id="rId147" ref="Y153"/>
    <hyperlink r:id="rId148" ref="Y154"/>
    <hyperlink r:id="rId149" ref="Y155"/>
    <hyperlink r:id="rId150" ref="Y156"/>
    <hyperlink r:id="rId151" ref="Y157"/>
    <hyperlink r:id="rId152" ref="Y158"/>
    <hyperlink r:id="rId153" ref="Y159"/>
    <hyperlink r:id="rId154" ref="Y160"/>
    <hyperlink r:id="rId155" ref="Y161"/>
    <hyperlink r:id="rId156" ref="Y162"/>
    <hyperlink r:id="rId157" ref="Y163"/>
    <hyperlink r:id="rId158" ref="Y164"/>
    <hyperlink r:id="rId159" ref="Y165"/>
    <hyperlink r:id="rId160" ref="Y166"/>
    <hyperlink r:id="rId161" ref="Y167"/>
    <hyperlink r:id="rId162" ref="Y168"/>
    <hyperlink r:id="rId163" ref="Y169"/>
    <hyperlink r:id="rId164" ref="Y170"/>
    <hyperlink r:id="rId165" ref="Y171"/>
    <hyperlink r:id="rId166" ref="Y172"/>
    <hyperlink r:id="rId167" ref="Y173"/>
    <hyperlink r:id="rId168" ref="Y174"/>
    <hyperlink r:id="rId169" ref="Y175"/>
    <hyperlink r:id="rId170" ref="Y176"/>
    <hyperlink r:id="rId171" ref="Y177"/>
    <hyperlink r:id="rId172" ref="Y178"/>
    <hyperlink r:id="rId173" ref="Y179"/>
    <hyperlink r:id="rId174" ref="Y180"/>
    <hyperlink r:id="rId175" ref="Y181"/>
    <hyperlink r:id="rId176" ref="Y182"/>
    <hyperlink r:id="rId177" ref="Y183"/>
    <hyperlink r:id="rId178" ref="Y184"/>
    <hyperlink r:id="rId179" ref="Y185"/>
    <hyperlink r:id="rId180" ref="Y186"/>
    <hyperlink r:id="rId181" ref="Y187"/>
    <hyperlink r:id="rId182" ref="Y188"/>
    <hyperlink r:id="rId183" ref="Y189"/>
    <hyperlink r:id="rId184" ref="Y190"/>
    <hyperlink r:id="rId185" ref="Y191"/>
    <hyperlink r:id="rId186" ref="Y192"/>
    <hyperlink r:id="rId187" ref="Y193"/>
    <hyperlink r:id="rId188" ref="Y194"/>
    <hyperlink r:id="rId189" ref="Y195"/>
    <hyperlink r:id="rId190" ref="Y196"/>
    <hyperlink r:id="rId191" ref="Y197"/>
    <hyperlink r:id="rId192" ref="Y198"/>
    <hyperlink r:id="rId193" ref="Y199"/>
    <hyperlink r:id="rId194" ref="Y200"/>
    <hyperlink r:id="rId195" ref="Y201"/>
    <hyperlink r:id="rId196" ref="Y202"/>
    <hyperlink r:id="rId197" ref="Y203"/>
    <hyperlink r:id="rId198" ref="Y204"/>
    <hyperlink r:id="rId199" ref="Y205"/>
    <hyperlink r:id="rId200" ref="Y206"/>
    <hyperlink r:id="rId201" ref="Y207"/>
    <hyperlink r:id="rId202" ref="Y208"/>
    <hyperlink r:id="rId203" ref="Y209"/>
    <hyperlink r:id="rId204" ref="Y210"/>
    <hyperlink r:id="rId205" ref="Y211"/>
    <hyperlink r:id="rId206" ref="Y212"/>
    <hyperlink r:id="rId207" ref="Y213"/>
    <hyperlink r:id="rId208" ref="Y214"/>
    <hyperlink r:id="rId209" ref="Y215"/>
    <hyperlink r:id="rId210" ref="Y216"/>
    <hyperlink r:id="rId211" ref="Y217"/>
    <hyperlink r:id="rId212" ref="Y218"/>
    <hyperlink r:id="rId213" ref="Y219"/>
    <hyperlink r:id="rId214" ref="Y220"/>
    <hyperlink r:id="rId215" ref="Y221"/>
    <hyperlink r:id="rId216" ref="Y222"/>
    <hyperlink r:id="rId217" ref="Y223"/>
    <hyperlink r:id="rId218" ref="Y224"/>
    <hyperlink r:id="rId219" ref="Y225"/>
    <hyperlink r:id="rId220" ref="Y226"/>
    <hyperlink r:id="rId221" ref="Y227"/>
    <hyperlink r:id="rId222" ref="Y228"/>
    <hyperlink r:id="rId223" ref="Y229"/>
    <hyperlink r:id="rId224" ref="Y230"/>
    <hyperlink r:id="rId225" ref="Y231"/>
    <hyperlink r:id="rId226" ref="Y232"/>
    <hyperlink r:id="rId227" ref="Y233"/>
    <hyperlink r:id="rId228" ref="Y234"/>
    <hyperlink r:id="rId229" ref="Y235"/>
    <hyperlink r:id="rId230" ref="Y236"/>
    <hyperlink r:id="rId231" ref="Y237"/>
    <hyperlink r:id="rId232" ref="Y238"/>
    <hyperlink r:id="rId233" ref="Y239"/>
    <hyperlink r:id="rId234" ref="Y240"/>
    <hyperlink r:id="rId235" ref="Y241"/>
    <hyperlink r:id="rId236" ref="Y242"/>
    <hyperlink r:id="rId237" ref="Y243"/>
    <hyperlink r:id="rId238" ref="Y244"/>
    <hyperlink r:id="rId239" ref="Y245"/>
    <hyperlink r:id="rId240" ref="Y246"/>
    <hyperlink r:id="rId241" ref="Y247"/>
    <hyperlink r:id="rId242" ref="Y248"/>
    <hyperlink r:id="rId243" ref="Y249"/>
    <hyperlink r:id="rId244" ref="Y250"/>
    <hyperlink r:id="rId245" ref="Y251"/>
    <hyperlink r:id="rId246" ref="Y252"/>
    <hyperlink r:id="rId247" ref="Y253"/>
    <hyperlink r:id="rId248" ref="Y254"/>
    <hyperlink r:id="rId249" ref="Y255"/>
    <hyperlink r:id="rId250" ref="Y256"/>
    <hyperlink r:id="rId251" ref="Y257"/>
    <hyperlink r:id="rId252" ref="Y258"/>
    <hyperlink r:id="rId253" ref="Y259"/>
    <hyperlink r:id="rId254" ref="Y260"/>
    <hyperlink r:id="rId255" ref="Y261"/>
    <hyperlink r:id="rId256" ref="Y262"/>
    <hyperlink r:id="rId257" ref="Y263"/>
    <hyperlink r:id="rId258" ref="Y264"/>
    <hyperlink r:id="rId259" ref="Y265"/>
    <hyperlink r:id="rId260" ref="Y266"/>
    <hyperlink r:id="rId261" ref="Y267"/>
    <hyperlink r:id="rId262" ref="Y268"/>
    <hyperlink r:id="rId263" ref="Y269"/>
    <hyperlink r:id="rId264" ref="Y270"/>
    <hyperlink r:id="rId265" ref="Y271"/>
    <hyperlink r:id="rId266" ref="Y272"/>
    <hyperlink r:id="rId267" ref="Y273"/>
    <hyperlink r:id="rId268" ref="Y274"/>
    <hyperlink r:id="rId269" ref="Y275"/>
    <hyperlink r:id="rId270" ref="Y276"/>
    <hyperlink r:id="rId271" ref="Y277"/>
    <hyperlink r:id="rId272" ref="Y278"/>
    <hyperlink r:id="rId273" ref="Y279"/>
    <hyperlink r:id="rId274" ref="Y280"/>
    <hyperlink r:id="rId275" ref="Y281"/>
    <hyperlink r:id="rId276" ref="Y282"/>
    <hyperlink r:id="rId277" ref="Y283"/>
    <hyperlink r:id="rId278" ref="Y284"/>
    <hyperlink r:id="rId279" ref="Y285"/>
    <hyperlink r:id="rId280" ref="Y286"/>
    <hyperlink r:id="rId281" ref="Y287"/>
    <hyperlink r:id="rId282" ref="Y288"/>
    <hyperlink r:id="rId283" ref="Y289"/>
    <hyperlink r:id="rId284" ref="Y290"/>
    <hyperlink r:id="rId285" ref="Y291"/>
    <hyperlink r:id="rId286" ref="Y292"/>
    <hyperlink r:id="rId287" ref="Y293"/>
    <hyperlink r:id="rId288" ref="Y294"/>
    <hyperlink r:id="rId289" ref="Y295"/>
    <hyperlink r:id="rId290" ref="Y296"/>
    <hyperlink r:id="rId291" ref="Y297"/>
    <hyperlink r:id="rId292" ref="Y298"/>
    <hyperlink r:id="rId293" ref="Y299"/>
    <hyperlink r:id="rId294" ref="Y300"/>
    <hyperlink r:id="rId295" ref="Y301"/>
    <hyperlink r:id="rId296" ref="Y302"/>
  </hyperlinks>
  <drawing r:id="rId29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3.63"/>
    <col customWidth="1" min="3" max="3" width="14.25"/>
    <col customWidth="1" min="6" max="6" width="26.0"/>
    <col customWidth="1" min="10" max="10" width="14.0"/>
    <col customWidth="1" min="11" max="11" width="25.38"/>
  </cols>
  <sheetData>
    <row r="1">
      <c r="A1" s="2" t="s">
        <v>44</v>
      </c>
      <c r="D1" s="2"/>
      <c r="E1" s="7"/>
      <c r="F1" s="2" t="s">
        <v>98</v>
      </c>
      <c r="J1" s="2"/>
      <c r="K1" s="2" t="s">
        <v>52</v>
      </c>
    </row>
    <row r="2">
      <c r="A2" s="77" t="s">
        <v>1109</v>
      </c>
      <c r="B2" s="58" t="s">
        <v>1110</v>
      </c>
      <c r="C2" s="58" t="s">
        <v>685</v>
      </c>
      <c r="D2" s="78" t="s">
        <v>1111</v>
      </c>
      <c r="E2" s="7"/>
      <c r="F2" s="77" t="s">
        <v>1112</v>
      </c>
      <c r="G2" s="58" t="s">
        <v>1113</v>
      </c>
      <c r="H2" s="58" t="s">
        <v>727</v>
      </c>
      <c r="I2" s="79" t="s">
        <v>700</v>
      </c>
      <c r="J2" s="80"/>
      <c r="K2" s="77" t="s">
        <v>1114</v>
      </c>
      <c r="L2" s="58" t="s">
        <v>1115</v>
      </c>
      <c r="M2" s="58" t="s">
        <v>690</v>
      </c>
      <c r="N2" s="81" t="s">
        <v>1116</v>
      </c>
      <c r="O2" s="82"/>
    </row>
    <row r="3">
      <c r="A3" s="77" t="s">
        <v>1117</v>
      </c>
      <c r="B3" s="58" t="s">
        <v>1118</v>
      </c>
      <c r="C3" s="58" t="s">
        <v>696</v>
      </c>
      <c r="D3" s="83" t="s">
        <v>702</v>
      </c>
      <c r="F3" s="77" t="s">
        <v>1119</v>
      </c>
      <c r="G3" s="58" t="s">
        <v>1120</v>
      </c>
      <c r="H3" s="58" t="s">
        <v>690</v>
      </c>
      <c r="I3" s="79" t="s">
        <v>700</v>
      </c>
      <c r="J3" s="80"/>
      <c r="K3" s="77" t="s">
        <v>1121</v>
      </c>
      <c r="L3" s="58" t="s">
        <v>1122</v>
      </c>
      <c r="M3" s="58" t="s">
        <v>690</v>
      </c>
      <c r="N3" s="81" t="s">
        <v>1123</v>
      </c>
      <c r="O3" s="82"/>
    </row>
    <row r="4">
      <c r="A4" s="77" t="s">
        <v>1124</v>
      </c>
      <c r="B4" s="58" t="s">
        <v>1125</v>
      </c>
      <c r="C4" s="58" t="s">
        <v>810</v>
      </c>
      <c r="D4" s="83" t="s">
        <v>702</v>
      </c>
      <c r="F4" s="77" t="s">
        <v>1126</v>
      </c>
      <c r="G4" s="58" t="s">
        <v>1127</v>
      </c>
      <c r="H4" s="58" t="s">
        <v>810</v>
      </c>
      <c r="I4" s="79" t="s">
        <v>700</v>
      </c>
      <c r="J4" s="80"/>
      <c r="K4" s="77" t="s">
        <v>1128</v>
      </c>
      <c r="L4" s="58" t="s">
        <v>1129</v>
      </c>
      <c r="M4" s="58" t="s">
        <v>693</v>
      </c>
      <c r="N4" s="79" t="s">
        <v>702</v>
      </c>
      <c r="O4" s="84"/>
    </row>
    <row r="5">
      <c r="A5" s="77" t="s">
        <v>1130</v>
      </c>
      <c r="B5" s="58" t="s">
        <v>1131</v>
      </c>
      <c r="C5" s="58" t="s">
        <v>718</v>
      </c>
      <c r="D5" s="83" t="s">
        <v>702</v>
      </c>
      <c r="F5" s="77" t="s">
        <v>1132</v>
      </c>
      <c r="G5" s="58" t="s">
        <v>1133</v>
      </c>
      <c r="H5" s="58" t="s">
        <v>719</v>
      </c>
      <c r="I5" s="79" t="s">
        <v>700</v>
      </c>
      <c r="J5" s="80"/>
      <c r="K5" s="77" t="s">
        <v>1134</v>
      </c>
      <c r="L5" s="58" t="s">
        <v>1135</v>
      </c>
      <c r="M5" s="58" t="s">
        <v>810</v>
      </c>
      <c r="N5" s="79" t="s">
        <v>702</v>
      </c>
      <c r="O5" s="84"/>
    </row>
    <row r="6">
      <c r="A6" s="77" t="s">
        <v>1136</v>
      </c>
      <c r="B6" s="58" t="s">
        <v>1137</v>
      </c>
      <c r="C6" s="58" t="s">
        <v>718</v>
      </c>
      <c r="D6" s="83" t="s">
        <v>702</v>
      </c>
      <c r="F6" s="77" t="s">
        <v>1138</v>
      </c>
      <c r="G6" s="58" t="s">
        <v>1139</v>
      </c>
      <c r="H6" s="58" t="s">
        <v>810</v>
      </c>
      <c r="I6" s="79" t="s">
        <v>700</v>
      </c>
      <c r="J6" s="80"/>
      <c r="K6" s="77" t="s">
        <v>1140</v>
      </c>
      <c r="L6" s="58" t="s">
        <v>1141</v>
      </c>
      <c r="M6" s="58" t="s">
        <v>690</v>
      </c>
      <c r="N6" s="81" t="s">
        <v>1142</v>
      </c>
      <c r="O6" s="82"/>
    </row>
    <row r="7">
      <c r="A7" s="77" t="s">
        <v>1143</v>
      </c>
      <c r="B7" s="58" t="s">
        <v>1139</v>
      </c>
      <c r="C7" s="58" t="s">
        <v>810</v>
      </c>
      <c r="D7" s="83" t="s">
        <v>702</v>
      </c>
      <c r="F7" s="77" t="s">
        <v>1144</v>
      </c>
      <c r="G7" s="58" t="s">
        <v>1139</v>
      </c>
      <c r="H7" s="58" t="s">
        <v>810</v>
      </c>
      <c r="I7" s="79" t="s">
        <v>700</v>
      </c>
      <c r="J7" s="80"/>
      <c r="K7" s="77" t="s">
        <v>1145</v>
      </c>
      <c r="L7" s="58" t="s">
        <v>1146</v>
      </c>
      <c r="M7" s="58" t="s">
        <v>676</v>
      </c>
      <c r="N7" s="81" t="s">
        <v>1147</v>
      </c>
      <c r="O7" s="82"/>
    </row>
    <row r="8">
      <c r="A8" s="77" t="s">
        <v>1148</v>
      </c>
      <c r="B8" s="58" t="s">
        <v>1149</v>
      </c>
      <c r="C8" s="58" t="s">
        <v>678</v>
      </c>
      <c r="D8" s="78" t="s">
        <v>1150</v>
      </c>
      <c r="E8" s="7"/>
      <c r="F8" s="77" t="s">
        <v>1151</v>
      </c>
      <c r="G8" s="58" t="s">
        <v>1152</v>
      </c>
      <c r="H8" s="58" t="s">
        <v>715</v>
      </c>
      <c r="I8" s="81" t="s">
        <v>1153</v>
      </c>
      <c r="J8" s="85"/>
      <c r="K8" s="77" t="s">
        <v>1154</v>
      </c>
      <c r="L8" s="58" t="s">
        <v>1155</v>
      </c>
      <c r="M8" s="58" t="s">
        <v>722</v>
      </c>
      <c r="N8" s="81" t="s">
        <v>1156</v>
      </c>
      <c r="O8" s="82"/>
    </row>
    <row r="9">
      <c r="A9" s="77" t="s">
        <v>1157</v>
      </c>
      <c r="B9" s="58" t="s">
        <v>1158</v>
      </c>
      <c r="C9" s="58" t="s">
        <v>698</v>
      </c>
      <c r="D9" s="78" t="s">
        <v>1159</v>
      </c>
      <c r="E9" s="7"/>
      <c r="F9" s="77" t="s">
        <v>1160</v>
      </c>
      <c r="G9" s="58" t="s">
        <v>1161</v>
      </c>
      <c r="H9" s="58" t="s">
        <v>690</v>
      </c>
      <c r="I9" s="81" t="s">
        <v>1162</v>
      </c>
      <c r="J9" s="85"/>
      <c r="K9" s="77" t="s">
        <v>1163</v>
      </c>
      <c r="L9" s="58" t="s">
        <v>1164</v>
      </c>
      <c r="M9" s="58" t="s">
        <v>690</v>
      </c>
      <c r="N9" s="81" t="s">
        <v>1165</v>
      </c>
      <c r="O9" s="82"/>
    </row>
    <row r="10">
      <c r="A10" s="77" t="s">
        <v>1166</v>
      </c>
      <c r="B10" s="58" t="s">
        <v>1167</v>
      </c>
      <c r="C10" s="58" t="s">
        <v>693</v>
      </c>
      <c r="D10" s="78" t="s">
        <v>1168</v>
      </c>
      <c r="E10" s="7"/>
      <c r="F10" s="77" t="s">
        <v>1169</v>
      </c>
      <c r="G10" s="58" t="s">
        <v>1170</v>
      </c>
      <c r="H10" s="58" t="s">
        <v>727</v>
      </c>
      <c r="I10" s="81" t="s">
        <v>1171</v>
      </c>
      <c r="J10" s="85"/>
      <c r="K10" s="77" t="s">
        <v>1172</v>
      </c>
      <c r="L10" s="58" t="s">
        <v>1173</v>
      </c>
      <c r="M10" s="58" t="s">
        <v>719</v>
      </c>
      <c r="N10" s="79" t="s">
        <v>702</v>
      </c>
      <c r="O10" s="84"/>
    </row>
    <row r="11">
      <c r="A11" s="77" t="s">
        <v>1174</v>
      </c>
      <c r="B11" s="58" t="s">
        <v>1175</v>
      </c>
      <c r="C11" s="58" t="s">
        <v>685</v>
      </c>
      <c r="D11" s="83" t="s">
        <v>702</v>
      </c>
      <c r="F11" s="77" t="s">
        <v>1176</v>
      </c>
      <c r="G11" s="58" t="s">
        <v>1139</v>
      </c>
      <c r="H11" s="58" t="s">
        <v>810</v>
      </c>
      <c r="I11" s="79" t="s">
        <v>700</v>
      </c>
      <c r="J11" s="80"/>
      <c r="K11" s="77" t="s">
        <v>1177</v>
      </c>
      <c r="L11" s="58" t="s">
        <v>1178</v>
      </c>
      <c r="M11" s="58" t="s">
        <v>673</v>
      </c>
      <c r="N11" s="81" t="s">
        <v>1179</v>
      </c>
      <c r="O11" s="82"/>
    </row>
    <row r="12">
      <c r="A12" s="77" t="s">
        <v>1180</v>
      </c>
      <c r="B12" s="58" t="s">
        <v>1181</v>
      </c>
      <c r="C12" s="58" t="s">
        <v>718</v>
      </c>
      <c r="D12" s="83" t="s">
        <v>702</v>
      </c>
      <c r="F12" s="77" t="s">
        <v>1182</v>
      </c>
      <c r="G12" s="58" t="s">
        <v>1139</v>
      </c>
      <c r="H12" s="58" t="s">
        <v>810</v>
      </c>
      <c r="I12" s="79" t="s">
        <v>700</v>
      </c>
      <c r="J12" s="80"/>
      <c r="K12" s="77" t="s">
        <v>1183</v>
      </c>
      <c r="L12" s="58" t="s">
        <v>1184</v>
      </c>
      <c r="M12" s="58" t="s">
        <v>688</v>
      </c>
      <c r="N12" s="81" t="s">
        <v>1185</v>
      </c>
      <c r="O12" s="82"/>
    </row>
    <row r="13">
      <c r="A13" s="77" t="s">
        <v>1186</v>
      </c>
      <c r="B13" s="58" t="s">
        <v>1187</v>
      </c>
      <c r="C13" s="58" t="s">
        <v>696</v>
      </c>
      <c r="D13" s="83" t="s">
        <v>702</v>
      </c>
      <c r="F13" s="77" t="s">
        <v>1188</v>
      </c>
      <c r="G13" s="58" t="s">
        <v>1189</v>
      </c>
      <c r="H13" s="58" t="s">
        <v>722</v>
      </c>
      <c r="I13" s="79" t="s">
        <v>700</v>
      </c>
      <c r="J13" s="80"/>
      <c r="K13" s="77" t="s">
        <v>1190</v>
      </c>
      <c r="L13" s="58" t="s">
        <v>1191</v>
      </c>
      <c r="M13" s="58" t="s">
        <v>693</v>
      </c>
      <c r="N13" s="81" t="s">
        <v>1192</v>
      </c>
      <c r="O13" s="82"/>
    </row>
    <row r="14">
      <c r="A14" s="77" t="s">
        <v>1193</v>
      </c>
      <c r="B14" s="58" t="s">
        <v>1194</v>
      </c>
      <c r="C14" s="58" t="s">
        <v>678</v>
      </c>
      <c r="D14" s="83" t="s">
        <v>702</v>
      </c>
      <c r="F14" s="77" t="s">
        <v>1195</v>
      </c>
      <c r="G14" s="58" t="s">
        <v>1196</v>
      </c>
      <c r="H14" s="58" t="s">
        <v>698</v>
      </c>
      <c r="I14" s="79" t="s">
        <v>700</v>
      </c>
      <c r="J14" s="80"/>
      <c r="K14" s="77" t="s">
        <v>1197</v>
      </c>
      <c r="L14" s="58" t="s">
        <v>1198</v>
      </c>
      <c r="M14" s="58" t="s">
        <v>685</v>
      </c>
      <c r="N14" s="81" t="s">
        <v>1199</v>
      </c>
      <c r="O14" s="82"/>
    </row>
    <row r="15">
      <c r="A15" s="77" t="s">
        <v>1200</v>
      </c>
      <c r="B15" s="58" t="s">
        <v>1201</v>
      </c>
      <c r="C15" s="58" t="s">
        <v>678</v>
      </c>
      <c r="D15" s="83" t="s">
        <v>702</v>
      </c>
      <c r="F15" s="77" t="s">
        <v>1202</v>
      </c>
      <c r="G15" s="58" t="s">
        <v>1203</v>
      </c>
      <c r="H15" s="58" t="s">
        <v>717</v>
      </c>
      <c r="I15" s="79" t="s">
        <v>700</v>
      </c>
      <c r="J15" s="80"/>
      <c r="K15" s="77" t="s">
        <v>1204</v>
      </c>
      <c r="L15" s="58" t="s">
        <v>1205</v>
      </c>
      <c r="M15" s="58" t="s">
        <v>685</v>
      </c>
      <c r="N15" s="81" t="s">
        <v>1206</v>
      </c>
      <c r="O15" s="82"/>
    </row>
    <row r="16">
      <c r="A16" s="77" t="s">
        <v>1207</v>
      </c>
      <c r="B16" s="58" t="s">
        <v>1208</v>
      </c>
      <c r="C16" s="58" t="s">
        <v>709</v>
      </c>
      <c r="D16" s="78" t="s">
        <v>1209</v>
      </c>
      <c r="E16" s="7"/>
      <c r="F16" s="77" t="s">
        <v>1210</v>
      </c>
      <c r="G16" s="58" t="s">
        <v>1211</v>
      </c>
      <c r="H16" s="58" t="s">
        <v>688</v>
      </c>
      <c r="I16" s="81" t="s">
        <v>1212</v>
      </c>
      <c r="J16" s="85"/>
      <c r="K16" s="77" t="s">
        <v>1213</v>
      </c>
      <c r="L16" s="58" t="s">
        <v>1214</v>
      </c>
      <c r="M16" s="58" t="s">
        <v>670</v>
      </c>
      <c r="N16" s="79" t="s">
        <v>702</v>
      </c>
      <c r="O16" s="84"/>
    </row>
    <row r="17">
      <c r="A17" s="77" t="s">
        <v>1215</v>
      </c>
      <c r="B17" s="58" t="s">
        <v>1216</v>
      </c>
      <c r="C17" s="58" t="s">
        <v>673</v>
      </c>
      <c r="D17" s="78" t="s">
        <v>1217</v>
      </c>
      <c r="E17" s="7"/>
      <c r="F17" s="77" t="s">
        <v>1218</v>
      </c>
      <c r="G17" s="58" t="s">
        <v>1219</v>
      </c>
      <c r="H17" s="58" t="s">
        <v>715</v>
      </c>
      <c r="I17" s="81" t="s">
        <v>1220</v>
      </c>
      <c r="J17" s="85"/>
      <c r="K17" s="77" t="s">
        <v>1221</v>
      </c>
      <c r="L17" s="58" t="s">
        <v>1222</v>
      </c>
      <c r="M17" s="58" t="s">
        <v>715</v>
      </c>
      <c r="N17" s="81" t="s">
        <v>1223</v>
      </c>
      <c r="O17" s="82"/>
    </row>
    <row r="18">
      <c r="A18" s="77" t="s">
        <v>1224</v>
      </c>
      <c r="B18" s="58" t="s">
        <v>1225</v>
      </c>
      <c r="C18" s="58" t="s">
        <v>685</v>
      </c>
      <c r="D18" s="78" t="s">
        <v>1226</v>
      </c>
      <c r="E18" s="7"/>
      <c r="F18" s="77" t="s">
        <v>1227</v>
      </c>
      <c r="G18" s="58" t="s">
        <v>1228</v>
      </c>
      <c r="H18" s="58" t="s">
        <v>698</v>
      </c>
      <c r="I18" s="79" t="s">
        <v>700</v>
      </c>
      <c r="J18" s="80"/>
      <c r="K18" s="77" t="s">
        <v>1229</v>
      </c>
      <c r="L18" s="58" t="s">
        <v>1230</v>
      </c>
      <c r="M18" s="58" t="s">
        <v>678</v>
      </c>
      <c r="N18" s="81" t="s">
        <v>1231</v>
      </c>
      <c r="O18" s="82"/>
    </row>
    <row r="19">
      <c r="A19" s="77" t="s">
        <v>1232</v>
      </c>
      <c r="B19" s="58" t="s">
        <v>1139</v>
      </c>
      <c r="C19" s="58" t="s">
        <v>810</v>
      </c>
      <c r="D19" s="83" t="s">
        <v>702</v>
      </c>
      <c r="F19" s="77" t="s">
        <v>1233</v>
      </c>
      <c r="G19" s="58" t="s">
        <v>1234</v>
      </c>
      <c r="H19" s="58" t="s">
        <v>810</v>
      </c>
      <c r="I19" s="79" t="s">
        <v>700</v>
      </c>
      <c r="J19" s="80"/>
      <c r="K19" s="77" t="s">
        <v>1235</v>
      </c>
      <c r="L19" s="58" t="s">
        <v>1236</v>
      </c>
      <c r="M19" s="58" t="s">
        <v>810</v>
      </c>
      <c r="N19" s="79" t="s">
        <v>702</v>
      </c>
      <c r="O19" s="84"/>
    </row>
    <row r="20">
      <c r="A20" s="77" t="s">
        <v>1237</v>
      </c>
      <c r="B20" s="58" t="s">
        <v>1238</v>
      </c>
      <c r="C20" s="58" t="s">
        <v>688</v>
      </c>
      <c r="D20" s="83" t="s">
        <v>702</v>
      </c>
      <c r="F20" s="77" t="s">
        <v>1239</v>
      </c>
      <c r="G20" s="58" t="s">
        <v>1240</v>
      </c>
      <c r="H20" s="58" t="s">
        <v>729</v>
      </c>
      <c r="I20" s="79" t="s">
        <v>700</v>
      </c>
      <c r="J20" s="80"/>
      <c r="K20" s="77" t="s">
        <v>1241</v>
      </c>
      <c r="L20" s="58" t="s">
        <v>1242</v>
      </c>
      <c r="M20" s="58" t="s">
        <v>705</v>
      </c>
      <c r="N20" s="79" t="s">
        <v>702</v>
      </c>
      <c r="O20" s="84"/>
    </row>
    <row r="21">
      <c r="A21" s="77" t="s">
        <v>1243</v>
      </c>
      <c r="B21" s="58" t="s">
        <v>1244</v>
      </c>
      <c r="C21" s="58" t="s">
        <v>683</v>
      </c>
      <c r="D21" s="78" t="s">
        <v>1245</v>
      </c>
      <c r="E21" s="7"/>
      <c r="F21" s="77" t="s">
        <v>1246</v>
      </c>
      <c r="G21" s="58" t="s">
        <v>1247</v>
      </c>
      <c r="H21" s="58" t="s">
        <v>670</v>
      </c>
      <c r="I21" s="79" t="s">
        <v>700</v>
      </c>
      <c r="J21" s="80"/>
      <c r="K21" s="77" t="s">
        <v>1248</v>
      </c>
      <c r="L21" s="58" t="s">
        <v>1249</v>
      </c>
      <c r="M21" s="58" t="s">
        <v>683</v>
      </c>
      <c r="N21" s="81" t="s">
        <v>1250</v>
      </c>
      <c r="O21" s="82"/>
    </row>
    <row r="22">
      <c r="A22" s="77" t="s">
        <v>1251</v>
      </c>
      <c r="B22" s="58" t="s">
        <v>1252</v>
      </c>
      <c r="C22" s="58" t="s">
        <v>729</v>
      </c>
      <c r="D22" s="78" t="s">
        <v>1253</v>
      </c>
      <c r="E22" s="7"/>
      <c r="F22" s="77" t="s">
        <v>1254</v>
      </c>
      <c r="G22" s="58" t="s">
        <v>1139</v>
      </c>
      <c r="H22" s="58" t="s">
        <v>810</v>
      </c>
      <c r="I22" s="79" t="s">
        <v>700</v>
      </c>
      <c r="J22" s="80"/>
      <c r="K22" s="77" t="s">
        <v>1255</v>
      </c>
      <c r="L22" s="58" t="s">
        <v>1256</v>
      </c>
      <c r="M22" s="58" t="s">
        <v>690</v>
      </c>
      <c r="N22" s="81" t="s">
        <v>1257</v>
      </c>
      <c r="O22" s="82"/>
    </row>
    <row r="23">
      <c r="A23" s="77" t="s">
        <v>1258</v>
      </c>
      <c r="B23" s="58" t="s">
        <v>1259</v>
      </c>
      <c r="C23" s="58" t="s">
        <v>715</v>
      </c>
      <c r="D23" s="78" t="s">
        <v>1260</v>
      </c>
      <c r="E23" s="7"/>
      <c r="F23" s="77" t="s">
        <v>1261</v>
      </c>
      <c r="G23" s="58" t="s">
        <v>1262</v>
      </c>
      <c r="H23" s="58" t="s">
        <v>685</v>
      </c>
      <c r="I23" s="79" t="s">
        <v>700</v>
      </c>
      <c r="J23" s="80"/>
      <c r="K23" s="77" t="s">
        <v>1263</v>
      </c>
      <c r="L23" s="58" t="s">
        <v>1264</v>
      </c>
      <c r="M23" s="58" t="s">
        <v>698</v>
      </c>
      <c r="N23" s="81" t="s">
        <v>1265</v>
      </c>
      <c r="O23" s="82"/>
    </row>
    <row r="24">
      <c r="A24" s="77" t="s">
        <v>1266</v>
      </c>
      <c r="B24" s="58" t="s">
        <v>1267</v>
      </c>
      <c r="C24" s="58" t="s">
        <v>688</v>
      </c>
      <c r="D24" s="83" t="s">
        <v>702</v>
      </c>
      <c r="F24" s="77" t="s">
        <v>1268</v>
      </c>
      <c r="G24" s="58" t="s">
        <v>1269</v>
      </c>
      <c r="H24" s="58" t="s">
        <v>667</v>
      </c>
      <c r="I24" s="79" t="s">
        <v>700</v>
      </c>
      <c r="J24" s="80"/>
      <c r="K24" s="77" t="s">
        <v>1270</v>
      </c>
      <c r="L24" s="58" t="s">
        <v>1271</v>
      </c>
      <c r="M24" s="58" t="s">
        <v>685</v>
      </c>
      <c r="N24" s="81" t="s">
        <v>1272</v>
      </c>
      <c r="O24" s="82"/>
    </row>
    <row r="25">
      <c r="A25" s="77" t="s">
        <v>1273</v>
      </c>
      <c r="B25" s="58" t="s">
        <v>1274</v>
      </c>
      <c r="C25" s="58" t="s">
        <v>810</v>
      </c>
      <c r="D25" s="83" t="s">
        <v>702</v>
      </c>
      <c r="F25" s="77" t="s">
        <v>1275</v>
      </c>
      <c r="G25" s="58" t="s">
        <v>1139</v>
      </c>
      <c r="H25" s="58" t="s">
        <v>810</v>
      </c>
      <c r="I25" s="79" t="s">
        <v>700</v>
      </c>
      <c r="J25" s="80"/>
      <c r="K25" s="77" t="s">
        <v>1276</v>
      </c>
      <c r="L25" s="58" t="s">
        <v>1277</v>
      </c>
      <c r="M25" s="58" t="s">
        <v>810</v>
      </c>
      <c r="N25" s="79" t="s">
        <v>702</v>
      </c>
      <c r="O25" s="84"/>
    </row>
    <row r="26">
      <c r="A26" s="77" t="s">
        <v>1278</v>
      </c>
      <c r="B26" s="58" t="s">
        <v>1279</v>
      </c>
      <c r="C26" s="58" t="s">
        <v>673</v>
      </c>
      <c r="D26" s="83" t="s">
        <v>702</v>
      </c>
      <c r="F26" s="77" t="s">
        <v>1280</v>
      </c>
      <c r="G26" s="58" t="s">
        <v>1281</v>
      </c>
      <c r="H26" s="58" t="s">
        <v>712</v>
      </c>
      <c r="I26" s="81" t="s">
        <v>1282</v>
      </c>
      <c r="J26" s="85"/>
      <c r="K26" s="77" t="s">
        <v>1283</v>
      </c>
      <c r="L26" s="58" t="s">
        <v>1284</v>
      </c>
      <c r="M26" s="58" t="s">
        <v>670</v>
      </c>
      <c r="N26" s="81" t="s">
        <v>1285</v>
      </c>
      <c r="O26" s="82"/>
    </row>
    <row r="27">
      <c r="A27" s="77" t="s">
        <v>1286</v>
      </c>
      <c r="B27" s="58" t="s">
        <v>1287</v>
      </c>
      <c r="C27" s="58" t="s">
        <v>682</v>
      </c>
      <c r="D27" s="78" t="s">
        <v>1288</v>
      </c>
      <c r="E27" s="7"/>
      <c r="F27" s="77" t="s">
        <v>1289</v>
      </c>
      <c r="G27" s="58" t="s">
        <v>1290</v>
      </c>
      <c r="H27" s="58" t="s">
        <v>685</v>
      </c>
      <c r="I27" s="81" t="s">
        <v>1291</v>
      </c>
      <c r="J27" s="85"/>
      <c r="K27" s="77" t="s">
        <v>1292</v>
      </c>
      <c r="L27" s="58" t="s">
        <v>1293</v>
      </c>
      <c r="M27" s="58" t="s">
        <v>810</v>
      </c>
      <c r="N27" s="79" t="s">
        <v>702</v>
      </c>
      <c r="O27" s="84"/>
    </row>
    <row r="28">
      <c r="A28" s="77" t="s">
        <v>1294</v>
      </c>
      <c r="B28" s="58" t="s">
        <v>1295</v>
      </c>
      <c r="C28" s="58" t="s">
        <v>715</v>
      </c>
      <c r="D28" s="78" t="s">
        <v>1296</v>
      </c>
      <c r="E28" s="7"/>
      <c r="F28" s="77" t="s">
        <v>1297</v>
      </c>
      <c r="G28" s="58" t="s">
        <v>1298</v>
      </c>
      <c r="H28" s="58" t="s">
        <v>685</v>
      </c>
      <c r="I28" s="81" t="s">
        <v>1299</v>
      </c>
      <c r="J28" s="85"/>
      <c r="K28" s="77" t="s">
        <v>1300</v>
      </c>
      <c r="L28" s="58" t="s">
        <v>1301</v>
      </c>
      <c r="M28" s="58" t="s">
        <v>720</v>
      </c>
      <c r="N28" s="81" t="s">
        <v>1302</v>
      </c>
      <c r="O28" s="82"/>
    </row>
    <row r="29">
      <c r="A29" s="77" t="s">
        <v>1303</v>
      </c>
      <c r="B29" s="58" t="s">
        <v>1304</v>
      </c>
      <c r="C29" s="58" t="s">
        <v>682</v>
      </c>
      <c r="D29" s="78" t="s">
        <v>1305</v>
      </c>
      <c r="E29" s="7"/>
      <c r="F29" s="77" t="s">
        <v>1306</v>
      </c>
      <c r="G29" s="58" t="s">
        <v>1307</v>
      </c>
      <c r="H29" s="58" t="s">
        <v>673</v>
      </c>
      <c r="I29" s="79" t="s">
        <v>700</v>
      </c>
      <c r="J29" s="80"/>
      <c r="K29" s="77" t="s">
        <v>1308</v>
      </c>
      <c r="L29" s="58" t="s">
        <v>1309</v>
      </c>
      <c r="M29" s="58" t="s">
        <v>704</v>
      </c>
      <c r="N29" s="81" t="s">
        <v>1310</v>
      </c>
      <c r="O29" s="82"/>
    </row>
    <row r="30">
      <c r="A30" s="77" t="s">
        <v>1311</v>
      </c>
      <c r="B30" s="58" t="s">
        <v>1312</v>
      </c>
      <c r="C30" s="58" t="s">
        <v>685</v>
      </c>
      <c r="D30" s="78" t="s">
        <v>1313</v>
      </c>
      <c r="E30" s="7"/>
      <c r="F30" s="77" t="s">
        <v>1314</v>
      </c>
      <c r="G30" s="58" t="s">
        <v>1315</v>
      </c>
      <c r="H30" s="58" t="s">
        <v>699</v>
      </c>
      <c r="I30" s="79" t="s">
        <v>700</v>
      </c>
      <c r="J30" s="80"/>
      <c r="K30" s="77" t="s">
        <v>1316</v>
      </c>
      <c r="L30" s="58" t="s">
        <v>1317</v>
      </c>
      <c r="M30" s="58" t="s">
        <v>810</v>
      </c>
      <c r="N30" s="79" t="s">
        <v>702</v>
      </c>
      <c r="O30" s="84"/>
    </row>
    <row r="31">
      <c r="A31" s="77" t="s">
        <v>1318</v>
      </c>
      <c r="B31" s="58" t="s">
        <v>1319</v>
      </c>
      <c r="C31" s="58" t="s">
        <v>673</v>
      </c>
      <c r="D31" s="78" t="s">
        <v>1320</v>
      </c>
      <c r="E31" s="7"/>
      <c r="F31" s="77" t="s">
        <v>1321</v>
      </c>
      <c r="G31" s="58" t="s">
        <v>1322</v>
      </c>
      <c r="H31" s="58" t="s">
        <v>676</v>
      </c>
      <c r="I31" s="79" t="s">
        <v>700</v>
      </c>
      <c r="J31" s="80"/>
      <c r="K31" s="77" t="s">
        <v>1323</v>
      </c>
      <c r="L31" s="58" t="s">
        <v>1324</v>
      </c>
      <c r="M31" s="58" t="s">
        <v>673</v>
      </c>
      <c r="N31" s="79" t="s">
        <v>702</v>
      </c>
      <c r="O31" s="84"/>
    </row>
    <row r="32">
      <c r="A32" s="77" t="s">
        <v>1325</v>
      </c>
      <c r="B32" s="58" t="s">
        <v>1326</v>
      </c>
      <c r="C32" s="58" t="s">
        <v>699</v>
      </c>
      <c r="D32" s="78" t="s">
        <v>1327</v>
      </c>
      <c r="E32" s="7"/>
      <c r="F32" s="77" t="s">
        <v>1328</v>
      </c>
      <c r="G32" s="58" t="s">
        <v>1329</v>
      </c>
      <c r="H32" s="58" t="s">
        <v>810</v>
      </c>
      <c r="I32" s="79" t="s">
        <v>700</v>
      </c>
      <c r="J32" s="80"/>
      <c r="K32" s="77" t="s">
        <v>1330</v>
      </c>
      <c r="L32" s="58" t="s">
        <v>1331</v>
      </c>
      <c r="M32" s="58" t="s">
        <v>673</v>
      </c>
      <c r="N32" s="79" t="s">
        <v>702</v>
      </c>
      <c r="O32" s="84"/>
    </row>
    <row r="33">
      <c r="A33" s="77" t="s">
        <v>1332</v>
      </c>
      <c r="B33" s="58" t="s">
        <v>1139</v>
      </c>
      <c r="C33" s="58" t="s">
        <v>810</v>
      </c>
      <c r="D33" s="83" t="s">
        <v>702</v>
      </c>
      <c r="F33" s="77" t="s">
        <v>1333</v>
      </c>
      <c r="G33" s="58" t="s">
        <v>1334</v>
      </c>
      <c r="H33" s="58" t="s">
        <v>810</v>
      </c>
      <c r="I33" s="79" t="s">
        <v>700</v>
      </c>
      <c r="J33" s="80"/>
      <c r="K33" s="77" t="s">
        <v>1335</v>
      </c>
      <c r="L33" s="58" t="s">
        <v>1336</v>
      </c>
      <c r="M33" s="58" t="s">
        <v>685</v>
      </c>
      <c r="N33" s="81" t="s">
        <v>1337</v>
      </c>
      <c r="O33" s="82"/>
    </row>
    <row r="34">
      <c r="A34" s="77" t="s">
        <v>1338</v>
      </c>
      <c r="B34" s="58" t="s">
        <v>1339</v>
      </c>
      <c r="C34" s="58" t="s">
        <v>810</v>
      </c>
      <c r="D34" s="83" t="s">
        <v>702</v>
      </c>
      <c r="F34" s="77" t="s">
        <v>1340</v>
      </c>
      <c r="G34" s="58" t="s">
        <v>1341</v>
      </c>
      <c r="H34" s="58" t="s">
        <v>698</v>
      </c>
      <c r="I34" s="79" t="s">
        <v>700</v>
      </c>
      <c r="J34" s="80"/>
      <c r="K34" s="77" t="s">
        <v>1342</v>
      </c>
      <c r="L34" s="58" t="s">
        <v>1343</v>
      </c>
      <c r="M34" s="58" t="s">
        <v>698</v>
      </c>
      <c r="N34" s="81" t="s">
        <v>1344</v>
      </c>
      <c r="O34" s="82"/>
    </row>
    <row r="35">
      <c r="A35" s="77" t="s">
        <v>1345</v>
      </c>
      <c r="B35" s="58" t="s">
        <v>1346</v>
      </c>
      <c r="C35" s="58" t="s">
        <v>676</v>
      </c>
      <c r="D35" s="83" t="s">
        <v>702</v>
      </c>
      <c r="F35" s="77" t="s">
        <v>1347</v>
      </c>
      <c r="G35" s="58" t="s">
        <v>1348</v>
      </c>
      <c r="H35" s="58" t="s">
        <v>676</v>
      </c>
      <c r="I35" s="81" t="s">
        <v>1349</v>
      </c>
      <c r="J35" s="85"/>
      <c r="K35" s="77" t="s">
        <v>1350</v>
      </c>
      <c r="L35" s="58" t="s">
        <v>1351</v>
      </c>
      <c r="M35" s="58" t="s">
        <v>699</v>
      </c>
      <c r="N35" s="81" t="s">
        <v>1352</v>
      </c>
      <c r="O35" s="82"/>
    </row>
    <row r="36">
      <c r="A36" s="77" t="s">
        <v>1353</v>
      </c>
      <c r="B36" s="58" t="s">
        <v>1354</v>
      </c>
      <c r="C36" s="58" t="s">
        <v>688</v>
      </c>
      <c r="D36" s="78" t="s">
        <v>1355</v>
      </c>
      <c r="E36" s="7"/>
      <c r="F36" s="77" t="s">
        <v>1356</v>
      </c>
      <c r="G36" s="58" t="s">
        <v>1357</v>
      </c>
      <c r="H36" s="58" t="s">
        <v>715</v>
      </c>
      <c r="I36" s="79" t="s">
        <v>700</v>
      </c>
      <c r="J36" s="80"/>
      <c r="K36" s="77" t="s">
        <v>1358</v>
      </c>
      <c r="L36" s="58" t="s">
        <v>1359</v>
      </c>
      <c r="M36" s="58" t="s">
        <v>698</v>
      </c>
      <c r="N36" s="81" t="s">
        <v>1360</v>
      </c>
      <c r="O36" s="82"/>
    </row>
    <row r="37">
      <c r="A37" s="77" t="s">
        <v>1361</v>
      </c>
      <c r="B37" s="58" t="s">
        <v>1362</v>
      </c>
      <c r="C37" s="58" t="s">
        <v>670</v>
      </c>
      <c r="D37" s="78" t="s">
        <v>1363</v>
      </c>
      <c r="E37" s="7"/>
      <c r="F37" s="77" t="s">
        <v>1364</v>
      </c>
      <c r="G37" s="58" t="s">
        <v>1365</v>
      </c>
      <c r="H37" s="58" t="s">
        <v>810</v>
      </c>
      <c r="I37" s="81" t="s">
        <v>1366</v>
      </c>
      <c r="J37" s="85"/>
      <c r="K37" s="77" t="s">
        <v>1367</v>
      </c>
      <c r="L37" s="58" t="s">
        <v>1368</v>
      </c>
      <c r="M37" s="58" t="s">
        <v>685</v>
      </c>
      <c r="N37" s="81" t="s">
        <v>1369</v>
      </c>
      <c r="O37" s="82"/>
    </row>
    <row r="38">
      <c r="A38" s="77" t="s">
        <v>1370</v>
      </c>
      <c r="B38" s="58" t="s">
        <v>1371</v>
      </c>
      <c r="C38" s="58" t="s">
        <v>676</v>
      </c>
      <c r="D38" s="83" t="s">
        <v>702</v>
      </c>
      <c r="F38" s="77" t="s">
        <v>1372</v>
      </c>
      <c r="G38" s="58" t="s">
        <v>1373</v>
      </c>
      <c r="H38" s="58" t="s">
        <v>688</v>
      </c>
      <c r="I38" s="81" t="s">
        <v>1374</v>
      </c>
      <c r="J38" s="85"/>
      <c r="K38" s="77" t="s">
        <v>1375</v>
      </c>
      <c r="L38" s="58" t="s">
        <v>1376</v>
      </c>
      <c r="M38" s="58" t="s">
        <v>685</v>
      </c>
      <c r="N38" s="81" t="s">
        <v>1377</v>
      </c>
      <c r="O38" s="82"/>
    </row>
    <row r="39">
      <c r="A39" s="77" t="s">
        <v>1378</v>
      </c>
      <c r="B39" s="58" t="s">
        <v>1139</v>
      </c>
      <c r="C39" s="58" t="s">
        <v>810</v>
      </c>
      <c r="D39" s="83" t="s">
        <v>702</v>
      </c>
      <c r="F39" s="77" t="s">
        <v>1379</v>
      </c>
      <c r="G39" s="58" t="s">
        <v>1380</v>
      </c>
      <c r="H39" s="58" t="s">
        <v>698</v>
      </c>
      <c r="I39" s="81" t="s">
        <v>1381</v>
      </c>
      <c r="J39" s="85"/>
      <c r="K39" s="77" t="s">
        <v>1382</v>
      </c>
      <c r="L39" s="58" t="s">
        <v>1383</v>
      </c>
      <c r="M39" s="58" t="s">
        <v>699</v>
      </c>
      <c r="N39" s="81" t="s">
        <v>1384</v>
      </c>
      <c r="O39" s="82"/>
    </row>
    <row r="40">
      <c r="A40" s="77" t="s">
        <v>1385</v>
      </c>
      <c r="B40" s="58" t="s">
        <v>1386</v>
      </c>
      <c r="C40" s="58" t="s">
        <v>810</v>
      </c>
      <c r="D40" s="83" t="s">
        <v>702</v>
      </c>
      <c r="F40" s="77" t="s">
        <v>1387</v>
      </c>
      <c r="G40" s="58" t="s">
        <v>1388</v>
      </c>
      <c r="H40" s="58" t="s">
        <v>690</v>
      </c>
      <c r="I40" s="79" t="s">
        <v>700</v>
      </c>
      <c r="J40" s="80"/>
      <c r="K40" s="77" t="s">
        <v>1389</v>
      </c>
      <c r="L40" s="58" t="s">
        <v>1390</v>
      </c>
      <c r="M40" s="58" t="s">
        <v>688</v>
      </c>
      <c r="N40" s="79" t="s">
        <v>702</v>
      </c>
      <c r="O40" s="84"/>
    </row>
    <row r="41">
      <c r="A41" s="77" t="s">
        <v>1391</v>
      </c>
      <c r="B41" s="58" t="s">
        <v>1392</v>
      </c>
      <c r="C41" s="58" t="s">
        <v>673</v>
      </c>
      <c r="D41" s="78" t="s">
        <v>1393</v>
      </c>
      <c r="E41" s="7"/>
      <c r="F41" s="77" t="s">
        <v>1394</v>
      </c>
      <c r="G41" s="58" t="s">
        <v>1395</v>
      </c>
      <c r="H41" s="58" t="s">
        <v>810</v>
      </c>
      <c r="I41" s="79" t="s">
        <v>700</v>
      </c>
      <c r="J41" s="50"/>
      <c r="K41" s="50"/>
    </row>
    <row r="42">
      <c r="A42" s="77" t="s">
        <v>1396</v>
      </c>
      <c r="B42" s="58" t="s">
        <v>1397</v>
      </c>
      <c r="C42" s="58" t="s">
        <v>715</v>
      </c>
      <c r="D42" s="78" t="s">
        <v>1398</v>
      </c>
      <c r="E42" s="7"/>
      <c r="F42" s="77" t="s">
        <v>1399</v>
      </c>
      <c r="G42" s="58" t="s">
        <v>1400</v>
      </c>
      <c r="H42" s="58" t="s">
        <v>685</v>
      </c>
      <c r="I42" s="79" t="s">
        <v>700</v>
      </c>
      <c r="J42" s="50"/>
      <c r="K42" s="50"/>
    </row>
    <row r="43">
      <c r="A43" s="77" t="s">
        <v>1401</v>
      </c>
      <c r="B43" s="58" t="s">
        <v>1402</v>
      </c>
      <c r="C43" s="58" t="s">
        <v>685</v>
      </c>
      <c r="D43" s="78" t="s">
        <v>1403</v>
      </c>
      <c r="E43" s="7"/>
      <c r="F43" s="77" t="s">
        <v>1404</v>
      </c>
      <c r="G43" s="58" t="s">
        <v>1139</v>
      </c>
      <c r="H43" s="58" t="s">
        <v>810</v>
      </c>
      <c r="I43" s="79" t="s">
        <v>700</v>
      </c>
      <c r="J43" s="50"/>
      <c r="K43" s="50"/>
    </row>
    <row r="44">
      <c r="A44" s="77" t="s">
        <v>1405</v>
      </c>
      <c r="B44" s="58" t="s">
        <v>1406</v>
      </c>
      <c r="C44" s="58" t="s">
        <v>693</v>
      </c>
      <c r="D44" s="78" t="s">
        <v>1407</v>
      </c>
      <c r="E44" s="7"/>
      <c r="F44" s="77" t="s">
        <v>1408</v>
      </c>
      <c r="G44" s="58" t="s">
        <v>1201</v>
      </c>
      <c r="H44" s="58" t="s">
        <v>698</v>
      </c>
      <c r="I44" s="79" t="s">
        <v>700</v>
      </c>
      <c r="J44" s="50"/>
      <c r="K44" s="50"/>
    </row>
    <row r="45">
      <c r="A45" s="77" t="s">
        <v>1409</v>
      </c>
      <c r="B45" s="58" t="s">
        <v>1410</v>
      </c>
      <c r="C45" s="58" t="s">
        <v>810</v>
      </c>
      <c r="D45" s="83" t="s">
        <v>702</v>
      </c>
      <c r="F45" s="77" t="s">
        <v>1411</v>
      </c>
      <c r="G45" s="58" t="s">
        <v>1412</v>
      </c>
      <c r="H45" s="58" t="s">
        <v>810</v>
      </c>
      <c r="I45" s="79" t="s">
        <v>700</v>
      </c>
      <c r="J45" s="50"/>
      <c r="K45" s="50"/>
    </row>
    <row r="46">
      <c r="A46" s="77" t="s">
        <v>1413</v>
      </c>
      <c r="B46" s="58" t="s">
        <v>1414</v>
      </c>
      <c r="C46" s="58" t="s">
        <v>810</v>
      </c>
      <c r="D46" s="83" t="s">
        <v>702</v>
      </c>
      <c r="F46" s="77" t="s">
        <v>1415</v>
      </c>
      <c r="G46" s="58" t="s">
        <v>1416</v>
      </c>
      <c r="H46" s="58" t="s">
        <v>810</v>
      </c>
      <c r="I46" s="79" t="s">
        <v>700</v>
      </c>
      <c r="J46" s="50"/>
      <c r="K46" s="50"/>
    </row>
    <row r="47">
      <c r="A47" s="77" t="s">
        <v>1417</v>
      </c>
      <c r="B47" s="58" t="s">
        <v>1418</v>
      </c>
      <c r="C47" s="58" t="s">
        <v>810</v>
      </c>
      <c r="D47" s="78" t="s">
        <v>1419</v>
      </c>
      <c r="E47" s="7"/>
      <c r="F47" s="77" t="s">
        <v>1420</v>
      </c>
      <c r="G47" s="58" t="s">
        <v>1421</v>
      </c>
      <c r="H47" s="58" t="s">
        <v>698</v>
      </c>
      <c r="I47" s="79" t="s">
        <v>700</v>
      </c>
      <c r="J47" s="50"/>
      <c r="K47" s="50"/>
    </row>
    <row r="48">
      <c r="A48" s="77" t="s">
        <v>1422</v>
      </c>
      <c r="B48" s="58" t="s">
        <v>1423</v>
      </c>
      <c r="C48" s="58" t="s">
        <v>810</v>
      </c>
      <c r="D48" s="83" t="s">
        <v>702</v>
      </c>
      <c r="F48" s="77" t="s">
        <v>1424</v>
      </c>
      <c r="G48" s="58" t="s">
        <v>1425</v>
      </c>
      <c r="H48" s="58" t="s">
        <v>673</v>
      </c>
      <c r="I48" s="79" t="s">
        <v>700</v>
      </c>
      <c r="J48" s="50"/>
      <c r="K48" s="50"/>
    </row>
    <row r="49">
      <c r="A49" s="77" t="s">
        <v>1426</v>
      </c>
      <c r="B49" s="58" t="s">
        <v>1427</v>
      </c>
      <c r="C49" s="58" t="s">
        <v>810</v>
      </c>
      <c r="D49" s="83" t="s">
        <v>702</v>
      </c>
      <c r="F49" s="50"/>
      <c r="J49" s="50"/>
      <c r="K49" s="50"/>
    </row>
    <row r="50">
      <c r="A50" s="77" t="s">
        <v>1428</v>
      </c>
      <c r="B50" s="58" t="s">
        <v>1429</v>
      </c>
      <c r="C50" s="58" t="s">
        <v>699</v>
      </c>
      <c r="D50" s="78" t="s">
        <v>1430</v>
      </c>
      <c r="E50" s="7"/>
      <c r="F50" s="50"/>
      <c r="J50" s="50"/>
      <c r="K50" s="50"/>
    </row>
    <row r="51">
      <c r="A51" s="77" t="s">
        <v>1431</v>
      </c>
      <c r="B51" s="58" t="s">
        <v>1432</v>
      </c>
      <c r="C51" s="58" t="s">
        <v>688</v>
      </c>
      <c r="D51" s="78" t="s">
        <v>1433</v>
      </c>
      <c r="E51" s="7"/>
      <c r="F51" s="50"/>
      <c r="J51" s="50"/>
      <c r="K51" s="50"/>
    </row>
    <row r="52">
      <c r="A52" s="77" t="s">
        <v>1434</v>
      </c>
      <c r="B52" s="58" t="s">
        <v>1435</v>
      </c>
      <c r="C52" s="58" t="s">
        <v>693</v>
      </c>
      <c r="D52" s="78" t="s">
        <v>1436</v>
      </c>
      <c r="E52" s="7"/>
      <c r="F52" s="50"/>
      <c r="J52" s="50"/>
      <c r="K52" s="50"/>
    </row>
    <row r="53">
      <c r="A53" s="77" t="s">
        <v>1437</v>
      </c>
      <c r="B53" s="58" t="s">
        <v>1438</v>
      </c>
      <c r="C53" s="58" t="s">
        <v>718</v>
      </c>
      <c r="D53" s="78" t="s">
        <v>1439</v>
      </c>
      <c r="E53" s="7"/>
      <c r="F53" s="50"/>
      <c r="J53" s="50"/>
      <c r="K53" s="50"/>
    </row>
    <row r="54">
      <c r="A54" s="77" t="s">
        <v>1440</v>
      </c>
      <c r="B54" s="58" t="s">
        <v>1441</v>
      </c>
      <c r="C54" s="58" t="s">
        <v>673</v>
      </c>
      <c r="D54" s="78" t="s">
        <v>1442</v>
      </c>
      <c r="E54" s="7"/>
      <c r="F54" s="50"/>
      <c r="J54" s="50"/>
      <c r="K54" s="50"/>
    </row>
    <row r="55">
      <c r="A55" s="77" t="s">
        <v>1443</v>
      </c>
      <c r="B55" s="58" t="s">
        <v>1444</v>
      </c>
      <c r="C55" s="58" t="s">
        <v>712</v>
      </c>
      <c r="D55" s="83" t="s">
        <v>702</v>
      </c>
      <c r="F55" s="50"/>
      <c r="J55" s="50"/>
      <c r="K55" s="50"/>
    </row>
    <row r="56">
      <c r="A56" s="77" t="s">
        <v>1445</v>
      </c>
      <c r="B56" s="58" t="s">
        <v>1446</v>
      </c>
      <c r="C56" s="58" t="s">
        <v>810</v>
      </c>
      <c r="D56" s="83" t="s">
        <v>702</v>
      </c>
      <c r="F56" s="50"/>
      <c r="J56" s="50"/>
      <c r="K56" s="50"/>
    </row>
    <row r="57">
      <c r="A57" s="50"/>
      <c r="D57" s="50"/>
      <c r="F57" s="50"/>
      <c r="J57" s="50"/>
      <c r="K57" s="50"/>
    </row>
    <row r="58">
      <c r="A58" s="50"/>
      <c r="D58" s="50"/>
      <c r="F58" s="50"/>
      <c r="J58" s="50"/>
      <c r="K58" s="50"/>
    </row>
    <row r="59">
      <c r="A59" s="2" t="s">
        <v>36</v>
      </c>
      <c r="D59" s="50"/>
      <c r="F59" s="2" t="s">
        <v>80</v>
      </c>
      <c r="J59" s="2"/>
      <c r="K59" s="2" t="s">
        <v>62</v>
      </c>
    </row>
    <row r="60">
      <c r="A60" s="77" t="s">
        <v>1447</v>
      </c>
      <c r="B60" s="58" t="s">
        <v>1448</v>
      </c>
      <c r="C60" s="58" t="s">
        <v>690</v>
      </c>
      <c r="D60" s="78" t="s">
        <v>1449</v>
      </c>
      <c r="E60" s="7"/>
      <c r="F60" s="77" t="s">
        <v>1450</v>
      </c>
      <c r="G60" s="58" t="s">
        <v>1451</v>
      </c>
      <c r="H60" s="58" t="s">
        <v>719</v>
      </c>
      <c r="I60" s="81" t="s">
        <v>1452</v>
      </c>
      <c r="J60" s="85"/>
      <c r="K60" s="77" t="s">
        <v>1453</v>
      </c>
      <c r="L60" s="58" t="s">
        <v>1454</v>
      </c>
      <c r="M60" s="58" t="s">
        <v>690</v>
      </c>
      <c r="N60" s="81" t="s">
        <v>1455</v>
      </c>
      <c r="O60" s="82"/>
    </row>
    <row r="61">
      <c r="A61" s="77" t="s">
        <v>1456</v>
      </c>
      <c r="B61" s="58" t="s">
        <v>1457</v>
      </c>
      <c r="C61" s="58" t="s">
        <v>696</v>
      </c>
      <c r="D61" s="79" t="s">
        <v>677</v>
      </c>
      <c r="F61" s="77" t="s">
        <v>1458</v>
      </c>
      <c r="G61" s="58" t="s">
        <v>1459</v>
      </c>
      <c r="H61" s="58" t="s">
        <v>720</v>
      </c>
      <c r="I61" s="81" t="s">
        <v>1460</v>
      </c>
      <c r="J61" s="85"/>
      <c r="K61" s="77" t="s">
        <v>1461</v>
      </c>
      <c r="L61" s="58" t="s">
        <v>1462</v>
      </c>
      <c r="M61" s="58" t="s">
        <v>720</v>
      </c>
      <c r="N61" s="79" t="s">
        <v>703</v>
      </c>
      <c r="O61" s="84"/>
    </row>
    <row r="62">
      <c r="A62" s="77" t="s">
        <v>1463</v>
      </c>
      <c r="B62" s="58" t="s">
        <v>1464</v>
      </c>
      <c r="C62" s="58" t="s">
        <v>678</v>
      </c>
      <c r="D62" s="79" t="s">
        <v>677</v>
      </c>
      <c r="F62" s="77" t="s">
        <v>1465</v>
      </c>
      <c r="G62" s="58" t="s">
        <v>1466</v>
      </c>
      <c r="H62" s="58" t="s">
        <v>678</v>
      </c>
      <c r="I62" s="81" t="s">
        <v>1467</v>
      </c>
      <c r="J62" s="85"/>
      <c r="K62" s="77" t="s">
        <v>1468</v>
      </c>
      <c r="L62" s="58" t="s">
        <v>1469</v>
      </c>
      <c r="M62" s="58" t="s">
        <v>690</v>
      </c>
      <c r="N62" s="79" t="s">
        <v>703</v>
      </c>
      <c r="O62" s="84"/>
    </row>
    <row r="63">
      <c r="A63" s="77" t="s">
        <v>1470</v>
      </c>
      <c r="B63" s="58" t="s">
        <v>1131</v>
      </c>
      <c r="C63" s="58" t="s">
        <v>718</v>
      </c>
      <c r="D63" s="79" t="s">
        <v>677</v>
      </c>
      <c r="F63" s="77" t="s">
        <v>1471</v>
      </c>
      <c r="G63" s="58" t="s">
        <v>1472</v>
      </c>
      <c r="H63" s="58" t="s">
        <v>810</v>
      </c>
      <c r="I63" s="79" t="s">
        <v>697</v>
      </c>
      <c r="J63" s="80"/>
      <c r="K63" s="77" t="s">
        <v>1473</v>
      </c>
      <c r="L63" s="58" t="s">
        <v>1474</v>
      </c>
      <c r="M63" s="58" t="s">
        <v>810</v>
      </c>
      <c r="N63" s="79" t="s">
        <v>703</v>
      </c>
      <c r="O63" s="84"/>
    </row>
    <row r="64">
      <c r="A64" s="77" t="s">
        <v>1475</v>
      </c>
      <c r="B64" s="58" t="s">
        <v>1476</v>
      </c>
      <c r="C64" s="58" t="s">
        <v>718</v>
      </c>
      <c r="D64" s="79" t="s">
        <v>677</v>
      </c>
      <c r="F64" s="77" t="s">
        <v>1477</v>
      </c>
      <c r="G64" s="58" t="s">
        <v>1478</v>
      </c>
      <c r="H64" s="58" t="s">
        <v>696</v>
      </c>
      <c r="I64" s="79" t="s">
        <v>697</v>
      </c>
      <c r="J64" s="80"/>
      <c r="K64" s="77" t="s">
        <v>1479</v>
      </c>
      <c r="L64" s="58" t="s">
        <v>1155</v>
      </c>
      <c r="M64" s="58" t="s">
        <v>698</v>
      </c>
      <c r="N64" s="81" t="s">
        <v>1480</v>
      </c>
      <c r="O64" s="82"/>
    </row>
    <row r="65">
      <c r="A65" s="77" t="s">
        <v>1481</v>
      </c>
      <c r="B65" s="58" t="s">
        <v>1482</v>
      </c>
      <c r="C65" s="58" t="s">
        <v>678</v>
      </c>
      <c r="D65" s="78" t="s">
        <v>1483</v>
      </c>
      <c r="E65" s="7"/>
      <c r="F65" s="77" t="s">
        <v>1484</v>
      </c>
      <c r="G65" s="58" t="s">
        <v>1485</v>
      </c>
      <c r="H65" s="58" t="s">
        <v>722</v>
      </c>
      <c r="I65" s="79" t="s">
        <v>697</v>
      </c>
      <c r="J65" s="80"/>
      <c r="K65" s="77" t="s">
        <v>1486</v>
      </c>
      <c r="L65" s="58" t="s">
        <v>1487</v>
      </c>
      <c r="M65" s="58" t="s">
        <v>690</v>
      </c>
      <c r="N65" s="81" t="s">
        <v>1488</v>
      </c>
      <c r="O65" s="82"/>
    </row>
    <row r="66">
      <c r="A66" s="77" t="s">
        <v>1489</v>
      </c>
      <c r="B66" s="58" t="s">
        <v>1490</v>
      </c>
      <c r="C66" s="58" t="s">
        <v>678</v>
      </c>
      <c r="D66" s="78" t="s">
        <v>1491</v>
      </c>
      <c r="E66" s="7"/>
      <c r="F66" s="77" t="s">
        <v>1492</v>
      </c>
      <c r="G66" s="58" t="s">
        <v>1493</v>
      </c>
      <c r="H66" s="58" t="s">
        <v>810</v>
      </c>
      <c r="I66" s="79" t="s">
        <v>697</v>
      </c>
      <c r="J66" s="80"/>
      <c r="K66" s="77" t="s">
        <v>1494</v>
      </c>
      <c r="L66" s="58" t="s">
        <v>1495</v>
      </c>
      <c r="M66" s="58" t="s">
        <v>719</v>
      </c>
      <c r="N66" s="81" t="s">
        <v>1496</v>
      </c>
      <c r="O66" s="82"/>
    </row>
    <row r="67">
      <c r="A67" s="77" t="s">
        <v>1497</v>
      </c>
      <c r="B67" s="58" t="s">
        <v>1498</v>
      </c>
      <c r="C67" s="58" t="s">
        <v>719</v>
      </c>
      <c r="D67" s="78" t="s">
        <v>1499</v>
      </c>
      <c r="E67" s="7"/>
      <c r="F67" s="77" t="s">
        <v>1500</v>
      </c>
      <c r="G67" s="58" t="s">
        <v>1501</v>
      </c>
      <c r="H67" s="58" t="s">
        <v>810</v>
      </c>
      <c r="I67" s="79" t="s">
        <v>697</v>
      </c>
      <c r="J67" s="80"/>
      <c r="K67" s="77" t="s">
        <v>1502</v>
      </c>
      <c r="L67" s="58" t="s">
        <v>1503</v>
      </c>
      <c r="M67" s="58" t="s">
        <v>678</v>
      </c>
      <c r="N67" s="79" t="s">
        <v>703</v>
      </c>
      <c r="O67" s="84"/>
    </row>
    <row r="68">
      <c r="A68" s="77" t="s">
        <v>1504</v>
      </c>
      <c r="B68" s="58" t="s">
        <v>1505</v>
      </c>
      <c r="C68" s="58" t="s">
        <v>696</v>
      </c>
      <c r="D68" s="79" t="s">
        <v>677</v>
      </c>
      <c r="F68" s="77" t="s">
        <v>1506</v>
      </c>
      <c r="G68" s="58" t="s">
        <v>1507</v>
      </c>
      <c r="H68" s="58" t="s">
        <v>810</v>
      </c>
      <c r="I68" s="79" t="s">
        <v>697</v>
      </c>
      <c r="J68" s="80"/>
      <c r="K68" s="77" t="s">
        <v>1508</v>
      </c>
      <c r="L68" s="58" t="s">
        <v>1509</v>
      </c>
      <c r="M68" s="58" t="s">
        <v>810</v>
      </c>
      <c r="N68" s="79" t="s">
        <v>703</v>
      </c>
      <c r="O68" s="84"/>
    </row>
    <row r="69">
      <c r="A69" s="77" t="s">
        <v>1510</v>
      </c>
      <c r="B69" s="58" t="s">
        <v>1511</v>
      </c>
      <c r="C69" s="58" t="s">
        <v>727</v>
      </c>
      <c r="D69" s="79" t="s">
        <v>677</v>
      </c>
      <c r="F69" s="77" t="s">
        <v>1512</v>
      </c>
      <c r="G69" s="58" t="s">
        <v>1513</v>
      </c>
      <c r="H69" s="58" t="s">
        <v>693</v>
      </c>
      <c r="I69" s="81" t="s">
        <v>1514</v>
      </c>
      <c r="J69" s="85"/>
      <c r="K69" s="77" t="s">
        <v>1515</v>
      </c>
      <c r="L69" s="58" t="s">
        <v>1139</v>
      </c>
      <c r="M69" s="58" t="s">
        <v>810</v>
      </c>
      <c r="N69" s="79" t="s">
        <v>703</v>
      </c>
      <c r="O69" s="84"/>
    </row>
    <row r="70">
      <c r="A70" s="77" t="s">
        <v>1516</v>
      </c>
      <c r="B70" s="58" t="s">
        <v>1517</v>
      </c>
      <c r="C70" s="58" t="s">
        <v>678</v>
      </c>
      <c r="D70" s="79" t="s">
        <v>677</v>
      </c>
      <c r="F70" s="77" t="s">
        <v>1518</v>
      </c>
      <c r="G70" s="58" t="s">
        <v>1519</v>
      </c>
      <c r="H70" s="58" t="s">
        <v>712</v>
      </c>
      <c r="I70" s="81" t="s">
        <v>1520</v>
      </c>
      <c r="J70" s="85"/>
      <c r="K70" s="77" t="s">
        <v>1521</v>
      </c>
      <c r="L70" s="58" t="s">
        <v>1522</v>
      </c>
      <c r="M70" s="58" t="s">
        <v>673</v>
      </c>
      <c r="N70" s="81" t="s">
        <v>1523</v>
      </c>
      <c r="O70" s="82"/>
    </row>
    <row r="71">
      <c r="A71" s="77" t="s">
        <v>1524</v>
      </c>
      <c r="B71" s="58" t="s">
        <v>1525</v>
      </c>
      <c r="C71" s="58" t="s">
        <v>709</v>
      </c>
      <c r="D71" s="79" t="s">
        <v>677</v>
      </c>
      <c r="F71" s="77" t="s">
        <v>1526</v>
      </c>
      <c r="G71" s="58" t="s">
        <v>1527</v>
      </c>
      <c r="H71" s="58" t="s">
        <v>690</v>
      </c>
      <c r="I71" s="81" t="s">
        <v>1528</v>
      </c>
      <c r="J71" s="85"/>
      <c r="K71" s="77" t="s">
        <v>1529</v>
      </c>
      <c r="L71" s="58" t="s">
        <v>1530</v>
      </c>
      <c r="M71" s="58" t="s">
        <v>725</v>
      </c>
      <c r="N71" s="81" t="s">
        <v>1531</v>
      </c>
      <c r="O71" s="82"/>
    </row>
    <row r="72">
      <c r="A72" s="77" t="s">
        <v>1532</v>
      </c>
      <c r="B72" s="58" t="s">
        <v>1533</v>
      </c>
      <c r="C72" s="58" t="s">
        <v>722</v>
      </c>
      <c r="D72" s="79" t="s">
        <v>677</v>
      </c>
      <c r="F72" s="77" t="s">
        <v>1534</v>
      </c>
      <c r="G72" s="58" t="s">
        <v>1152</v>
      </c>
      <c r="H72" s="58" t="s">
        <v>715</v>
      </c>
      <c r="I72" s="81" t="s">
        <v>1535</v>
      </c>
      <c r="J72" s="85"/>
      <c r="K72" s="77" t="s">
        <v>1536</v>
      </c>
      <c r="L72" s="58" t="s">
        <v>1537</v>
      </c>
      <c r="M72" s="58" t="s">
        <v>685</v>
      </c>
      <c r="N72" s="79" t="s">
        <v>703</v>
      </c>
      <c r="O72" s="84"/>
    </row>
    <row r="73">
      <c r="A73" s="77" t="s">
        <v>1538</v>
      </c>
      <c r="B73" s="58" t="s">
        <v>1539</v>
      </c>
      <c r="C73" s="58" t="s">
        <v>690</v>
      </c>
      <c r="D73" s="78" t="s">
        <v>1540</v>
      </c>
      <c r="E73" s="7"/>
      <c r="F73" s="77" t="s">
        <v>1541</v>
      </c>
      <c r="G73" s="58" t="s">
        <v>1542</v>
      </c>
      <c r="H73" s="58" t="s">
        <v>712</v>
      </c>
      <c r="I73" s="81" t="s">
        <v>1543</v>
      </c>
      <c r="J73" s="85"/>
      <c r="K73" s="77" t="s">
        <v>1544</v>
      </c>
      <c r="L73" s="58" t="s">
        <v>1545</v>
      </c>
      <c r="M73" s="58" t="s">
        <v>673</v>
      </c>
      <c r="N73" s="81" t="s">
        <v>1546</v>
      </c>
      <c r="O73" s="82"/>
    </row>
    <row r="74">
      <c r="A74" s="77" t="s">
        <v>1547</v>
      </c>
      <c r="B74" s="58" t="s">
        <v>1548</v>
      </c>
      <c r="C74" s="58" t="s">
        <v>688</v>
      </c>
      <c r="D74" s="78" t="s">
        <v>1549</v>
      </c>
      <c r="E74" s="7"/>
      <c r="F74" s="77" t="s">
        <v>1550</v>
      </c>
      <c r="G74" s="58" t="s">
        <v>1551</v>
      </c>
      <c r="H74" s="58" t="s">
        <v>709</v>
      </c>
      <c r="I74" s="81" t="s">
        <v>1552</v>
      </c>
      <c r="J74" s="85"/>
      <c r="K74" s="77" t="s">
        <v>1553</v>
      </c>
      <c r="L74" s="58" t="s">
        <v>1554</v>
      </c>
      <c r="M74" s="58" t="s">
        <v>704</v>
      </c>
      <c r="N74" s="81" t="s">
        <v>1555</v>
      </c>
      <c r="O74" s="82"/>
    </row>
    <row r="75">
      <c r="A75" s="77" t="s">
        <v>1556</v>
      </c>
      <c r="B75" s="58" t="s">
        <v>1557</v>
      </c>
      <c r="C75" s="58" t="s">
        <v>676</v>
      </c>
      <c r="D75" s="79" t="s">
        <v>677</v>
      </c>
      <c r="F75" s="77" t="s">
        <v>1558</v>
      </c>
      <c r="G75" s="58" t="s">
        <v>1139</v>
      </c>
      <c r="H75" s="58" t="s">
        <v>810</v>
      </c>
      <c r="I75" s="79" t="s">
        <v>697</v>
      </c>
      <c r="J75" s="80"/>
      <c r="K75" s="77" t="s">
        <v>1559</v>
      </c>
      <c r="L75" s="58" t="s">
        <v>1560</v>
      </c>
      <c r="M75" s="58" t="s">
        <v>709</v>
      </c>
      <c r="N75" s="79" t="s">
        <v>703</v>
      </c>
      <c r="O75" s="84"/>
    </row>
    <row r="76">
      <c r="A76" s="77" t="s">
        <v>1561</v>
      </c>
      <c r="B76" s="58" t="s">
        <v>1238</v>
      </c>
      <c r="C76" s="58" t="s">
        <v>688</v>
      </c>
      <c r="D76" s="79" t="s">
        <v>677</v>
      </c>
      <c r="F76" s="77" t="s">
        <v>1562</v>
      </c>
      <c r="G76" s="58" t="s">
        <v>1563</v>
      </c>
      <c r="H76" s="58" t="s">
        <v>678</v>
      </c>
      <c r="I76" s="79" t="s">
        <v>697</v>
      </c>
      <c r="J76" s="80"/>
      <c r="K76" s="77" t="s">
        <v>1564</v>
      </c>
      <c r="L76" s="58" t="s">
        <v>1565</v>
      </c>
      <c r="M76" s="58" t="s">
        <v>685</v>
      </c>
      <c r="N76" s="81" t="s">
        <v>1566</v>
      </c>
      <c r="O76" s="82"/>
    </row>
    <row r="77">
      <c r="A77" s="77" t="s">
        <v>1567</v>
      </c>
      <c r="B77" s="58" t="s">
        <v>1139</v>
      </c>
      <c r="C77" s="58" t="s">
        <v>810</v>
      </c>
      <c r="D77" s="79" t="s">
        <v>677</v>
      </c>
      <c r="F77" s="77" t="s">
        <v>1568</v>
      </c>
      <c r="G77" s="58" t="s">
        <v>1569</v>
      </c>
      <c r="H77" s="58" t="s">
        <v>698</v>
      </c>
      <c r="I77" s="79" t="s">
        <v>697</v>
      </c>
      <c r="J77" s="80"/>
      <c r="K77" s="77" t="s">
        <v>1570</v>
      </c>
      <c r="L77" s="58" t="s">
        <v>1571</v>
      </c>
      <c r="M77" s="58" t="s">
        <v>667</v>
      </c>
      <c r="N77" s="81" t="s">
        <v>1572</v>
      </c>
      <c r="O77" s="82"/>
    </row>
    <row r="78">
      <c r="A78" s="77" t="s">
        <v>1573</v>
      </c>
      <c r="B78" s="58" t="s">
        <v>1247</v>
      </c>
      <c r="C78" s="58" t="s">
        <v>719</v>
      </c>
      <c r="D78" s="79" t="s">
        <v>677</v>
      </c>
      <c r="F78" s="77" t="s">
        <v>1574</v>
      </c>
      <c r="G78" s="58" t="s">
        <v>1575</v>
      </c>
      <c r="H78" s="58" t="s">
        <v>810</v>
      </c>
      <c r="I78" s="79" t="s">
        <v>697</v>
      </c>
      <c r="J78" s="80"/>
      <c r="K78" s="77" t="s">
        <v>1576</v>
      </c>
      <c r="L78" s="58" t="s">
        <v>1577</v>
      </c>
      <c r="M78" s="58" t="s">
        <v>718</v>
      </c>
      <c r="N78" s="81" t="s">
        <v>1578</v>
      </c>
      <c r="O78" s="82"/>
    </row>
    <row r="79">
      <c r="A79" s="77" t="s">
        <v>1579</v>
      </c>
      <c r="B79" s="58" t="s">
        <v>1580</v>
      </c>
      <c r="C79" s="58" t="s">
        <v>685</v>
      </c>
      <c r="D79" s="79" t="s">
        <v>677</v>
      </c>
      <c r="F79" s="77" t="s">
        <v>1581</v>
      </c>
      <c r="G79" s="58" t="s">
        <v>1582</v>
      </c>
      <c r="H79" s="58" t="s">
        <v>678</v>
      </c>
      <c r="I79" s="79" t="s">
        <v>697</v>
      </c>
      <c r="J79" s="80"/>
      <c r="K79" s="77" t="s">
        <v>1583</v>
      </c>
      <c r="L79" s="58" t="s">
        <v>1584</v>
      </c>
      <c r="M79" s="58" t="s">
        <v>688</v>
      </c>
      <c r="N79" s="79" t="s">
        <v>703</v>
      </c>
      <c r="O79" s="84"/>
    </row>
    <row r="80">
      <c r="A80" s="77" t="s">
        <v>1585</v>
      </c>
      <c r="B80" s="58" t="s">
        <v>1586</v>
      </c>
      <c r="C80" s="58" t="s">
        <v>673</v>
      </c>
      <c r="D80" s="78" t="s">
        <v>1587</v>
      </c>
      <c r="E80" s="7"/>
      <c r="F80" s="77" t="s">
        <v>1588</v>
      </c>
      <c r="G80" s="58" t="s">
        <v>1505</v>
      </c>
      <c r="H80" s="58" t="s">
        <v>696</v>
      </c>
      <c r="I80" s="79" t="s">
        <v>697</v>
      </c>
      <c r="J80" s="80"/>
      <c r="K80" s="77" t="s">
        <v>1589</v>
      </c>
      <c r="L80" s="58" t="s">
        <v>1590</v>
      </c>
      <c r="M80" s="58" t="s">
        <v>810</v>
      </c>
      <c r="N80" s="79" t="s">
        <v>703</v>
      </c>
      <c r="O80" s="84"/>
    </row>
    <row r="81">
      <c r="A81" s="77" t="s">
        <v>1591</v>
      </c>
      <c r="B81" s="58" t="s">
        <v>1592</v>
      </c>
      <c r="C81" s="58" t="s">
        <v>715</v>
      </c>
      <c r="D81" s="78" t="s">
        <v>1593</v>
      </c>
      <c r="E81" s="7"/>
      <c r="F81" s="77" t="s">
        <v>1594</v>
      </c>
      <c r="G81" s="58" t="s">
        <v>1211</v>
      </c>
      <c r="H81" s="58" t="s">
        <v>688</v>
      </c>
      <c r="I81" s="81" t="s">
        <v>1595</v>
      </c>
      <c r="J81" s="85"/>
      <c r="K81" s="77" t="s">
        <v>1596</v>
      </c>
      <c r="L81" s="58" t="s">
        <v>1597</v>
      </c>
      <c r="M81" s="58" t="s">
        <v>715</v>
      </c>
      <c r="N81" s="79" t="s">
        <v>703</v>
      </c>
      <c r="O81" s="84"/>
    </row>
    <row r="82">
      <c r="A82" s="77" t="s">
        <v>1598</v>
      </c>
      <c r="B82" s="58" t="s">
        <v>1599</v>
      </c>
      <c r="C82" s="58" t="s">
        <v>685</v>
      </c>
      <c r="D82" s="78" t="s">
        <v>1600</v>
      </c>
      <c r="E82" s="7"/>
      <c r="F82" s="77" t="s">
        <v>1601</v>
      </c>
      <c r="G82" s="58" t="s">
        <v>1139</v>
      </c>
      <c r="H82" s="58" t="s">
        <v>810</v>
      </c>
      <c r="I82" s="79" t="s">
        <v>697</v>
      </c>
      <c r="J82" s="80"/>
      <c r="K82" s="77" t="s">
        <v>1602</v>
      </c>
      <c r="L82" s="58" t="s">
        <v>1603</v>
      </c>
      <c r="M82" s="58" t="s">
        <v>730</v>
      </c>
      <c r="N82" s="79" t="s">
        <v>703</v>
      </c>
      <c r="O82" s="84"/>
    </row>
    <row r="83">
      <c r="A83" s="77" t="s">
        <v>1604</v>
      </c>
      <c r="B83" s="58" t="s">
        <v>1605</v>
      </c>
      <c r="C83" s="58" t="s">
        <v>673</v>
      </c>
      <c r="D83" s="78" t="s">
        <v>1606</v>
      </c>
      <c r="E83" s="7"/>
      <c r="F83" s="77" t="s">
        <v>1607</v>
      </c>
      <c r="G83" s="58" t="s">
        <v>1608</v>
      </c>
      <c r="H83" s="58" t="s">
        <v>719</v>
      </c>
      <c r="I83" s="79" t="s">
        <v>697</v>
      </c>
      <c r="J83" s="80"/>
      <c r="K83" s="77" t="s">
        <v>1609</v>
      </c>
      <c r="L83" s="58" t="s">
        <v>1610</v>
      </c>
      <c r="M83" s="58" t="s">
        <v>673</v>
      </c>
      <c r="N83" s="81" t="s">
        <v>1611</v>
      </c>
      <c r="O83" s="82"/>
    </row>
    <row r="84">
      <c r="A84" s="77" t="s">
        <v>1612</v>
      </c>
      <c r="B84" s="58" t="s">
        <v>1613</v>
      </c>
      <c r="C84" s="58" t="s">
        <v>698</v>
      </c>
      <c r="D84" s="78" t="s">
        <v>1614</v>
      </c>
      <c r="E84" s="7"/>
      <c r="F84" s="77" t="s">
        <v>1615</v>
      </c>
      <c r="G84" s="58" t="s">
        <v>1616</v>
      </c>
      <c r="H84" s="58" t="s">
        <v>688</v>
      </c>
      <c r="I84" s="79" t="s">
        <v>697</v>
      </c>
      <c r="J84" s="80"/>
      <c r="K84" s="77" t="s">
        <v>1617</v>
      </c>
      <c r="L84" s="58" t="s">
        <v>1618</v>
      </c>
      <c r="M84" s="58" t="s">
        <v>667</v>
      </c>
      <c r="N84" s="79" t="s">
        <v>703</v>
      </c>
      <c r="O84" s="84"/>
    </row>
    <row r="85">
      <c r="A85" s="77" t="s">
        <v>1619</v>
      </c>
      <c r="B85" s="58" t="s">
        <v>1620</v>
      </c>
      <c r="C85" s="58" t="s">
        <v>688</v>
      </c>
      <c r="D85" s="79" t="s">
        <v>677</v>
      </c>
      <c r="F85" s="77" t="s">
        <v>1621</v>
      </c>
      <c r="G85" s="58" t="s">
        <v>1622</v>
      </c>
      <c r="H85" s="58" t="s">
        <v>720</v>
      </c>
      <c r="I85" s="81" t="s">
        <v>1623</v>
      </c>
      <c r="J85" s="85"/>
      <c r="K85" s="77" t="s">
        <v>1624</v>
      </c>
      <c r="L85" s="58" t="s">
        <v>1625</v>
      </c>
      <c r="M85" s="58" t="s">
        <v>693</v>
      </c>
      <c r="N85" s="79" t="s">
        <v>703</v>
      </c>
      <c r="O85" s="84"/>
    </row>
    <row r="86">
      <c r="A86" s="77" t="s">
        <v>1626</v>
      </c>
      <c r="B86" s="58" t="s">
        <v>1139</v>
      </c>
      <c r="C86" s="58" t="s">
        <v>810</v>
      </c>
      <c r="D86" s="79" t="s">
        <v>677</v>
      </c>
      <c r="F86" s="77" t="s">
        <v>1627</v>
      </c>
      <c r="G86" s="58" t="s">
        <v>1628</v>
      </c>
      <c r="H86" s="58" t="s">
        <v>673</v>
      </c>
      <c r="I86" s="81" t="s">
        <v>1629</v>
      </c>
      <c r="J86" s="85"/>
      <c r="K86" s="77" t="s">
        <v>1630</v>
      </c>
      <c r="L86" s="58" t="s">
        <v>1631</v>
      </c>
      <c r="M86" s="58" t="s">
        <v>810</v>
      </c>
      <c r="N86" s="79" t="s">
        <v>703</v>
      </c>
      <c r="O86" s="84"/>
    </row>
    <row r="87">
      <c r="A87" s="77" t="s">
        <v>1632</v>
      </c>
      <c r="B87" s="58" t="s">
        <v>1633</v>
      </c>
      <c r="C87" s="58" t="s">
        <v>810</v>
      </c>
      <c r="D87" s="79" t="s">
        <v>677</v>
      </c>
      <c r="F87" s="77" t="s">
        <v>1634</v>
      </c>
      <c r="G87" s="58" t="s">
        <v>1139</v>
      </c>
      <c r="H87" s="58" t="s">
        <v>810</v>
      </c>
      <c r="I87" s="79" t="s">
        <v>697</v>
      </c>
      <c r="J87" s="80"/>
      <c r="K87" s="77" t="s">
        <v>1635</v>
      </c>
      <c r="L87" s="58" t="s">
        <v>1636</v>
      </c>
      <c r="M87" s="58" t="s">
        <v>690</v>
      </c>
      <c r="N87" s="81" t="s">
        <v>1637</v>
      </c>
      <c r="O87" s="82"/>
    </row>
    <row r="88">
      <c r="A88" s="77" t="s">
        <v>1638</v>
      </c>
      <c r="B88" s="58" t="s">
        <v>1639</v>
      </c>
      <c r="C88" s="58" t="s">
        <v>685</v>
      </c>
      <c r="D88" s="79" t="s">
        <v>677</v>
      </c>
      <c r="F88" s="77" t="s">
        <v>1640</v>
      </c>
      <c r="G88" s="58" t="s">
        <v>1641</v>
      </c>
      <c r="H88" s="58" t="s">
        <v>698</v>
      </c>
      <c r="I88" s="79" t="s">
        <v>697</v>
      </c>
      <c r="J88" s="80"/>
      <c r="K88" s="77" t="s">
        <v>1642</v>
      </c>
      <c r="L88" s="58" t="s">
        <v>1643</v>
      </c>
      <c r="M88" s="58" t="s">
        <v>722</v>
      </c>
      <c r="N88" s="79" t="s">
        <v>703</v>
      </c>
      <c r="O88" s="84"/>
    </row>
    <row r="89">
      <c r="A89" s="77" t="s">
        <v>1644</v>
      </c>
      <c r="B89" s="58" t="s">
        <v>1645</v>
      </c>
      <c r="C89" s="58" t="s">
        <v>810</v>
      </c>
      <c r="D89" s="79" t="s">
        <v>677</v>
      </c>
      <c r="F89" s="77" t="s">
        <v>1646</v>
      </c>
      <c r="G89" s="58" t="s">
        <v>1647</v>
      </c>
      <c r="H89" s="58" t="s">
        <v>685</v>
      </c>
      <c r="I89" s="79" t="s">
        <v>697</v>
      </c>
      <c r="J89" s="80"/>
      <c r="K89" s="77" t="s">
        <v>1648</v>
      </c>
      <c r="L89" s="58" t="s">
        <v>1649</v>
      </c>
      <c r="M89" s="58" t="s">
        <v>698</v>
      </c>
      <c r="N89" s="79" t="s">
        <v>703</v>
      </c>
      <c r="O89" s="84"/>
    </row>
    <row r="90">
      <c r="A90" s="77" t="s">
        <v>1650</v>
      </c>
      <c r="B90" s="58" t="s">
        <v>1651</v>
      </c>
      <c r="C90" s="58" t="s">
        <v>678</v>
      </c>
      <c r="D90" s="78" t="s">
        <v>1652</v>
      </c>
      <c r="E90" s="7"/>
      <c r="F90" s="77" t="s">
        <v>1653</v>
      </c>
      <c r="G90" s="58" t="s">
        <v>1654</v>
      </c>
      <c r="H90" s="58" t="s">
        <v>722</v>
      </c>
      <c r="I90" s="81" t="s">
        <v>1655</v>
      </c>
      <c r="J90" s="85"/>
      <c r="K90" s="77" t="s">
        <v>1656</v>
      </c>
      <c r="L90" s="58" t="s">
        <v>1657</v>
      </c>
      <c r="M90" s="58" t="s">
        <v>717</v>
      </c>
      <c r="N90" s="79" t="s">
        <v>703</v>
      </c>
      <c r="O90" s="84"/>
    </row>
    <row r="91">
      <c r="A91" s="77" t="s">
        <v>1658</v>
      </c>
      <c r="B91" s="58" t="s">
        <v>1659</v>
      </c>
      <c r="C91" s="58" t="s">
        <v>688</v>
      </c>
      <c r="D91" s="79" t="s">
        <v>677</v>
      </c>
      <c r="F91" s="77" t="s">
        <v>1660</v>
      </c>
      <c r="G91" s="58" t="s">
        <v>1139</v>
      </c>
      <c r="H91" s="58" t="s">
        <v>810</v>
      </c>
      <c r="I91" s="79" t="s">
        <v>697</v>
      </c>
      <c r="J91" s="80"/>
      <c r="K91" s="77" t="s">
        <v>1661</v>
      </c>
      <c r="L91" s="58" t="s">
        <v>1662</v>
      </c>
      <c r="M91" s="58" t="s">
        <v>715</v>
      </c>
      <c r="N91" s="79" t="s">
        <v>703</v>
      </c>
      <c r="O91" s="84"/>
    </row>
    <row r="92">
      <c r="A92" s="77" t="s">
        <v>1663</v>
      </c>
      <c r="B92" s="58" t="s">
        <v>1664</v>
      </c>
      <c r="C92" s="58" t="s">
        <v>810</v>
      </c>
      <c r="D92" s="79" t="s">
        <v>677</v>
      </c>
      <c r="F92" s="77" t="s">
        <v>1665</v>
      </c>
      <c r="G92" s="58" t="s">
        <v>1139</v>
      </c>
      <c r="H92" s="58" t="s">
        <v>810</v>
      </c>
      <c r="I92" s="79" t="s">
        <v>697</v>
      </c>
      <c r="J92" s="80"/>
      <c r="K92" s="77" t="s">
        <v>1666</v>
      </c>
      <c r="L92" s="58" t="s">
        <v>1667</v>
      </c>
      <c r="M92" s="58" t="s">
        <v>810</v>
      </c>
      <c r="N92" s="79" t="s">
        <v>703</v>
      </c>
      <c r="O92" s="84"/>
    </row>
    <row r="93">
      <c r="A93" s="77" t="s">
        <v>1668</v>
      </c>
      <c r="B93" s="58" t="s">
        <v>1669</v>
      </c>
      <c r="C93" s="58" t="s">
        <v>667</v>
      </c>
      <c r="D93" s="78" t="s">
        <v>1670</v>
      </c>
      <c r="E93" s="7"/>
      <c r="F93" s="77" t="s">
        <v>1671</v>
      </c>
      <c r="G93" s="58" t="s">
        <v>1139</v>
      </c>
      <c r="H93" s="58" t="s">
        <v>810</v>
      </c>
      <c r="I93" s="79" t="s">
        <v>697</v>
      </c>
      <c r="J93" s="80"/>
      <c r="K93" s="77" t="s">
        <v>1672</v>
      </c>
      <c r="L93" s="58" t="s">
        <v>1673</v>
      </c>
      <c r="M93" s="58" t="s">
        <v>670</v>
      </c>
      <c r="N93" s="79" t="s">
        <v>703</v>
      </c>
      <c r="O93" s="84"/>
    </row>
    <row r="94">
      <c r="A94" s="77" t="s">
        <v>1674</v>
      </c>
      <c r="B94" s="58" t="s">
        <v>1319</v>
      </c>
      <c r="C94" s="58" t="s">
        <v>810</v>
      </c>
      <c r="D94" s="79" t="s">
        <v>677</v>
      </c>
      <c r="F94" s="77" t="s">
        <v>1675</v>
      </c>
      <c r="G94" s="58" t="s">
        <v>1139</v>
      </c>
      <c r="H94" s="58" t="s">
        <v>810</v>
      </c>
      <c r="I94" s="79" t="s">
        <v>697</v>
      </c>
      <c r="J94" s="80"/>
      <c r="K94" s="77" t="s">
        <v>1676</v>
      </c>
      <c r="L94" s="58" t="s">
        <v>1677</v>
      </c>
      <c r="M94" s="58" t="s">
        <v>690</v>
      </c>
      <c r="N94" s="79" t="s">
        <v>703</v>
      </c>
      <c r="O94" s="84"/>
    </row>
    <row r="95">
      <c r="A95" s="77" t="s">
        <v>1678</v>
      </c>
      <c r="B95" s="58" t="s">
        <v>1679</v>
      </c>
      <c r="C95" s="58" t="s">
        <v>676</v>
      </c>
      <c r="D95" s="79" t="s">
        <v>677</v>
      </c>
      <c r="F95" s="77" t="s">
        <v>1680</v>
      </c>
      <c r="G95" s="58" t="s">
        <v>1139</v>
      </c>
      <c r="H95" s="58" t="s">
        <v>810</v>
      </c>
      <c r="I95" s="79" t="s">
        <v>697</v>
      </c>
      <c r="J95" s="50"/>
      <c r="K95" s="50"/>
    </row>
    <row r="96">
      <c r="A96" s="77" t="s">
        <v>1681</v>
      </c>
      <c r="B96" s="58" t="s">
        <v>1682</v>
      </c>
      <c r="C96" s="58" t="s">
        <v>810</v>
      </c>
      <c r="D96" s="79" t="s">
        <v>677</v>
      </c>
      <c r="F96" s="77" t="s">
        <v>1683</v>
      </c>
      <c r="G96" s="58" t="s">
        <v>1684</v>
      </c>
      <c r="H96" s="58" t="s">
        <v>698</v>
      </c>
      <c r="I96" s="79" t="s">
        <v>697</v>
      </c>
      <c r="J96" s="50"/>
      <c r="K96" s="50"/>
    </row>
    <row r="97">
      <c r="A97" s="77" t="s">
        <v>1685</v>
      </c>
      <c r="B97" s="58" t="s">
        <v>1686</v>
      </c>
      <c r="C97" s="58" t="s">
        <v>685</v>
      </c>
      <c r="D97" s="79" t="s">
        <v>677</v>
      </c>
      <c r="F97" s="77" t="s">
        <v>1687</v>
      </c>
      <c r="G97" s="58" t="s">
        <v>1139</v>
      </c>
      <c r="H97" s="58" t="s">
        <v>810</v>
      </c>
      <c r="I97" s="79" t="s">
        <v>697</v>
      </c>
      <c r="J97" s="50"/>
      <c r="K97" s="50"/>
    </row>
    <row r="98">
      <c r="A98" s="77" t="s">
        <v>1688</v>
      </c>
      <c r="B98" s="58" t="s">
        <v>1689</v>
      </c>
      <c r="C98" s="58" t="s">
        <v>685</v>
      </c>
      <c r="D98" s="79" t="s">
        <v>677</v>
      </c>
      <c r="F98" s="77" t="s">
        <v>1690</v>
      </c>
      <c r="G98" s="58" t="s">
        <v>1691</v>
      </c>
      <c r="H98" s="58" t="s">
        <v>715</v>
      </c>
      <c r="I98" s="81" t="s">
        <v>1692</v>
      </c>
      <c r="J98" s="50"/>
      <c r="K98" s="50"/>
    </row>
    <row r="99">
      <c r="A99" s="77" t="s">
        <v>1693</v>
      </c>
      <c r="B99" s="58" t="s">
        <v>1694</v>
      </c>
      <c r="C99" s="58" t="s">
        <v>690</v>
      </c>
      <c r="D99" s="79" t="s">
        <v>677</v>
      </c>
      <c r="F99" s="77" t="s">
        <v>1695</v>
      </c>
      <c r="G99" s="58" t="s">
        <v>1696</v>
      </c>
      <c r="H99" s="58" t="s">
        <v>678</v>
      </c>
      <c r="I99" s="81" t="s">
        <v>1697</v>
      </c>
      <c r="J99" s="50"/>
      <c r="K99" s="50"/>
    </row>
    <row r="100">
      <c r="A100" s="77" t="s">
        <v>1698</v>
      </c>
      <c r="B100" s="58" t="s">
        <v>1699</v>
      </c>
      <c r="C100" s="58" t="s">
        <v>693</v>
      </c>
      <c r="D100" s="79" t="s">
        <v>677</v>
      </c>
      <c r="F100" s="77" t="s">
        <v>1700</v>
      </c>
      <c r="G100" s="58" t="s">
        <v>1701</v>
      </c>
      <c r="H100" s="58" t="s">
        <v>715</v>
      </c>
      <c r="I100" s="81" t="s">
        <v>1702</v>
      </c>
      <c r="J100" s="50"/>
      <c r="K100" s="50"/>
    </row>
    <row r="101">
      <c r="A101" s="77" t="s">
        <v>1703</v>
      </c>
      <c r="B101" s="58" t="s">
        <v>1704</v>
      </c>
      <c r="C101" s="58" t="s">
        <v>676</v>
      </c>
      <c r="D101" s="79" t="s">
        <v>677</v>
      </c>
      <c r="F101" s="77" t="s">
        <v>1705</v>
      </c>
      <c r="G101" s="58" t="s">
        <v>1706</v>
      </c>
      <c r="H101" s="58" t="s">
        <v>698</v>
      </c>
      <c r="I101" s="81" t="s">
        <v>1707</v>
      </c>
      <c r="J101" s="50"/>
      <c r="K101" s="50"/>
    </row>
    <row r="102">
      <c r="A102" s="77" t="s">
        <v>1708</v>
      </c>
      <c r="B102" s="58" t="s">
        <v>1709</v>
      </c>
      <c r="C102" s="58" t="s">
        <v>693</v>
      </c>
      <c r="D102" s="79" t="s">
        <v>677</v>
      </c>
      <c r="F102" s="77" t="s">
        <v>1710</v>
      </c>
      <c r="G102" s="58" t="s">
        <v>1711</v>
      </c>
      <c r="H102" s="58" t="s">
        <v>1712</v>
      </c>
      <c r="I102" s="81" t="s">
        <v>1713</v>
      </c>
      <c r="J102" s="50"/>
      <c r="K102" s="50"/>
    </row>
    <row r="103">
      <c r="A103" s="50"/>
      <c r="D103" s="50"/>
      <c r="F103" s="77" t="s">
        <v>1714</v>
      </c>
      <c r="G103" s="58" t="s">
        <v>1715</v>
      </c>
      <c r="H103" s="58" t="s">
        <v>688</v>
      </c>
      <c r="I103" s="81" t="s">
        <v>1716</v>
      </c>
      <c r="J103" s="50"/>
      <c r="K103" s="50"/>
    </row>
    <row r="104">
      <c r="A104" s="50"/>
      <c r="D104" s="50"/>
      <c r="F104" s="77" t="s">
        <v>1717</v>
      </c>
      <c r="G104" s="58" t="s">
        <v>1571</v>
      </c>
      <c r="H104" s="58" t="s">
        <v>667</v>
      </c>
      <c r="I104" s="81" t="s">
        <v>1718</v>
      </c>
      <c r="J104" s="50"/>
      <c r="K104" s="50"/>
    </row>
    <row r="105">
      <c r="A105" s="50"/>
      <c r="D105" s="50"/>
      <c r="F105" s="77" t="s">
        <v>1719</v>
      </c>
      <c r="G105" s="58" t="s">
        <v>1720</v>
      </c>
      <c r="H105" s="58" t="s">
        <v>690</v>
      </c>
      <c r="I105" s="81" t="s">
        <v>1721</v>
      </c>
      <c r="J105" s="50"/>
      <c r="K105" s="50"/>
    </row>
    <row r="106">
      <c r="A106" s="50"/>
      <c r="D106" s="50"/>
      <c r="F106" s="77" t="s">
        <v>1722</v>
      </c>
      <c r="G106" s="58" t="s">
        <v>1723</v>
      </c>
      <c r="H106" s="58" t="s">
        <v>704</v>
      </c>
      <c r="I106" s="79" t="s">
        <v>697</v>
      </c>
      <c r="J106" s="50"/>
      <c r="K106" s="50"/>
    </row>
    <row r="107">
      <c r="A107" s="50"/>
      <c r="D107" s="50"/>
      <c r="F107" s="77" t="s">
        <v>1724</v>
      </c>
      <c r="G107" s="58" t="s">
        <v>1725</v>
      </c>
      <c r="H107" s="58" t="s">
        <v>688</v>
      </c>
      <c r="I107" s="79" t="s">
        <v>697</v>
      </c>
      <c r="J107" s="50"/>
      <c r="K107" s="50"/>
    </row>
    <row r="108">
      <c r="A108" s="50"/>
      <c r="D108" s="50"/>
      <c r="F108" s="77" t="s">
        <v>1726</v>
      </c>
      <c r="G108" s="58" t="s">
        <v>1664</v>
      </c>
      <c r="H108" s="58" t="s">
        <v>810</v>
      </c>
      <c r="I108" s="79" t="s">
        <v>697</v>
      </c>
      <c r="J108" s="50"/>
      <c r="K108" s="50"/>
    </row>
    <row r="109">
      <c r="A109" s="50"/>
      <c r="D109" s="50"/>
      <c r="F109" s="77" t="s">
        <v>1727</v>
      </c>
      <c r="G109" s="58" t="s">
        <v>1728</v>
      </c>
      <c r="H109" s="58" t="s">
        <v>676</v>
      </c>
      <c r="I109" s="79" t="s">
        <v>697</v>
      </c>
      <c r="J109" s="50"/>
      <c r="K109" s="50"/>
    </row>
    <row r="110">
      <c r="A110" s="50"/>
      <c r="D110" s="50"/>
      <c r="F110" s="77" t="s">
        <v>1729</v>
      </c>
      <c r="G110" s="58" t="s">
        <v>1730</v>
      </c>
      <c r="H110" s="58" t="s">
        <v>667</v>
      </c>
      <c r="I110" s="81" t="s">
        <v>1731</v>
      </c>
      <c r="J110" s="50"/>
      <c r="K110" s="50"/>
    </row>
    <row r="111">
      <c r="A111" s="50"/>
      <c r="D111" s="50"/>
      <c r="F111" s="77" t="s">
        <v>1732</v>
      </c>
      <c r="G111" s="58" t="s">
        <v>1733</v>
      </c>
      <c r="H111" s="58" t="s">
        <v>699</v>
      </c>
      <c r="I111" s="81" t="s">
        <v>1734</v>
      </c>
      <c r="J111" s="50"/>
      <c r="K111" s="50"/>
    </row>
    <row r="112">
      <c r="A112" s="50"/>
      <c r="D112" s="50"/>
      <c r="F112" s="77" t="s">
        <v>1735</v>
      </c>
      <c r="G112" s="58" t="s">
        <v>1736</v>
      </c>
      <c r="H112" s="58" t="s">
        <v>673</v>
      </c>
      <c r="I112" s="81" t="s">
        <v>1737</v>
      </c>
      <c r="J112" s="50"/>
      <c r="K112" s="50"/>
    </row>
    <row r="113">
      <c r="A113" s="50"/>
      <c r="D113" s="50"/>
      <c r="F113" s="77" t="s">
        <v>1738</v>
      </c>
      <c r="G113" s="58" t="s">
        <v>1739</v>
      </c>
      <c r="H113" s="58" t="s">
        <v>688</v>
      </c>
      <c r="I113" s="81" t="s">
        <v>1740</v>
      </c>
      <c r="J113" s="50"/>
      <c r="K113" s="50"/>
    </row>
    <row r="114">
      <c r="A114" s="50"/>
      <c r="D114" s="50"/>
      <c r="F114" s="77" t="s">
        <v>1741</v>
      </c>
      <c r="G114" s="58" t="s">
        <v>1679</v>
      </c>
      <c r="H114" s="58" t="s">
        <v>676</v>
      </c>
      <c r="I114" s="79" t="s">
        <v>697</v>
      </c>
      <c r="J114" s="50"/>
      <c r="K114" s="50"/>
    </row>
    <row r="115">
      <c r="A115" s="50"/>
      <c r="D115" s="50"/>
      <c r="F115" s="77" t="s">
        <v>1742</v>
      </c>
      <c r="G115" s="58" t="s">
        <v>1743</v>
      </c>
      <c r="H115" s="58" t="s">
        <v>704</v>
      </c>
      <c r="I115" s="81" t="s">
        <v>1744</v>
      </c>
      <c r="J115" s="50"/>
      <c r="K115" s="50"/>
    </row>
    <row r="116">
      <c r="A116" s="50"/>
      <c r="D116" s="50"/>
      <c r="F116" s="77" t="s">
        <v>1745</v>
      </c>
      <c r="G116" s="58" t="s">
        <v>1746</v>
      </c>
      <c r="H116" s="58" t="s">
        <v>688</v>
      </c>
      <c r="I116" s="79" t="s">
        <v>697</v>
      </c>
      <c r="J116" s="50"/>
      <c r="K116" s="50"/>
    </row>
    <row r="117">
      <c r="A117" s="50"/>
      <c r="D117" s="50"/>
      <c r="F117" s="77" t="s">
        <v>1747</v>
      </c>
      <c r="G117" s="58" t="s">
        <v>1343</v>
      </c>
      <c r="H117" s="58" t="s">
        <v>698</v>
      </c>
      <c r="I117" s="81" t="s">
        <v>1748</v>
      </c>
      <c r="J117" s="50"/>
      <c r="K117" s="50"/>
    </row>
    <row r="118">
      <c r="A118" s="50"/>
      <c r="D118" s="50"/>
      <c r="F118" s="77" t="s">
        <v>1749</v>
      </c>
      <c r="G118" s="58" t="s">
        <v>1750</v>
      </c>
      <c r="H118" s="58" t="s">
        <v>688</v>
      </c>
      <c r="I118" s="81" t="s">
        <v>1751</v>
      </c>
      <c r="J118" s="50"/>
      <c r="K118" s="50"/>
    </row>
    <row r="119">
      <c r="A119" s="50"/>
      <c r="D119" s="50"/>
      <c r="F119" s="77" t="s">
        <v>1752</v>
      </c>
      <c r="G119" s="58" t="s">
        <v>1753</v>
      </c>
      <c r="H119" s="58" t="s">
        <v>670</v>
      </c>
      <c r="I119" s="81" t="s">
        <v>1754</v>
      </c>
      <c r="J119" s="50"/>
      <c r="K119" s="50"/>
    </row>
    <row r="120">
      <c r="A120" s="50"/>
      <c r="D120" s="50"/>
      <c r="F120" s="77" t="s">
        <v>1755</v>
      </c>
      <c r="G120" s="58" t="s">
        <v>1756</v>
      </c>
      <c r="H120" s="58" t="s">
        <v>810</v>
      </c>
      <c r="I120" s="79" t="s">
        <v>697</v>
      </c>
      <c r="J120" s="50"/>
      <c r="K120" s="50"/>
    </row>
    <row r="121">
      <c r="A121" s="50"/>
      <c r="D121" s="50"/>
      <c r="F121" s="77" t="s">
        <v>1757</v>
      </c>
      <c r="G121" s="58" t="s">
        <v>1758</v>
      </c>
      <c r="H121" s="58" t="s">
        <v>667</v>
      </c>
      <c r="I121" s="81" t="s">
        <v>1759</v>
      </c>
      <c r="J121" s="50"/>
      <c r="K121" s="50"/>
    </row>
    <row r="122">
      <c r="A122" s="50"/>
      <c r="D122" s="50"/>
      <c r="F122" s="77" t="s">
        <v>1760</v>
      </c>
      <c r="G122" s="58" t="s">
        <v>1368</v>
      </c>
      <c r="H122" s="58" t="s">
        <v>685</v>
      </c>
      <c r="I122" s="81" t="s">
        <v>1761</v>
      </c>
      <c r="J122" s="50"/>
      <c r="K122" s="50"/>
    </row>
    <row r="123">
      <c r="A123" s="50"/>
      <c r="D123" s="50"/>
      <c r="F123" s="77" t="s">
        <v>1762</v>
      </c>
      <c r="G123" s="58" t="s">
        <v>1763</v>
      </c>
      <c r="H123" s="58" t="s">
        <v>690</v>
      </c>
      <c r="I123" s="81" t="s">
        <v>1764</v>
      </c>
      <c r="J123" s="50"/>
      <c r="K123" s="50"/>
    </row>
    <row r="124">
      <c r="A124" s="50"/>
      <c r="D124" s="50"/>
      <c r="F124" s="77" t="s">
        <v>1765</v>
      </c>
      <c r="G124" s="58" t="s">
        <v>1766</v>
      </c>
      <c r="H124" s="58" t="s">
        <v>698</v>
      </c>
      <c r="I124" s="79" t="s">
        <v>697</v>
      </c>
      <c r="J124" s="50"/>
      <c r="K124" s="50"/>
    </row>
    <row r="125">
      <c r="A125" s="50"/>
      <c r="D125" s="50"/>
      <c r="F125" s="77" t="s">
        <v>1767</v>
      </c>
      <c r="G125" s="58" t="s">
        <v>1768</v>
      </c>
      <c r="H125" s="58" t="s">
        <v>810</v>
      </c>
      <c r="I125" s="79" t="s">
        <v>697</v>
      </c>
      <c r="J125" s="50"/>
      <c r="K125" s="50"/>
    </row>
    <row r="126">
      <c r="A126" s="50"/>
      <c r="D126" s="50"/>
      <c r="F126" s="77" t="s">
        <v>1769</v>
      </c>
      <c r="G126" s="58" t="s">
        <v>1770</v>
      </c>
      <c r="H126" s="58" t="s">
        <v>698</v>
      </c>
      <c r="I126" s="79" t="s">
        <v>697</v>
      </c>
      <c r="J126" s="50"/>
      <c r="K126" s="50"/>
    </row>
    <row r="127">
      <c r="A127" s="50"/>
      <c r="D127" s="50"/>
      <c r="F127" s="77" t="s">
        <v>1771</v>
      </c>
      <c r="G127" s="58" t="s">
        <v>1772</v>
      </c>
      <c r="H127" s="58" t="s">
        <v>685</v>
      </c>
      <c r="I127" s="79" t="s">
        <v>697</v>
      </c>
      <c r="J127" s="50"/>
      <c r="K127" s="50"/>
    </row>
    <row r="128">
      <c r="A128" s="50"/>
      <c r="D128" s="50"/>
      <c r="F128" s="77" t="s">
        <v>1773</v>
      </c>
      <c r="G128" s="58" t="s">
        <v>1774</v>
      </c>
      <c r="H128" s="58" t="s">
        <v>688</v>
      </c>
      <c r="I128" s="79" t="s">
        <v>697</v>
      </c>
      <c r="J128" s="50"/>
      <c r="K128" s="50"/>
    </row>
    <row r="129">
      <c r="A129" s="50"/>
      <c r="D129" s="50"/>
      <c r="F129" s="77" t="s">
        <v>1775</v>
      </c>
      <c r="G129" s="58" t="s">
        <v>1776</v>
      </c>
      <c r="H129" s="58" t="s">
        <v>678</v>
      </c>
      <c r="I129" s="79" t="s">
        <v>697</v>
      </c>
      <c r="J129" s="50"/>
      <c r="K129" s="50"/>
    </row>
    <row r="130">
      <c r="A130" s="50"/>
      <c r="D130" s="50"/>
      <c r="F130" s="50"/>
      <c r="J130" s="50"/>
      <c r="K130" s="50"/>
    </row>
    <row r="131">
      <c r="A131" s="2" t="s">
        <v>31</v>
      </c>
      <c r="D131" s="50"/>
      <c r="F131" s="2" t="s">
        <v>58</v>
      </c>
      <c r="J131" s="2"/>
      <c r="K131" s="2" t="s">
        <v>128</v>
      </c>
    </row>
    <row r="132">
      <c r="A132" s="77" t="s">
        <v>1777</v>
      </c>
      <c r="B132" s="58" t="s">
        <v>1778</v>
      </c>
      <c r="C132" s="58" t="s">
        <v>685</v>
      </c>
      <c r="D132" s="78" t="s">
        <v>1779</v>
      </c>
      <c r="E132" s="7"/>
      <c r="F132" s="77" t="s">
        <v>1780</v>
      </c>
      <c r="G132" s="58" t="s">
        <v>1781</v>
      </c>
      <c r="H132" s="58" t="s">
        <v>723</v>
      </c>
      <c r="I132" s="81" t="s">
        <v>1782</v>
      </c>
      <c r="J132" s="85"/>
      <c r="K132" s="77" t="s">
        <v>1783</v>
      </c>
      <c r="L132" s="58" t="s">
        <v>1784</v>
      </c>
      <c r="M132" s="58" t="s">
        <v>717</v>
      </c>
      <c r="N132" s="81" t="s">
        <v>1785</v>
      </c>
      <c r="O132" s="82"/>
    </row>
    <row r="133">
      <c r="A133" s="77" t="s">
        <v>1786</v>
      </c>
      <c r="B133" s="58" t="s">
        <v>1787</v>
      </c>
      <c r="C133" s="58" t="s">
        <v>678</v>
      </c>
      <c r="D133" s="78" t="s">
        <v>1788</v>
      </c>
      <c r="E133" s="7"/>
      <c r="F133" s="77" t="s">
        <v>1789</v>
      </c>
      <c r="G133" s="58" t="s">
        <v>1790</v>
      </c>
      <c r="H133" s="58" t="s">
        <v>690</v>
      </c>
      <c r="I133" s="79" t="s">
        <v>708</v>
      </c>
      <c r="J133" s="80"/>
      <c r="K133" s="77" t="s">
        <v>1791</v>
      </c>
      <c r="L133" s="58" t="s">
        <v>1792</v>
      </c>
      <c r="M133" s="58" t="s">
        <v>693</v>
      </c>
      <c r="N133" s="81" t="s">
        <v>1793</v>
      </c>
      <c r="O133" s="82"/>
    </row>
    <row r="134">
      <c r="A134" s="77" t="s">
        <v>1794</v>
      </c>
      <c r="B134" s="58" t="s">
        <v>1795</v>
      </c>
      <c r="C134" s="58" t="s">
        <v>727</v>
      </c>
      <c r="D134" s="78" t="s">
        <v>1796</v>
      </c>
      <c r="E134" s="7"/>
      <c r="F134" s="77" t="s">
        <v>1797</v>
      </c>
      <c r="G134" s="58" t="s">
        <v>1798</v>
      </c>
      <c r="H134" s="58" t="s">
        <v>810</v>
      </c>
      <c r="I134" s="79" t="s">
        <v>708</v>
      </c>
      <c r="J134" s="80"/>
      <c r="K134" s="77" t="s">
        <v>1799</v>
      </c>
      <c r="L134" s="58" t="s">
        <v>1800</v>
      </c>
      <c r="M134" s="58" t="s">
        <v>712</v>
      </c>
      <c r="N134" s="79" t="s">
        <v>706</v>
      </c>
      <c r="O134" s="84"/>
    </row>
    <row r="135">
      <c r="A135" s="77" t="s">
        <v>1801</v>
      </c>
      <c r="B135" s="58" t="s">
        <v>1802</v>
      </c>
      <c r="C135" s="58" t="s">
        <v>810</v>
      </c>
      <c r="D135" s="79" t="s">
        <v>701</v>
      </c>
      <c r="F135" s="77" t="s">
        <v>1803</v>
      </c>
      <c r="G135" s="58" t="s">
        <v>1804</v>
      </c>
      <c r="H135" s="58" t="s">
        <v>678</v>
      </c>
      <c r="I135" s="79" t="s">
        <v>708</v>
      </c>
      <c r="J135" s="80"/>
      <c r="K135" s="77" t="s">
        <v>1805</v>
      </c>
      <c r="L135" s="58" t="s">
        <v>1806</v>
      </c>
      <c r="M135" s="58" t="s">
        <v>810</v>
      </c>
      <c r="N135" s="79" t="s">
        <v>706</v>
      </c>
      <c r="O135" s="84"/>
    </row>
    <row r="136">
      <c r="A136" s="77" t="s">
        <v>1807</v>
      </c>
      <c r="B136" s="58" t="s">
        <v>1808</v>
      </c>
      <c r="C136" s="58" t="s">
        <v>810</v>
      </c>
      <c r="D136" s="79" t="s">
        <v>701</v>
      </c>
      <c r="F136" s="77" t="s">
        <v>1809</v>
      </c>
      <c r="G136" s="58" t="s">
        <v>1810</v>
      </c>
      <c r="H136" s="58" t="s">
        <v>693</v>
      </c>
      <c r="I136" s="79" t="s">
        <v>708</v>
      </c>
      <c r="J136" s="80"/>
      <c r="K136" s="77" t="s">
        <v>1811</v>
      </c>
      <c r="L136" s="58" t="s">
        <v>1402</v>
      </c>
      <c r="M136" s="58" t="s">
        <v>720</v>
      </c>
      <c r="N136" s="81" t="s">
        <v>1812</v>
      </c>
      <c r="O136" s="82"/>
    </row>
    <row r="137">
      <c r="A137" s="77" t="s">
        <v>1813</v>
      </c>
      <c r="B137" s="58" t="s">
        <v>1814</v>
      </c>
      <c r="C137" s="58" t="s">
        <v>810</v>
      </c>
      <c r="D137" s="79" t="s">
        <v>701</v>
      </c>
      <c r="F137" s="77" t="s">
        <v>1815</v>
      </c>
      <c r="G137" s="58" t="s">
        <v>1816</v>
      </c>
      <c r="H137" s="58" t="s">
        <v>688</v>
      </c>
      <c r="I137" s="79" t="s">
        <v>708</v>
      </c>
      <c r="J137" s="80"/>
      <c r="K137" s="77" t="s">
        <v>1817</v>
      </c>
      <c r="L137" s="58" t="s">
        <v>1818</v>
      </c>
      <c r="M137" s="58" t="s">
        <v>717</v>
      </c>
      <c r="N137" s="81" t="s">
        <v>1819</v>
      </c>
      <c r="O137" s="82"/>
    </row>
    <row r="138">
      <c r="A138" s="77" t="s">
        <v>1820</v>
      </c>
      <c r="B138" s="58" t="s">
        <v>1139</v>
      </c>
      <c r="C138" s="58" t="s">
        <v>810</v>
      </c>
      <c r="D138" s="79" t="s">
        <v>701</v>
      </c>
      <c r="F138" s="77" t="s">
        <v>1821</v>
      </c>
      <c r="G138" s="58" t="s">
        <v>1139</v>
      </c>
      <c r="H138" s="58" t="s">
        <v>810</v>
      </c>
      <c r="I138" s="79" t="s">
        <v>708</v>
      </c>
      <c r="J138" s="80"/>
      <c r="K138" s="77" t="s">
        <v>1822</v>
      </c>
      <c r="L138" s="58" t="s">
        <v>1823</v>
      </c>
      <c r="M138" s="58" t="s">
        <v>693</v>
      </c>
      <c r="N138" s="81" t="s">
        <v>1824</v>
      </c>
      <c r="O138" s="82"/>
    </row>
    <row r="139">
      <c r="A139" s="77" t="s">
        <v>1825</v>
      </c>
      <c r="B139" s="58" t="s">
        <v>1139</v>
      </c>
      <c r="C139" s="58" t="s">
        <v>810</v>
      </c>
      <c r="D139" s="79" t="s">
        <v>701</v>
      </c>
      <c r="F139" s="77" t="s">
        <v>1826</v>
      </c>
      <c r="G139" s="58" t="s">
        <v>1139</v>
      </c>
      <c r="H139" s="58" t="s">
        <v>810</v>
      </c>
      <c r="I139" s="79" t="s">
        <v>708</v>
      </c>
      <c r="J139" s="80"/>
      <c r="K139" s="77" t="s">
        <v>1827</v>
      </c>
      <c r="L139" s="58" t="s">
        <v>1828</v>
      </c>
      <c r="M139" s="58" t="s">
        <v>810</v>
      </c>
      <c r="N139" s="79" t="s">
        <v>706</v>
      </c>
      <c r="O139" s="84"/>
    </row>
    <row r="140">
      <c r="A140" s="77" t="s">
        <v>1829</v>
      </c>
      <c r="B140" s="58" t="s">
        <v>1830</v>
      </c>
      <c r="C140" s="58" t="s">
        <v>720</v>
      </c>
      <c r="D140" s="78" t="s">
        <v>1831</v>
      </c>
      <c r="E140" s="7"/>
      <c r="F140" s="77" t="s">
        <v>1832</v>
      </c>
      <c r="G140" s="58" t="s">
        <v>1833</v>
      </c>
      <c r="H140" s="58" t="s">
        <v>719</v>
      </c>
      <c r="I140" s="81" t="s">
        <v>1834</v>
      </c>
      <c r="J140" s="85"/>
      <c r="K140" s="77" t="s">
        <v>1835</v>
      </c>
      <c r="L140" s="58" t="s">
        <v>1836</v>
      </c>
      <c r="M140" s="58" t="s">
        <v>712</v>
      </c>
      <c r="N140" s="79" t="s">
        <v>706</v>
      </c>
      <c r="O140" s="84"/>
    </row>
    <row r="141">
      <c r="A141" s="77" t="s">
        <v>1837</v>
      </c>
      <c r="B141" s="58" t="s">
        <v>1838</v>
      </c>
      <c r="C141" s="58" t="s">
        <v>720</v>
      </c>
      <c r="D141" s="78" t="s">
        <v>1839</v>
      </c>
      <c r="E141" s="7"/>
      <c r="F141" s="77" t="s">
        <v>1840</v>
      </c>
      <c r="G141" s="58" t="s">
        <v>1841</v>
      </c>
      <c r="H141" s="58" t="s">
        <v>729</v>
      </c>
      <c r="I141" s="81" t="s">
        <v>1842</v>
      </c>
      <c r="J141" s="85"/>
      <c r="K141" s="77" t="s">
        <v>1843</v>
      </c>
      <c r="L141" s="58" t="s">
        <v>1844</v>
      </c>
      <c r="M141" s="58" t="s">
        <v>723</v>
      </c>
      <c r="N141" s="79" t="s">
        <v>706</v>
      </c>
      <c r="O141" s="84"/>
    </row>
    <row r="142">
      <c r="A142" s="77" t="s">
        <v>1845</v>
      </c>
      <c r="B142" s="58" t="s">
        <v>1312</v>
      </c>
      <c r="C142" s="58" t="s">
        <v>693</v>
      </c>
      <c r="D142" s="78" t="s">
        <v>1846</v>
      </c>
      <c r="E142" s="7"/>
      <c r="F142" s="77" t="s">
        <v>1847</v>
      </c>
      <c r="G142" s="58" t="s">
        <v>1848</v>
      </c>
      <c r="H142" s="58" t="s">
        <v>720</v>
      </c>
      <c r="I142" s="81" t="s">
        <v>1849</v>
      </c>
      <c r="J142" s="85"/>
      <c r="K142" s="77" t="s">
        <v>1850</v>
      </c>
      <c r="L142" s="58" t="s">
        <v>1851</v>
      </c>
      <c r="M142" s="58" t="s">
        <v>715</v>
      </c>
      <c r="N142" s="81" t="s">
        <v>1852</v>
      </c>
      <c r="O142" s="82"/>
    </row>
    <row r="143">
      <c r="A143" s="77" t="s">
        <v>1853</v>
      </c>
      <c r="B143" s="58" t="s">
        <v>1854</v>
      </c>
      <c r="C143" s="58" t="s">
        <v>690</v>
      </c>
      <c r="D143" s="78" t="s">
        <v>1855</v>
      </c>
      <c r="E143" s="7"/>
      <c r="F143" s="77" t="s">
        <v>1856</v>
      </c>
      <c r="G143" s="58" t="s">
        <v>1857</v>
      </c>
      <c r="H143" s="58" t="s">
        <v>810</v>
      </c>
      <c r="I143" s="81" t="s">
        <v>1858</v>
      </c>
      <c r="J143" s="85"/>
      <c r="K143" s="77" t="s">
        <v>1859</v>
      </c>
      <c r="L143" s="58" t="s">
        <v>1860</v>
      </c>
      <c r="M143" s="58" t="s">
        <v>720</v>
      </c>
      <c r="N143" s="81" t="s">
        <v>1861</v>
      </c>
      <c r="O143" s="82"/>
    </row>
    <row r="144">
      <c r="A144" s="77" t="s">
        <v>1862</v>
      </c>
      <c r="B144" s="58" t="s">
        <v>1863</v>
      </c>
      <c r="C144" s="58" t="s">
        <v>810</v>
      </c>
      <c r="D144" s="79" t="s">
        <v>701</v>
      </c>
      <c r="F144" s="77" t="s">
        <v>1864</v>
      </c>
      <c r="G144" s="58" t="s">
        <v>1865</v>
      </c>
      <c r="H144" s="58" t="s">
        <v>690</v>
      </c>
      <c r="I144" s="79" t="s">
        <v>708</v>
      </c>
      <c r="J144" s="80"/>
      <c r="K144" s="77" t="s">
        <v>1866</v>
      </c>
      <c r="L144" s="58" t="s">
        <v>1867</v>
      </c>
      <c r="M144" s="58" t="s">
        <v>709</v>
      </c>
      <c r="N144" s="79" t="s">
        <v>706</v>
      </c>
      <c r="O144" s="84"/>
    </row>
    <row r="145">
      <c r="A145" s="77" t="s">
        <v>1868</v>
      </c>
      <c r="B145" s="58" t="s">
        <v>1869</v>
      </c>
      <c r="C145" s="58" t="s">
        <v>810</v>
      </c>
      <c r="D145" s="79" t="s">
        <v>701</v>
      </c>
      <c r="F145" s="77" t="s">
        <v>1870</v>
      </c>
      <c r="G145" s="58" t="s">
        <v>1871</v>
      </c>
      <c r="H145" s="58" t="s">
        <v>810</v>
      </c>
      <c r="I145" s="79" t="s">
        <v>708</v>
      </c>
      <c r="J145" s="80"/>
      <c r="K145" s="77" t="s">
        <v>1872</v>
      </c>
      <c r="L145" s="58" t="s">
        <v>1873</v>
      </c>
      <c r="M145" s="58" t="s">
        <v>685</v>
      </c>
      <c r="N145" s="79" t="s">
        <v>706</v>
      </c>
      <c r="O145" s="84"/>
    </row>
    <row r="146">
      <c r="A146" s="77" t="s">
        <v>1874</v>
      </c>
      <c r="B146" s="58" t="s">
        <v>1139</v>
      </c>
      <c r="C146" s="58" t="s">
        <v>810</v>
      </c>
      <c r="D146" s="79" t="s">
        <v>701</v>
      </c>
      <c r="F146" s="77" t="s">
        <v>1875</v>
      </c>
      <c r="G146" s="58" t="s">
        <v>1768</v>
      </c>
      <c r="H146" s="58" t="s">
        <v>810</v>
      </c>
      <c r="I146" s="79" t="s">
        <v>708</v>
      </c>
      <c r="J146" s="80"/>
      <c r="K146" s="77" t="s">
        <v>1876</v>
      </c>
      <c r="L146" s="58" t="s">
        <v>1877</v>
      </c>
      <c r="M146" s="58" t="s">
        <v>810</v>
      </c>
      <c r="N146" s="79" t="s">
        <v>706</v>
      </c>
      <c r="O146" s="84"/>
    </row>
    <row r="147">
      <c r="A147" s="77" t="s">
        <v>1878</v>
      </c>
      <c r="B147" s="58" t="s">
        <v>1879</v>
      </c>
      <c r="C147" s="58" t="s">
        <v>810</v>
      </c>
      <c r="D147" s="79" t="s">
        <v>701</v>
      </c>
      <c r="F147" s="77" t="s">
        <v>1880</v>
      </c>
      <c r="G147" s="58" t="s">
        <v>1881</v>
      </c>
      <c r="H147" s="58" t="s">
        <v>718</v>
      </c>
      <c r="I147" s="79" t="s">
        <v>708</v>
      </c>
      <c r="J147" s="80"/>
      <c r="K147" s="77" t="s">
        <v>1882</v>
      </c>
      <c r="L147" s="58" t="s">
        <v>1883</v>
      </c>
      <c r="M147" s="58" t="s">
        <v>670</v>
      </c>
      <c r="N147" s="79" t="s">
        <v>706</v>
      </c>
      <c r="O147" s="84"/>
    </row>
    <row r="148">
      <c r="A148" s="77" t="s">
        <v>1884</v>
      </c>
      <c r="B148" s="58" t="s">
        <v>1885</v>
      </c>
      <c r="C148" s="58" t="s">
        <v>709</v>
      </c>
      <c r="D148" s="79" t="s">
        <v>701</v>
      </c>
      <c r="F148" s="77" t="s">
        <v>1886</v>
      </c>
      <c r="G148" s="58" t="s">
        <v>1887</v>
      </c>
      <c r="H148" s="58" t="s">
        <v>688</v>
      </c>
      <c r="I148" s="79" t="s">
        <v>708</v>
      </c>
      <c r="J148" s="80"/>
      <c r="K148" s="77" t="s">
        <v>1888</v>
      </c>
      <c r="L148" s="58" t="s">
        <v>1889</v>
      </c>
      <c r="M148" s="58" t="s">
        <v>810</v>
      </c>
      <c r="N148" s="79" t="s">
        <v>706</v>
      </c>
      <c r="O148" s="84"/>
    </row>
    <row r="149">
      <c r="A149" s="77" t="s">
        <v>1890</v>
      </c>
      <c r="B149" s="58" t="s">
        <v>1891</v>
      </c>
      <c r="C149" s="58" t="s">
        <v>676</v>
      </c>
      <c r="D149" s="79" t="s">
        <v>701</v>
      </c>
      <c r="F149" s="77" t="s">
        <v>1892</v>
      </c>
      <c r="G149" s="58" t="s">
        <v>1893</v>
      </c>
      <c r="H149" s="58" t="s">
        <v>810</v>
      </c>
      <c r="I149" s="79" t="s">
        <v>708</v>
      </c>
      <c r="J149" s="80"/>
      <c r="K149" s="77" t="s">
        <v>1894</v>
      </c>
      <c r="L149" s="58" t="s">
        <v>1139</v>
      </c>
      <c r="M149" s="58" t="s">
        <v>810</v>
      </c>
      <c r="N149" s="79" t="s">
        <v>706</v>
      </c>
      <c r="O149" s="84"/>
    </row>
    <row r="150">
      <c r="A150" s="77" t="s">
        <v>1895</v>
      </c>
      <c r="B150" s="58" t="s">
        <v>1896</v>
      </c>
      <c r="C150" s="58" t="s">
        <v>1897</v>
      </c>
      <c r="D150" s="78" t="s">
        <v>1898</v>
      </c>
      <c r="E150" s="7"/>
      <c r="F150" s="77" t="s">
        <v>1899</v>
      </c>
      <c r="G150" s="58" t="s">
        <v>1900</v>
      </c>
      <c r="H150" s="58" t="s">
        <v>705</v>
      </c>
      <c r="I150" s="79" t="s">
        <v>708</v>
      </c>
      <c r="J150" s="80"/>
      <c r="K150" s="77" t="s">
        <v>1901</v>
      </c>
      <c r="L150" s="58" t="s">
        <v>1902</v>
      </c>
      <c r="M150" s="58" t="s">
        <v>699</v>
      </c>
      <c r="N150" s="81" t="s">
        <v>1903</v>
      </c>
      <c r="O150" s="82"/>
    </row>
    <row r="151">
      <c r="A151" s="77" t="s">
        <v>1904</v>
      </c>
      <c r="B151" s="58" t="s">
        <v>1905</v>
      </c>
      <c r="C151" s="58" t="s">
        <v>682</v>
      </c>
      <c r="D151" s="78" t="s">
        <v>1906</v>
      </c>
      <c r="E151" s="7"/>
      <c r="F151" s="77" t="s">
        <v>1907</v>
      </c>
      <c r="G151" s="58" t="s">
        <v>1908</v>
      </c>
      <c r="H151" s="58" t="s">
        <v>704</v>
      </c>
      <c r="I151" s="81" t="s">
        <v>1909</v>
      </c>
      <c r="J151" s="85"/>
      <c r="K151" s="77" t="s">
        <v>1910</v>
      </c>
      <c r="L151" s="58" t="s">
        <v>1720</v>
      </c>
      <c r="M151" s="58" t="s">
        <v>690</v>
      </c>
      <c r="N151" s="81" t="s">
        <v>1911</v>
      </c>
      <c r="O151" s="82"/>
    </row>
    <row r="152">
      <c r="A152" s="77" t="s">
        <v>1912</v>
      </c>
      <c r="B152" s="58" t="s">
        <v>1913</v>
      </c>
      <c r="C152" s="58" t="s">
        <v>688</v>
      </c>
      <c r="D152" s="78" t="s">
        <v>1914</v>
      </c>
      <c r="E152" s="7"/>
      <c r="F152" s="77" t="s">
        <v>1915</v>
      </c>
      <c r="G152" s="58" t="s">
        <v>1916</v>
      </c>
      <c r="H152" s="58" t="s">
        <v>688</v>
      </c>
      <c r="I152" s="81" t="s">
        <v>1917</v>
      </c>
      <c r="J152" s="85"/>
      <c r="K152" s="77" t="s">
        <v>1918</v>
      </c>
      <c r="L152" s="58" t="s">
        <v>1919</v>
      </c>
      <c r="M152" s="58" t="s">
        <v>690</v>
      </c>
      <c r="N152" s="79" t="s">
        <v>706</v>
      </c>
      <c r="O152" s="84"/>
    </row>
    <row r="153">
      <c r="A153" s="77" t="s">
        <v>1920</v>
      </c>
      <c r="B153" s="58" t="s">
        <v>1921</v>
      </c>
      <c r="C153" s="58" t="s">
        <v>688</v>
      </c>
      <c r="D153" s="78" t="s">
        <v>1922</v>
      </c>
      <c r="E153" s="7"/>
      <c r="F153" s="77" t="s">
        <v>1923</v>
      </c>
      <c r="G153" s="58" t="s">
        <v>1924</v>
      </c>
      <c r="H153" s="58" t="s">
        <v>810</v>
      </c>
      <c r="I153" s="79" t="s">
        <v>708</v>
      </c>
      <c r="J153" s="80"/>
      <c r="K153" s="77" t="s">
        <v>1925</v>
      </c>
      <c r="L153" s="58" t="s">
        <v>1926</v>
      </c>
      <c r="M153" s="58" t="s">
        <v>715</v>
      </c>
      <c r="N153" s="81" t="s">
        <v>1927</v>
      </c>
      <c r="O153" s="82"/>
    </row>
    <row r="154">
      <c r="A154" s="77" t="s">
        <v>1928</v>
      </c>
      <c r="B154" s="58" t="s">
        <v>1929</v>
      </c>
      <c r="C154" s="58" t="s">
        <v>810</v>
      </c>
      <c r="D154" s="79" t="s">
        <v>701</v>
      </c>
      <c r="F154" s="77" t="s">
        <v>1930</v>
      </c>
      <c r="G154" s="58" t="s">
        <v>1931</v>
      </c>
      <c r="H154" s="58" t="s">
        <v>698</v>
      </c>
      <c r="I154" s="81" t="s">
        <v>1932</v>
      </c>
      <c r="J154" s="85"/>
      <c r="K154" s="77" t="s">
        <v>1933</v>
      </c>
      <c r="L154" s="58" t="s">
        <v>1934</v>
      </c>
      <c r="M154" s="58" t="s">
        <v>685</v>
      </c>
      <c r="N154" s="79" t="s">
        <v>706</v>
      </c>
      <c r="O154" s="84"/>
    </row>
    <row r="155">
      <c r="A155" s="77" t="s">
        <v>1935</v>
      </c>
      <c r="B155" s="58" t="s">
        <v>1931</v>
      </c>
      <c r="C155" s="58" t="s">
        <v>698</v>
      </c>
      <c r="D155" s="78" t="s">
        <v>1936</v>
      </c>
      <c r="E155" s="7"/>
      <c r="F155" s="77" t="s">
        <v>1937</v>
      </c>
      <c r="G155" s="58" t="s">
        <v>1938</v>
      </c>
      <c r="H155" s="58" t="s">
        <v>810</v>
      </c>
      <c r="I155" s="79" t="s">
        <v>708</v>
      </c>
      <c r="J155" s="80"/>
      <c r="K155" s="77" t="s">
        <v>1939</v>
      </c>
      <c r="L155" s="58" t="s">
        <v>1264</v>
      </c>
      <c r="M155" s="58" t="s">
        <v>718</v>
      </c>
      <c r="N155" s="81" t="s">
        <v>1940</v>
      </c>
      <c r="O155" s="82"/>
    </row>
    <row r="156">
      <c r="A156" s="77" t="s">
        <v>1941</v>
      </c>
      <c r="B156" s="58" t="s">
        <v>1942</v>
      </c>
      <c r="C156" s="58" t="s">
        <v>685</v>
      </c>
      <c r="D156" s="78" t="s">
        <v>1943</v>
      </c>
      <c r="E156" s="7"/>
      <c r="F156" s="77" t="s">
        <v>1944</v>
      </c>
      <c r="G156" s="58" t="s">
        <v>1945</v>
      </c>
      <c r="H156" s="58" t="s">
        <v>673</v>
      </c>
      <c r="I156" s="81" t="s">
        <v>1946</v>
      </c>
      <c r="J156" s="85"/>
      <c r="K156" s="77" t="s">
        <v>1947</v>
      </c>
      <c r="L156" s="58" t="s">
        <v>1948</v>
      </c>
      <c r="M156" s="58" t="s">
        <v>670</v>
      </c>
      <c r="N156" s="81" t="s">
        <v>1949</v>
      </c>
      <c r="O156" s="82"/>
    </row>
    <row r="157">
      <c r="A157" s="77" t="s">
        <v>1950</v>
      </c>
      <c r="B157" s="58" t="s">
        <v>1951</v>
      </c>
      <c r="C157" s="58" t="s">
        <v>810</v>
      </c>
      <c r="D157" s="79" t="s">
        <v>701</v>
      </c>
      <c r="F157" s="77" t="s">
        <v>1952</v>
      </c>
      <c r="G157" s="58" t="s">
        <v>1139</v>
      </c>
      <c r="H157" s="58" t="s">
        <v>810</v>
      </c>
      <c r="I157" s="79" t="s">
        <v>708</v>
      </c>
      <c r="J157" s="80"/>
      <c r="K157" s="77" t="s">
        <v>1953</v>
      </c>
      <c r="L157" s="58" t="s">
        <v>1954</v>
      </c>
      <c r="M157" s="58" t="s">
        <v>810</v>
      </c>
      <c r="N157" s="81" t="s">
        <v>1955</v>
      </c>
      <c r="O157" s="82"/>
    </row>
    <row r="158">
      <c r="A158" s="77" t="s">
        <v>1956</v>
      </c>
      <c r="B158" s="58" t="s">
        <v>1139</v>
      </c>
      <c r="C158" s="58" t="s">
        <v>810</v>
      </c>
      <c r="D158" s="79" t="s">
        <v>701</v>
      </c>
      <c r="F158" s="77" t="s">
        <v>1957</v>
      </c>
      <c r="G158" s="58" t="s">
        <v>1139</v>
      </c>
      <c r="H158" s="58" t="s">
        <v>810</v>
      </c>
      <c r="I158" s="79" t="s">
        <v>708</v>
      </c>
      <c r="J158" s="80"/>
      <c r="K158" s="77" t="s">
        <v>1958</v>
      </c>
      <c r="L158" s="58" t="s">
        <v>1317</v>
      </c>
      <c r="M158" s="58" t="s">
        <v>673</v>
      </c>
      <c r="N158" s="79" t="s">
        <v>706</v>
      </c>
      <c r="O158" s="84"/>
    </row>
    <row r="159">
      <c r="A159" s="77" t="s">
        <v>1959</v>
      </c>
      <c r="B159" s="58" t="s">
        <v>1960</v>
      </c>
      <c r="C159" s="58" t="s">
        <v>673</v>
      </c>
      <c r="D159" s="78" t="s">
        <v>1961</v>
      </c>
      <c r="E159" s="7"/>
      <c r="F159" s="77" t="s">
        <v>1962</v>
      </c>
      <c r="G159" s="58" t="s">
        <v>1592</v>
      </c>
      <c r="H159" s="58" t="s">
        <v>715</v>
      </c>
      <c r="I159" s="81" t="s">
        <v>1963</v>
      </c>
      <c r="J159" s="85"/>
      <c r="K159" s="77" t="s">
        <v>1964</v>
      </c>
      <c r="L159" s="58" t="s">
        <v>1965</v>
      </c>
      <c r="M159" s="58" t="s">
        <v>670</v>
      </c>
      <c r="N159" s="79" t="s">
        <v>706</v>
      </c>
      <c r="O159" s="84"/>
    </row>
    <row r="160">
      <c r="A160" s="77" t="s">
        <v>1966</v>
      </c>
      <c r="B160" s="58" t="s">
        <v>1967</v>
      </c>
      <c r="C160" s="58" t="s">
        <v>693</v>
      </c>
      <c r="D160" s="78" t="s">
        <v>1968</v>
      </c>
      <c r="E160" s="7"/>
      <c r="F160" s="77" t="s">
        <v>1969</v>
      </c>
      <c r="G160" s="58" t="s">
        <v>1970</v>
      </c>
      <c r="H160" s="58" t="s">
        <v>688</v>
      </c>
      <c r="I160" s="81" t="s">
        <v>1971</v>
      </c>
      <c r="J160" s="85"/>
      <c r="K160" s="77" t="s">
        <v>1972</v>
      </c>
      <c r="L160" s="58" t="s">
        <v>1973</v>
      </c>
      <c r="M160" s="58" t="s">
        <v>719</v>
      </c>
      <c r="N160" s="81" t="s">
        <v>1974</v>
      </c>
      <c r="O160" s="82"/>
    </row>
    <row r="161">
      <c r="A161" s="77" t="s">
        <v>1975</v>
      </c>
      <c r="B161" s="58" t="s">
        <v>1976</v>
      </c>
      <c r="C161" s="58" t="s">
        <v>729</v>
      </c>
      <c r="D161" s="78" t="s">
        <v>1977</v>
      </c>
      <c r="E161" s="7"/>
      <c r="F161" s="77" t="s">
        <v>1978</v>
      </c>
      <c r="G161" s="58" t="s">
        <v>1979</v>
      </c>
      <c r="H161" s="58" t="s">
        <v>810</v>
      </c>
      <c r="I161" s="79" t="s">
        <v>708</v>
      </c>
      <c r="J161" s="80"/>
      <c r="K161" s="77" t="s">
        <v>1980</v>
      </c>
      <c r="L161" s="58" t="s">
        <v>1981</v>
      </c>
      <c r="M161" s="58" t="s">
        <v>688</v>
      </c>
      <c r="N161" s="81" t="s">
        <v>1982</v>
      </c>
      <c r="O161" s="82"/>
    </row>
    <row r="162">
      <c r="A162" s="77" t="s">
        <v>1983</v>
      </c>
      <c r="B162" s="58" t="s">
        <v>1984</v>
      </c>
      <c r="C162" s="58" t="s">
        <v>688</v>
      </c>
      <c r="D162" s="78" t="s">
        <v>1985</v>
      </c>
      <c r="E162" s="7"/>
      <c r="F162" s="77" t="s">
        <v>1986</v>
      </c>
      <c r="G162" s="58" t="s">
        <v>1987</v>
      </c>
      <c r="H162" s="58" t="s">
        <v>810</v>
      </c>
      <c r="I162" s="79" t="s">
        <v>708</v>
      </c>
      <c r="J162" s="80"/>
      <c r="K162" s="77" t="s">
        <v>1988</v>
      </c>
      <c r="L162" s="58" t="s">
        <v>1989</v>
      </c>
      <c r="M162" s="58" t="s">
        <v>688</v>
      </c>
      <c r="N162" s="81" t="s">
        <v>1990</v>
      </c>
      <c r="O162" s="82"/>
    </row>
    <row r="163">
      <c r="A163" s="77" t="s">
        <v>1991</v>
      </c>
      <c r="B163" s="58" t="s">
        <v>1992</v>
      </c>
      <c r="C163" s="58" t="s">
        <v>698</v>
      </c>
      <c r="D163" s="78" t="s">
        <v>1993</v>
      </c>
      <c r="E163" s="7"/>
      <c r="F163" s="77" t="s">
        <v>1994</v>
      </c>
      <c r="G163" s="58" t="s">
        <v>1995</v>
      </c>
      <c r="H163" s="58" t="s">
        <v>676</v>
      </c>
      <c r="I163" s="81" t="s">
        <v>1996</v>
      </c>
      <c r="J163" s="85"/>
      <c r="K163" s="77" t="s">
        <v>1997</v>
      </c>
      <c r="L163" s="58" t="s">
        <v>1998</v>
      </c>
      <c r="M163" s="58" t="s">
        <v>693</v>
      </c>
      <c r="N163" s="81" t="s">
        <v>1999</v>
      </c>
      <c r="O163" s="82"/>
    </row>
    <row r="164">
      <c r="A164" s="77" t="s">
        <v>2000</v>
      </c>
      <c r="B164" s="58" t="s">
        <v>2001</v>
      </c>
      <c r="C164" s="58" t="s">
        <v>690</v>
      </c>
      <c r="D164" s="78" t="s">
        <v>2002</v>
      </c>
      <c r="E164" s="7"/>
      <c r="F164" s="77" t="s">
        <v>2003</v>
      </c>
      <c r="G164" s="58" t="s">
        <v>2004</v>
      </c>
      <c r="H164" s="58" t="s">
        <v>670</v>
      </c>
      <c r="I164" s="81" t="s">
        <v>2005</v>
      </c>
      <c r="J164" s="85"/>
      <c r="K164" s="77" t="s">
        <v>2006</v>
      </c>
      <c r="L164" s="58" t="s">
        <v>2007</v>
      </c>
      <c r="M164" s="58" t="s">
        <v>678</v>
      </c>
      <c r="N164" s="81" t="s">
        <v>2008</v>
      </c>
      <c r="O164" s="82"/>
    </row>
    <row r="165">
      <c r="A165" s="77" t="s">
        <v>2009</v>
      </c>
      <c r="B165" s="58" t="s">
        <v>2010</v>
      </c>
      <c r="C165" s="58" t="s">
        <v>720</v>
      </c>
      <c r="D165" s="79" t="s">
        <v>701</v>
      </c>
      <c r="F165" s="77" t="s">
        <v>2011</v>
      </c>
      <c r="G165" s="58" t="s">
        <v>2012</v>
      </c>
      <c r="H165" s="58" t="s">
        <v>682</v>
      </c>
      <c r="I165" s="81" t="s">
        <v>2013</v>
      </c>
      <c r="J165" s="85"/>
      <c r="K165" s="77" t="s">
        <v>2014</v>
      </c>
      <c r="L165" s="58" t="s">
        <v>2015</v>
      </c>
      <c r="M165" s="58" t="s">
        <v>693</v>
      </c>
      <c r="N165" s="79" t="s">
        <v>706</v>
      </c>
      <c r="O165" s="84"/>
    </row>
    <row r="166">
      <c r="A166" s="77" t="s">
        <v>2016</v>
      </c>
      <c r="B166" s="58" t="s">
        <v>1139</v>
      </c>
      <c r="C166" s="58" t="s">
        <v>810</v>
      </c>
      <c r="D166" s="79" t="s">
        <v>701</v>
      </c>
      <c r="F166" s="77" t="s">
        <v>2017</v>
      </c>
      <c r="G166" s="58" t="s">
        <v>2018</v>
      </c>
      <c r="H166" s="58" t="s">
        <v>673</v>
      </c>
      <c r="I166" s="79" t="s">
        <v>708</v>
      </c>
      <c r="J166" s="80"/>
      <c r="K166" s="77" t="s">
        <v>2019</v>
      </c>
      <c r="L166" s="58" t="s">
        <v>2020</v>
      </c>
      <c r="M166" s="58" t="s">
        <v>685</v>
      </c>
      <c r="N166" s="79" t="s">
        <v>706</v>
      </c>
      <c r="O166" s="84"/>
    </row>
    <row r="167">
      <c r="A167" s="77" t="s">
        <v>2021</v>
      </c>
      <c r="B167" s="58" t="s">
        <v>2022</v>
      </c>
      <c r="C167" s="58" t="s">
        <v>698</v>
      </c>
      <c r="D167" s="79" t="s">
        <v>701</v>
      </c>
      <c r="F167" s="77" t="s">
        <v>2023</v>
      </c>
      <c r="G167" s="58" t="s">
        <v>2024</v>
      </c>
      <c r="H167" s="58" t="s">
        <v>667</v>
      </c>
      <c r="I167" s="81" t="s">
        <v>2025</v>
      </c>
      <c r="J167" s="85"/>
      <c r="K167" s="77" t="s">
        <v>2026</v>
      </c>
      <c r="L167" s="58" t="s">
        <v>2027</v>
      </c>
      <c r="M167" s="58" t="s">
        <v>729</v>
      </c>
      <c r="N167" s="79" t="s">
        <v>706</v>
      </c>
      <c r="O167" s="84"/>
    </row>
    <row r="168">
      <c r="A168" s="77" t="s">
        <v>2028</v>
      </c>
      <c r="B168" s="58" t="s">
        <v>2029</v>
      </c>
      <c r="C168" s="58" t="s">
        <v>810</v>
      </c>
      <c r="D168" s="79" t="s">
        <v>701</v>
      </c>
      <c r="F168" s="77" t="s">
        <v>2030</v>
      </c>
      <c r="G168" s="58" t="s">
        <v>1739</v>
      </c>
      <c r="H168" s="58" t="s">
        <v>688</v>
      </c>
      <c r="I168" s="81" t="s">
        <v>2031</v>
      </c>
      <c r="J168" s="50"/>
      <c r="K168" s="50"/>
    </row>
    <row r="169">
      <c r="A169" s="77" t="s">
        <v>2032</v>
      </c>
      <c r="B169" s="58" t="s">
        <v>2033</v>
      </c>
      <c r="C169" s="58" t="s">
        <v>810</v>
      </c>
      <c r="D169" s="79" t="s">
        <v>701</v>
      </c>
      <c r="F169" s="77" t="s">
        <v>2034</v>
      </c>
      <c r="G169" s="58" t="s">
        <v>2035</v>
      </c>
      <c r="H169" s="58" t="s">
        <v>683</v>
      </c>
      <c r="I169" s="81" t="s">
        <v>2036</v>
      </c>
      <c r="J169" s="50"/>
      <c r="K169" s="50"/>
    </row>
    <row r="170">
      <c r="A170" s="77" t="s">
        <v>2037</v>
      </c>
      <c r="B170" s="58" t="s">
        <v>1995</v>
      </c>
      <c r="C170" s="58" t="s">
        <v>676</v>
      </c>
      <c r="D170" s="78" t="s">
        <v>2038</v>
      </c>
      <c r="E170" s="7"/>
      <c r="F170" s="77" t="s">
        <v>2039</v>
      </c>
      <c r="G170" s="58" t="s">
        <v>2040</v>
      </c>
      <c r="H170" s="58" t="s">
        <v>673</v>
      </c>
      <c r="I170" s="79" t="s">
        <v>708</v>
      </c>
      <c r="J170" s="50"/>
      <c r="K170" s="50"/>
    </row>
    <row r="171">
      <c r="A171" s="77" t="s">
        <v>2041</v>
      </c>
      <c r="B171" s="58" t="s">
        <v>2042</v>
      </c>
      <c r="C171" s="58" t="s">
        <v>699</v>
      </c>
      <c r="D171" s="78" t="s">
        <v>2043</v>
      </c>
      <c r="E171" s="7"/>
      <c r="F171" s="77" t="s">
        <v>2044</v>
      </c>
      <c r="G171" s="58" t="s">
        <v>2045</v>
      </c>
      <c r="H171" s="58" t="s">
        <v>685</v>
      </c>
      <c r="I171" s="81" t="s">
        <v>2046</v>
      </c>
      <c r="J171" s="50"/>
      <c r="K171" s="50"/>
    </row>
    <row r="172">
      <c r="A172" s="77" t="s">
        <v>2047</v>
      </c>
      <c r="B172" s="58" t="s">
        <v>1926</v>
      </c>
      <c r="C172" s="58" t="s">
        <v>715</v>
      </c>
      <c r="D172" s="78" t="s">
        <v>2048</v>
      </c>
      <c r="E172" s="7"/>
      <c r="F172" s="77" t="s">
        <v>2049</v>
      </c>
      <c r="G172" s="58" t="s">
        <v>2050</v>
      </c>
      <c r="H172" s="58" t="s">
        <v>688</v>
      </c>
      <c r="I172" s="81" t="s">
        <v>2051</v>
      </c>
      <c r="J172" s="50"/>
      <c r="K172" s="50"/>
    </row>
    <row r="173">
      <c r="A173" s="77" t="s">
        <v>2052</v>
      </c>
      <c r="B173" s="58" t="s">
        <v>1973</v>
      </c>
      <c r="C173" s="58" t="s">
        <v>719</v>
      </c>
      <c r="D173" s="78" t="s">
        <v>2053</v>
      </c>
      <c r="E173" s="7"/>
      <c r="F173" s="77" t="s">
        <v>2054</v>
      </c>
      <c r="G173" s="58" t="s">
        <v>2055</v>
      </c>
      <c r="H173" s="58" t="s">
        <v>690</v>
      </c>
      <c r="I173" s="79" t="s">
        <v>708</v>
      </c>
      <c r="J173" s="50"/>
      <c r="K173" s="50"/>
    </row>
    <row r="174">
      <c r="A174" s="77" t="s">
        <v>2056</v>
      </c>
      <c r="B174" s="58" t="s">
        <v>2057</v>
      </c>
      <c r="C174" s="58" t="s">
        <v>725</v>
      </c>
      <c r="D174" s="78" t="s">
        <v>2058</v>
      </c>
      <c r="E174" s="7"/>
      <c r="F174" s="77" t="s">
        <v>2059</v>
      </c>
      <c r="G174" s="58" t="s">
        <v>2060</v>
      </c>
      <c r="H174" s="58" t="s">
        <v>685</v>
      </c>
      <c r="I174" s="81" t="s">
        <v>2061</v>
      </c>
      <c r="J174" s="50"/>
      <c r="K174" s="50"/>
    </row>
    <row r="175">
      <c r="A175" s="77" t="s">
        <v>2062</v>
      </c>
      <c r="B175" s="58" t="s">
        <v>2063</v>
      </c>
      <c r="C175" s="58" t="s">
        <v>688</v>
      </c>
      <c r="D175" s="78" t="s">
        <v>2064</v>
      </c>
      <c r="E175" s="7"/>
      <c r="F175" s="77" t="s">
        <v>2065</v>
      </c>
      <c r="G175" s="58" t="s">
        <v>2066</v>
      </c>
      <c r="H175" s="58" t="s">
        <v>718</v>
      </c>
      <c r="I175" s="81" t="s">
        <v>2067</v>
      </c>
      <c r="J175" s="50"/>
      <c r="K175" s="50"/>
    </row>
    <row r="176">
      <c r="A176" s="77" t="s">
        <v>2068</v>
      </c>
      <c r="B176" s="58" t="s">
        <v>2069</v>
      </c>
      <c r="C176" s="58" t="s">
        <v>685</v>
      </c>
      <c r="D176" s="78" t="s">
        <v>2070</v>
      </c>
      <c r="E176" s="7"/>
      <c r="F176" s="77" t="s">
        <v>2071</v>
      </c>
      <c r="G176" s="58" t="s">
        <v>1763</v>
      </c>
      <c r="H176" s="58" t="s">
        <v>690</v>
      </c>
      <c r="I176" s="81" t="s">
        <v>2072</v>
      </c>
      <c r="J176" s="50"/>
      <c r="K176" s="50"/>
    </row>
    <row r="177">
      <c r="A177" s="77" t="s">
        <v>2073</v>
      </c>
      <c r="B177" s="58" t="s">
        <v>2074</v>
      </c>
      <c r="C177" s="58" t="s">
        <v>673</v>
      </c>
      <c r="D177" s="79" t="s">
        <v>701</v>
      </c>
      <c r="F177" s="77" t="s">
        <v>2075</v>
      </c>
      <c r="G177" s="58" t="s">
        <v>2076</v>
      </c>
      <c r="H177" s="58" t="s">
        <v>682</v>
      </c>
      <c r="I177" s="81" t="s">
        <v>2077</v>
      </c>
      <c r="J177" s="50"/>
      <c r="K177" s="50"/>
    </row>
    <row r="178">
      <c r="A178" s="77" t="s">
        <v>2078</v>
      </c>
      <c r="B178" s="58" t="s">
        <v>2079</v>
      </c>
      <c r="C178" s="58" t="s">
        <v>673</v>
      </c>
      <c r="D178" s="79" t="s">
        <v>701</v>
      </c>
      <c r="F178" s="77" t="s">
        <v>2080</v>
      </c>
      <c r="G178" s="58" t="s">
        <v>2081</v>
      </c>
      <c r="H178" s="58" t="s">
        <v>810</v>
      </c>
      <c r="I178" s="81" t="s">
        <v>2082</v>
      </c>
      <c r="J178" s="50"/>
      <c r="K178" s="50"/>
    </row>
    <row r="179">
      <c r="A179" s="77" t="s">
        <v>2083</v>
      </c>
      <c r="B179" s="58" t="s">
        <v>2084</v>
      </c>
      <c r="C179" s="58" t="s">
        <v>673</v>
      </c>
      <c r="D179" s="78" t="s">
        <v>2085</v>
      </c>
      <c r="E179" s="7"/>
      <c r="F179" s="77" t="s">
        <v>2086</v>
      </c>
      <c r="G179" s="58" t="s">
        <v>1139</v>
      </c>
      <c r="H179" s="58" t="s">
        <v>810</v>
      </c>
      <c r="I179" s="79" t="s">
        <v>708</v>
      </c>
      <c r="J179" s="50"/>
      <c r="K179" s="50"/>
    </row>
    <row r="180">
      <c r="A180" s="77" t="s">
        <v>2087</v>
      </c>
      <c r="B180" s="58" t="s">
        <v>2088</v>
      </c>
      <c r="C180" s="58" t="s">
        <v>673</v>
      </c>
      <c r="D180" s="79" t="s">
        <v>701</v>
      </c>
      <c r="F180" s="77" t="s">
        <v>2089</v>
      </c>
      <c r="G180" s="58" t="s">
        <v>1139</v>
      </c>
      <c r="H180" s="58" t="s">
        <v>810</v>
      </c>
      <c r="I180" s="79" t="s">
        <v>708</v>
      </c>
      <c r="J180" s="50"/>
      <c r="K180" s="50"/>
    </row>
    <row r="181">
      <c r="A181" s="77" t="s">
        <v>2090</v>
      </c>
      <c r="B181" s="58" t="s">
        <v>2091</v>
      </c>
      <c r="C181" s="58" t="s">
        <v>709</v>
      </c>
      <c r="D181" s="79" t="s">
        <v>701</v>
      </c>
      <c r="F181" s="77" t="s">
        <v>2092</v>
      </c>
      <c r="G181" s="58" t="s">
        <v>2093</v>
      </c>
      <c r="H181" s="58" t="s">
        <v>698</v>
      </c>
      <c r="I181" s="79" t="s">
        <v>708</v>
      </c>
      <c r="J181" s="50"/>
      <c r="K181" s="50"/>
    </row>
    <row r="182">
      <c r="A182" s="77" t="s">
        <v>2094</v>
      </c>
      <c r="B182" s="58" t="s">
        <v>1677</v>
      </c>
      <c r="C182" s="58" t="s">
        <v>729</v>
      </c>
      <c r="D182" s="79" t="s">
        <v>701</v>
      </c>
      <c r="F182" s="77" t="s">
        <v>2095</v>
      </c>
      <c r="G182" s="58" t="s">
        <v>2096</v>
      </c>
      <c r="H182" s="58" t="s">
        <v>810</v>
      </c>
      <c r="I182" s="79" t="s">
        <v>708</v>
      </c>
      <c r="J182" s="50"/>
      <c r="K182" s="50"/>
    </row>
    <row r="183">
      <c r="A183" s="77" t="s">
        <v>2097</v>
      </c>
      <c r="B183" s="58" t="s">
        <v>2098</v>
      </c>
      <c r="C183" s="58" t="s">
        <v>685</v>
      </c>
      <c r="D183" s="78" t="s">
        <v>2099</v>
      </c>
      <c r="E183" s="7"/>
      <c r="F183" s="77" t="s">
        <v>2100</v>
      </c>
      <c r="G183" s="58" t="s">
        <v>2101</v>
      </c>
      <c r="H183" s="58" t="s">
        <v>678</v>
      </c>
      <c r="I183" s="79" t="s">
        <v>708</v>
      </c>
      <c r="J183" s="50"/>
      <c r="K183" s="50"/>
    </row>
    <row r="184">
      <c r="A184" s="77" t="s">
        <v>2102</v>
      </c>
      <c r="B184" s="58" t="s">
        <v>2103</v>
      </c>
      <c r="C184" s="58" t="s">
        <v>688</v>
      </c>
      <c r="D184" s="78" t="s">
        <v>2104</v>
      </c>
      <c r="E184" s="7"/>
      <c r="F184" s="50"/>
      <c r="J184" s="50"/>
      <c r="K184" s="50"/>
    </row>
    <row r="185">
      <c r="A185" s="77" t="s">
        <v>2105</v>
      </c>
      <c r="B185" s="58" t="s">
        <v>1750</v>
      </c>
      <c r="C185" s="58" t="s">
        <v>715</v>
      </c>
      <c r="D185" s="78" t="s">
        <v>2106</v>
      </c>
      <c r="E185" s="7"/>
      <c r="F185" s="50"/>
      <c r="J185" s="50"/>
      <c r="K185" s="50"/>
    </row>
    <row r="186">
      <c r="A186" s="77" t="s">
        <v>2107</v>
      </c>
      <c r="B186" s="58" t="s">
        <v>2108</v>
      </c>
      <c r="C186" s="58" t="s">
        <v>709</v>
      </c>
      <c r="D186" s="78" t="s">
        <v>2109</v>
      </c>
      <c r="E186" s="7"/>
      <c r="F186" s="50"/>
      <c r="J186" s="50"/>
      <c r="K186" s="50"/>
    </row>
    <row r="187">
      <c r="A187" s="77" t="s">
        <v>2110</v>
      </c>
      <c r="B187" s="58" t="s">
        <v>2111</v>
      </c>
      <c r="C187" s="58" t="s">
        <v>670</v>
      </c>
      <c r="D187" s="78" t="s">
        <v>2112</v>
      </c>
      <c r="E187" s="7"/>
      <c r="F187" s="50"/>
      <c r="J187" s="50"/>
      <c r="K187" s="50"/>
    </row>
    <row r="188">
      <c r="A188" s="77" t="s">
        <v>2113</v>
      </c>
      <c r="B188" s="58" t="s">
        <v>2114</v>
      </c>
      <c r="C188" s="58" t="s">
        <v>810</v>
      </c>
      <c r="D188" s="79" t="s">
        <v>701</v>
      </c>
      <c r="F188" s="50"/>
      <c r="J188" s="50"/>
      <c r="K188" s="50"/>
    </row>
    <row r="189">
      <c r="A189" s="77" t="s">
        <v>2115</v>
      </c>
      <c r="B189" s="58" t="s">
        <v>2116</v>
      </c>
      <c r="C189" s="58" t="s">
        <v>810</v>
      </c>
      <c r="D189" s="79" t="s">
        <v>701</v>
      </c>
      <c r="F189" s="50"/>
      <c r="J189" s="50"/>
      <c r="K189" s="50"/>
    </row>
    <row r="190">
      <c r="A190" s="77" t="s">
        <v>2117</v>
      </c>
      <c r="B190" s="58" t="s">
        <v>1139</v>
      </c>
      <c r="C190" s="58" t="s">
        <v>810</v>
      </c>
      <c r="D190" s="79" t="s">
        <v>701</v>
      </c>
      <c r="F190" s="50"/>
      <c r="J190" s="50"/>
      <c r="K190" s="50"/>
    </row>
    <row r="191">
      <c r="A191" s="77" t="s">
        <v>2118</v>
      </c>
      <c r="B191" s="58" t="s">
        <v>1339</v>
      </c>
      <c r="C191" s="58" t="s">
        <v>810</v>
      </c>
      <c r="D191" s="79" t="s">
        <v>701</v>
      </c>
      <c r="F191" s="50"/>
      <c r="J191" s="50"/>
      <c r="K191" s="50"/>
    </row>
    <row r="192">
      <c r="A192" s="77" t="s">
        <v>2119</v>
      </c>
      <c r="B192" s="58" t="s">
        <v>2120</v>
      </c>
      <c r="C192" s="58" t="s">
        <v>810</v>
      </c>
      <c r="D192" s="79" t="s">
        <v>701</v>
      </c>
      <c r="F192" s="50"/>
      <c r="J192" s="50"/>
      <c r="K192" s="50"/>
    </row>
    <row r="193">
      <c r="A193" s="50"/>
      <c r="D193" s="50"/>
      <c r="F193" s="50"/>
      <c r="J193" s="50"/>
      <c r="K193" s="50"/>
    </row>
    <row r="194">
      <c r="A194" s="2" t="s">
        <v>27</v>
      </c>
      <c r="D194" s="50"/>
      <c r="F194" s="50"/>
      <c r="J194" s="50"/>
      <c r="K194" s="50"/>
    </row>
    <row r="195">
      <c r="A195" s="77" t="s">
        <v>2121</v>
      </c>
      <c r="B195" s="58" t="s">
        <v>2122</v>
      </c>
      <c r="C195" s="58" t="s">
        <v>690</v>
      </c>
      <c r="D195" s="78" t="s">
        <v>2123</v>
      </c>
      <c r="E195" s="7"/>
      <c r="F195" s="50"/>
      <c r="J195" s="50"/>
      <c r="K195" s="50"/>
    </row>
    <row r="196">
      <c r="A196" s="77" t="s">
        <v>2124</v>
      </c>
      <c r="B196" s="58" t="s">
        <v>2125</v>
      </c>
      <c r="C196" s="58" t="s">
        <v>718</v>
      </c>
      <c r="D196" s="78" t="s">
        <v>2126</v>
      </c>
      <c r="E196" s="7"/>
      <c r="F196" s="50"/>
      <c r="J196" s="50"/>
      <c r="K196" s="50"/>
    </row>
    <row r="197">
      <c r="A197" s="77" t="s">
        <v>2127</v>
      </c>
      <c r="B197" s="58" t="s">
        <v>2128</v>
      </c>
      <c r="C197" s="58" t="s">
        <v>722</v>
      </c>
      <c r="D197" s="78" t="s">
        <v>2129</v>
      </c>
      <c r="E197" s="7"/>
      <c r="F197" s="50"/>
      <c r="J197" s="50"/>
      <c r="K197" s="50"/>
    </row>
    <row r="198">
      <c r="A198" s="77" t="s">
        <v>2130</v>
      </c>
      <c r="B198" s="58" t="s">
        <v>2131</v>
      </c>
      <c r="C198" s="58" t="s">
        <v>712</v>
      </c>
      <c r="D198" s="79" t="s">
        <v>691</v>
      </c>
      <c r="F198" s="50"/>
      <c r="J198" s="50"/>
      <c r="K198" s="50"/>
    </row>
    <row r="199">
      <c r="A199" s="77" t="s">
        <v>2132</v>
      </c>
      <c r="B199" s="58" t="s">
        <v>2133</v>
      </c>
      <c r="C199" s="58" t="s">
        <v>696</v>
      </c>
      <c r="D199" s="79" t="s">
        <v>691</v>
      </c>
      <c r="F199" s="50"/>
      <c r="J199" s="50"/>
      <c r="K199" s="50"/>
    </row>
    <row r="200">
      <c r="A200" s="77" t="s">
        <v>2134</v>
      </c>
      <c r="B200" s="58" t="s">
        <v>2135</v>
      </c>
      <c r="C200" s="58" t="s">
        <v>810</v>
      </c>
      <c r="D200" s="79" t="s">
        <v>691</v>
      </c>
      <c r="F200" s="50"/>
      <c r="J200" s="50"/>
      <c r="K200" s="50"/>
    </row>
    <row r="201">
      <c r="A201" s="77" t="s">
        <v>2136</v>
      </c>
      <c r="B201" s="58" t="s">
        <v>2137</v>
      </c>
      <c r="C201" s="58" t="s">
        <v>690</v>
      </c>
      <c r="D201" s="79" t="s">
        <v>691</v>
      </c>
      <c r="F201" s="50"/>
      <c r="J201" s="50"/>
      <c r="K201" s="50"/>
    </row>
    <row r="202">
      <c r="A202" s="77" t="s">
        <v>2138</v>
      </c>
      <c r="B202" s="58" t="s">
        <v>2139</v>
      </c>
      <c r="C202" s="58" t="s">
        <v>670</v>
      </c>
      <c r="D202" s="79" t="s">
        <v>691</v>
      </c>
      <c r="F202" s="50"/>
      <c r="J202" s="50"/>
      <c r="K202" s="50"/>
    </row>
    <row r="203">
      <c r="A203" s="77" t="s">
        <v>2140</v>
      </c>
      <c r="B203" s="58" t="s">
        <v>2141</v>
      </c>
      <c r="C203" s="58" t="s">
        <v>810</v>
      </c>
      <c r="D203" s="79" t="s">
        <v>691</v>
      </c>
      <c r="F203" s="50"/>
      <c r="J203" s="50"/>
      <c r="K203" s="50"/>
    </row>
    <row r="204">
      <c r="A204" s="77" t="s">
        <v>2142</v>
      </c>
      <c r="B204" s="58" t="s">
        <v>2143</v>
      </c>
      <c r="C204" s="58" t="s">
        <v>690</v>
      </c>
      <c r="D204" s="78" t="s">
        <v>2144</v>
      </c>
      <c r="E204" s="7"/>
      <c r="F204" s="50"/>
      <c r="J204" s="50"/>
      <c r="K204" s="50"/>
    </row>
    <row r="205">
      <c r="A205" s="77" t="s">
        <v>2145</v>
      </c>
      <c r="B205" s="58" t="s">
        <v>2146</v>
      </c>
      <c r="C205" s="58" t="s">
        <v>678</v>
      </c>
      <c r="D205" s="78" t="s">
        <v>2147</v>
      </c>
      <c r="E205" s="7"/>
      <c r="F205" s="50"/>
      <c r="J205" s="50"/>
      <c r="K205" s="50"/>
    </row>
    <row r="206">
      <c r="A206" s="77" t="s">
        <v>2148</v>
      </c>
      <c r="B206" s="58" t="s">
        <v>2149</v>
      </c>
      <c r="C206" s="58" t="s">
        <v>693</v>
      </c>
      <c r="D206" s="78" t="s">
        <v>2150</v>
      </c>
      <c r="E206" s="7"/>
      <c r="F206" s="50"/>
      <c r="J206" s="50"/>
      <c r="K206" s="50"/>
    </row>
    <row r="207">
      <c r="A207" s="77" t="s">
        <v>2151</v>
      </c>
      <c r="B207" s="58" t="s">
        <v>2152</v>
      </c>
      <c r="C207" s="58" t="s">
        <v>727</v>
      </c>
      <c r="D207" s="78" t="s">
        <v>2153</v>
      </c>
      <c r="E207" s="7"/>
      <c r="F207" s="50"/>
      <c r="J207" s="50"/>
      <c r="K207" s="50"/>
    </row>
    <row r="208">
      <c r="A208" s="77" t="s">
        <v>2154</v>
      </c>
      <c r="B208" s="58" t="s">
        <v>2155</v>
      </c>
      <c r="C208" s="58" t="s">
        <v>710</v>
      </c>
      <c r="D208" s="78" t="s">
        <v>2156</v>
      </c>
      <c r="E208" s="7"/>
      <c r="F208" s="50"/>
      <c r="J208" s="50"/>
      <c r="K208" s="50"/>
    </row>
    <row r="209">
      <c r="A209" s="77" t="s">
        <v>2157</v>
      </c>
      <c r="B209" s="58" t="s">
        <v>2158</v>
      </c>
      <c r="C209" s="58" t="s">
        <v>698</v>
      </c>
      <c r="D209" s="78" t="s">
        <v>2159</v>
      </c>
      <c r="E209" s="7"/>
      <c r="F209" s="50"/>
      <c r="J209" s="50"/>
      <c r="K209" s="50"/>
    </row>
    <row r="210">
      <c r="A210" s="77" t="s">
        <v>2160</v>
      </c>
      <c r="B210" s="58" t="s">
        <v>2161</v>
      </c>
      <c r="C210" s="58" t="s">
        <v>722</v>
      </c>
      <c r="D210" s="79" t="s">
        <v>691</v>
      </c>
      <c r="F210" s="50"/>
      <c r="J210" s="50"/>
      <c r="K210" s="50"/>
    </row>
    <row r="211">
      <c r="A211" s="77" t="s">
        <v>2162</v>
      </c>
      <c r="B211" s="58" t="s">
        <v>1139</v>
      </c>
      <c r="C211" s="58" t="s">
        <v>722</v>
      </c>
      <c r="D211" s="79" t="s">
        <v>691</v>
      </c>
      <c r="F211" s="50"/>
      <c r="J211" s="50"/>
      <c r="K211" s="50"/>
    </row>
    <row r="212">
      <c r="A212" s="77" t="s">
        <v>2163</v>
      </c>
      <c r="B212" s="58" t="s">
        <v>2164</v>
      </c>
      <c r="C212" s="58" t="s">
        <v>690</v>
      </c>
      <c r="D212" s="79" t="s">
        <v>691</v>
      </c>
      <c r="F212" s="50"/>
      <c r="J212" s="50"/>
      <c r="K212" s="50"/>
    </row>
    <row r="213">
      <c r="A213" s="77" t="s">
        <v>2165</v>
      </c>
      <c r="B213" s="58" t="s">
        <v>2166</v>
      </c>
      <c r="C213" s="58" t="s">
        <v>734</v>
      </c>
      <c r="D213" s="79" t="s">
        <v>691</v>
      </c>
      <c r="F213" s="50"/>
      <c r="J213" s="50"/>
      <c r="K213" s="50"/>
    </row>
    <row r="214">
      <c r="A214" s="77" t="s">
        <v>2167</v>
      </c>
      <c r="B214" s="58" t="s">
        <v>2168</v>
      </c>
      <c r="C214" s="58" t="s">
        <v>810</v>
      </c>
      <c r="D214" s="79" t="s">
        <v>691</v>
      </c>
      <c r="F214" s="50"/>
      <c r="J214" s="50"/>
      <c r="K214" s="50"/>
    </row>
    <row r="215">
      <c r="A215" s="77" t="s">
        <v>2169</v>
      </c>
      <c r="B215" s="58" t="s">
        <v>1970</v>
      </c>
      <c r="C215" s="58" t="s">
        <v>676</v>
      </c>
      <c r="D215" s="78" t="s">
        <v>2170</v>
      </c>
      <c r="E215" s="7"/>
      <c r="F215" s="50"/>
      <c r="J215" s="50"/>
      <c r="K215" s="50"/>
    </row>
    <row r="216">
      <c r="A216" s="77" t="s">
        <v>2171</v>
      </c>
      <c r="B216" s="58" t="s">
        <v>2172</v>
      </c>
      <c r="C216" s="58" t="s">
        <v>810</v>
      </c>
      <c r="D216" s="79" t="s">
        <v>691</v>
      </c>
      <c r="F216" s="50"/>
      <c r="J216" s="50"/>
      <c r="K216" s="50"/>
    </row>
    <row r="217">
      <c r="A217" s="77" t="s">
        <v>2173</v>
      </c>
      <c r="B217" s="58" t="s">
        <v>2174</v>
      </c>
      <c r="C217" s="58" t="s">
        <v>810</v>
      </c>
      <c r="D217" s="79" t="s">
        <v>691</v>
      </c>
      <c r="F217" s="50"/>
      <c r="J217" s="50"/>
      <c r="K217" s="50"/>
    </row>
    <row r="218">
      <c r="A218" s="77" t="s">
        <v>2175</v>
      </c>
      <c r="B218" s="58" t="s">
        <v>2176</v>
      </c>
      <c r="C218" s="58" t="s">
        <v>810</v>
      </c>
      <c r="D218" s="79" t="s">
        <v>691</v>
      </c>
      <c r="F218" s="50"/>
      <c r="J218" s="50"/>
      <c r="K218" s="50"/>
    </row>
    <row r="219">
      <c r="A219" s="77" t="s">
        <v>2177</v>
      </c>
      <c r="B219" s="58" t="s">
        <v>1537</v>
      </c>
      <c r="C219" s="58" t="s">
        <v>685</v>
      </c>
      <c r="D219" s="79" t="s">
        <v>691</v>
      </c>
      <c r="F219" s="50"/>
      <c r="J219" s="50"/>
      <c r="K219" s="50"/>
    </row>
    <row r="220">
      <c r="A220" s="77" t="s">
        <v>2178</v>
      </c>
      <c r="B220" s="58" t="s">
        <v>2179</v>
      </c>
      <c r="C220" s="58" t="s">
        <v>688</v>
      </c>
      <c r="D220" s="78" t="s">
        <v>2180</v>
      </c>
      <c r="E220" s="7"/>
      <c r="F220" s="50"/>
      <c r="J220" s="50"/>
      <c r="K220" s="50"/>
    </row>
    <row r="221">
      <c r="A221" s="77" t="s">
        <v>2181</v>
      </c>
      <c r="B221" s="58" t="s">
        <v>2182</v>
      </c>
      <c r="C221" s="58" t="s">
        <v>685</v>
      </c>
      <c r="D221" s="78" t="s">
        <v>2183</v>
      </c>
      <c r="E221" s="7"/>
      <c r="F221" s="50"/>
      <c r="J221" s="50"/>
      <c r="K221" s="50"/>
    </row>
    <row r="222">
      <c r="A222" s="77" t="s">
        <v>2184</v>
      </c>
      <c r="B222" s="58" t="s">
        <v>2185</v>
      </c>
      <c r="C222" s="58" t="s">
        <v>729</v>
      </c>
      <c r="D222" s="78" t="s">
        <v>2186</v>
      </c>
      <c r="E222" s="7"/>
      <c r="F222" s="50"/>
      <c r="J222" s="50"/>
      <c r="K222" s="50"/>
    </row>
    <row r="223">
      <c r="A223" s="77" t="s">
        <v>2187</v>
      </c>
      <c r="B223" s="58" t="s">
        <v>1457</v>
      </c>
      <c r="C223" s="58" t="s">
        <v>690</v>
      </c>
      <c r="D223" s="78" t="s">
        <v>2188</v>
      </c>
      <c r="E223" s="7"/>
      <c r="F223" s="50"/>
      <c r="J223" s="50"/>
      <c r="K223" s="50"/>
    </row>
    <row r="224">
      <c r="A224" s="77" t="s">
        <v>2189</v>
      </c>
      <c r="B224" s="58" t="s">
        <v>2190</v>
      </c>
      <c r="C224" s="58" t="s">
        <v>715</v>
      </c>
      <c r="D224" s="79" t="s">
        <v>691</v>
      </c>
      <c r="F224" s="50"/>
      <c r="J224" s="50"/>
      <c r="K224" s="50"/>
    </row>
    <row r="225">
      <c r="A225" s="77" t="s">
        <v>2191</v>
      </c>
      <c r="B225" s="58" t="s">
        <v>2192</v>
      </c>
      <c r="C225" s="58" t="s">
        <v>673</v>
      </c>
      <c r="D225" s="79" t="s">
        <v>691</v>
      </c>
      <c r="F225" s="50"/>
      <c r="J225" s="50"/>
      <c r="K225" s="50"/>
    </row>
    <row r="226">
      <c r="A226" s="77" t="s">
        <v>2193</v>
      </c>
      <c r="B226" s="58" t="s">
        <v>2194</v>
      </c>
      <c r="C226" s="58" t="s">
        <v>688</v>
      </c>
      <c r="D226" s="78" t="s">
        <v>2195</v>
      </c>
      <c r="E226" s="7"/>
      <c r="F226" s="50"/>
      <c r="J226" s="50"/>
      <c r="K226" s="50"/>
    </row>
    <row r="227">
      <c r="A227" s="77" t="s">
        <v>2196</v>
      </c>
      <c r="B227" s="58" t="s">
        <v>1139</v>
      </c>
      <c r="C227" s="58" t="s">
        <v>810</v>
      </c>
      <c r="D227" s="79" t="s">
        <v>691</v>
      </c>
      <c r="F227" s="50"/>
      <c r="J227" s="50"/>
      <c r="K227" s="50"/>
    </row>
    <row r="228">
      <c r="A228" s="77" t="s">
        <v>2197</v>
      </c>
      <c r="B228" s="58" t="s">
        <v>2198</v>
      </c>
      <c r="C228" s="58" t="s">
        <v>670</v>
      </c>
      <c r="D228" s="78" t="s">
        <v>2199</v>
      </c>
      <c r="E228" s="7"/>
      <c r="F228" s="50"/>
      <c r="J228" s="50"/>
      <c r="K228" s="50"/>
    </row>
    <row r="229">
      <c r="A229" s="77" t="s">
        <v>2200</v>
      </c>
      <c r="B229" s="58" t="s">
        <v>2201</v>
      </c>
      <c r="C229" s="58" t="s">
        <v>685</v>
      </c>
      <c r="D229" s="78" t="s">
        <v>2202</v>
      </c>
      <c r="E229" s="7"/>
      <c r="F229" s="50"/>
      <c r="J229" s="50"/>
      <c r="K229" s="50"/>
    </row>
    <row r="230">
      <c r="A230" s="77" t="s">
        <v>2203</v>
      </c>
      <c r="B230" s="58" t="s">
        <v>2204</v>
      </c>
      <c r="C230" s="58" t="s">
        <v>709</v>
      </c>
      <c r="D230" s="78" t="s">
        <v>2205</v>
      </c>
      <c r="E230" s="7"/>
      <c r="F230" s="50"/>
      <c r="J230" s="50"/>
      <c r="K230" s="50"/>
    </row>
    <row r="231">
      <c r="A231" s="77" t="s">
        <v>2206</v>
      </c>
      <c r="B231" s="58" t="s">
        <v>2207</v>
      </c>
      <c r="C231" s="58" t="s">
        <v>667</v>
      </c>
      <c r="D231" s="78" t="s">
        <v>2208</v>
      </c>
      <c r="E231" s="7"/>
      <c r="F231" s="50"/>
      <c r="J231" s="50"/>
      <c r="K231" s="50"/>
    </row>
    <row r="232">
      <c r="A232" s="77" t="s">
        <v>2209</v>
      </c>
      <c r="B232" s="58" t="s">
        <v>1290</v>
      </c>
      <c r="C232" s="58" t="s">
        <v>685</v>
      </c>
      <c r="D232" s="78" t="s">
        <v>2210</v>
      </c>
      <c r="E232" s="7"/>
      <c r="F232" s="50"/>
      <c r="J232" s="50"/>
      <c r="K232" s="50"/>
    </row>
    <row r="233">
      <c r="A233" s="77" t="s">
        <v>2211</v>
      </c>
      <c r="B233" s="58" t="s">
        <v>2212</v>
      </c>
      <c r="C233" s="58" t="s">
        <v>688</v>
      </c>
      <c r="D233" s="78" t="s">
        <v>2213</v>
      </c>
      <c r="E233" s="7"/>
      <c r="F233" s="50"/>
      <c r="J233" s="50"/>
      <c r="K233" s="50"/>
    </row>
    <row r="234">
      <c r="A234" s="77" t="s">
        <v>2214</v>
      </c>
      <c r="B234" s="58" t="s">
        <v>2215</v>
      </c>
      <c r="C234" s="58" t="s">
        <v>704</v>
      </c>
      <c r="D234" s="79" t="s">
        <v>691</v>
      </c>
      <c r="F234" s="50"/>
      <c r="J234" s="50"/>
      <c r="K234" s="50"/>
    </row>
    <row r="235">
      <c r="A235" s="77" t="s">
        <v>2216</v>
      </c>
      <c r="B235" s="58" t="s">
        <v>1505</v>
      </c>
      <c r="C235" s="58" t="s">
        <v>720</v>
      </c>
      <c r="D235" s="79" t="s">
        <v>691</v>
      </c>
      <c r="F235" s="50"/>
      <c r="J235" s="50"/>
      <c r="K235" s="50"/>
    </row>
    <row r="236">
      <c r="A236" s="77" t="s">
        <v>2217</v>
      </c>
      <c r="B236" s="58" t="s">
        <v>2218</v>
      </c>
      <c r="C236" s="58" t="s">
        <v>810</v>
      </c>
      <c r="D236" s="79" t="s">
        <v>691</v>
      </c>
      <c r="F236" s="50"/>
      <c r="J236" s="50"/>
      <c r="K236" s="50"/>
    </row>
    <row r="237">
      <c r="A237" s="77" t="s">
        <v>2219</v>
      </c>
      <c r="B237" s="58" t="s">
        <v>2220</v>
      </c>
      <c r="C237" s="58" t="s">
        <v>810</v>
      </c>
      <c r="D237" s="79" t="s">
        <v>691</v>
      </c>
      <c r="F237" s="50"/>
      <c r="J237" s="50"/>
      <c r="K237" s="50"/>
    </row>
    <row r="238">
      <c r="A238" s="77" t="s">
        <v>2221</v>
      </c>
      <c r="B238" s="58" t="s">
        <v>2222</v>
      </c>
      <c r="C238" s="58" t="s">
        <v>720</v>
      </c>
      <c r="D238" s="78" t="s">
        <v>2223</v>
      </c>
      <c r="E238" s="7"/>
      <c r="F238" s="50"/>
      <c r="J238" s="50"/>
      <c r="K238" s="50"/>
    </row>
    <row r="239">
      <c r="A239" s="77" t="s">
        <v>2224</v>
      </c>
      <c r="B239" s="58" t="s">
        <v>1139</v>
      </c>
      <c r="C239" s="58" t="s">
        <v>810</v>
      </c>
      <c r="D239" s="79" t="s">
        <v>691</v>
      </c>
      <c r="F239" s="50"/>
      <c r="J239" s="50"/>
      <c r="K239" s="50"/>
    </row>
    <row r="240">
      <c r="A240" s="77" t="s">
        <v>2225</v>
      </c>
      <c r="B240" s="58" t="s">
        <v>1309</v>
      </c>
      <c r="C240" s="58" t="s">
        <v>704</v>
      </c>
      <c r="D240" s="78" t="s">
        <v>2226</v>
      </c>
      <c r="E240" s="7"/>
      <c r="F240" s="50"/>
      <c r="J240" s="50"/>
      <c r="K240" s="50"/>
    </row>
    <row r="241">
      <c r="A241" s="77" t="s">
        <v>2227</v>
      </c>
      <c r="B241" s="58" t="s">
        <v>2228</v>
      </c>
      <c r="C241" s="58" t="s">
        <v>810</v>
      </c>
      <c r="D241" s="79" t="s">
        <v>691</v>
      </c>
      <c r="F241" s="50"/>
      <c r="J241" s="50"/>
      <c r="K241" s="50"/>
    </row>
    <row r="242">
      <c r="A242" s="77" t="s">
        <v>2229</v>
      </c>
      <c r="B242" s="58" t="s">
        <v>1616</v>
      </c>
      <c r="C242" s="58" t="s">
        <v>810</v>
      </c>
      <c r="D242" s="79" t="s">
        <v>691</v>
      </c>
      <c r="F242" s="50"/>
      <c r="J242" s="50"/>
      <c r="K242" s="50"/>
    </row>
    <row r="243">
      <c r="A243" s="77" t="s">
        <v>2230</v>
      </c>
      <c r="B243" s="58" t="s">
        <v>2231</v>
      </c>
      <c r="C243" s="58" t="s">
        <v>698</v>
      </c>
      <c r="D243" s="78" t="s">
        <v>2232</v>
      </c>
      <c r="E243" s="7"/>
      <c r="F243" s="50"/>
      <c r="J243" s="50"/>
      <c r="K243" s="50"/>
    </row>
    <row r="244">
      <c r="A244" s="77" t="s">
        <v>2233</v>
      </c>
      <c r="B244" s="58" t="s">
        <v>2234</v>
      </c>
      <c r="C244" s="58" t="s">
        <v>720</v>
      </c>
      <c r="D244" s="78" t="s">
        <v>2235</v>
      </c>
      <c r="E244" s="7"/>
      <c r="F244" s="50"/>
      <c r="J244" s="50"/>
      <c r="K244" s="50"/>
    </row>
    <row r="245">
      <c r="A245" s="77" t="s">
        <v>2236</v>
      </c>
      <c r="B245" s="58" t="s">
        <v>2114</v>
      </c>
      <c r="C245" s="58" t="s">
        <v>810</v>
      </c>
      <c r="D245" s="79" t="s">
        <v>691</v>
      </c>
      <c r="F245" s="50"/>
      <c r="J245" s="50"/>
      <c r="K245" s="50"/>
    </row>
    <row r="246">
      <c r="A246" s="77" t="s">
        <v>2237</v>
      </c>
      <c r="B246" s="58" t="s">
        <v>2238</v>
      </c>
      <c r="C246" s="58" t="s">
        <v>704</v>
      </c>
      <c r="D246" s="78" t="s">
        <v>2239</v>
      </c>
      <c r="E246" s="7"/>
      <c r="F246" s="50"/>
      <c r="J246" s="50"/>
      <c r="K246" s="50"/>
    </row>
    <row r="247">
      <c r="A247" s="77" t="s">
        <v>2240</v>
      </c>
      <c r="B247" s="58" t="s">
        <v>2241</v>
      </c>
      <c r="C247" s="58" t="s">
        <v>690</v>
      </c>
      <c r="D247" s="78" t="s">
        <v>2242</v>
      </c>
      <c r="E247" s="7"/>
      <c r="F247" s="50"/>
      <c r="J247" s="50"/>
      <c r="K247" s="50"/>
    </row>
    <row r="248">
      <c r="A248" s="77" t="s">
        <v>2243</v>
      </c>
      <c r="B248" s="58" t="s">
        <v>2244</v>
      </c>
      <c r="C248" s="58" t="s">
        <v>720</v>
      </c>
      <c r="D248" s="79" t="s">
        <v>691</v>
      </c>
      <c r="F248" s="50"/>
      <c r="J248" s="50"/>
      <c r="K248" s="50"/>
    </row>
    <row r="249">
      <c r="A249" s="77" t="s">
        <v>2245</v>
      </c>
      <c r="B249" s="58" t="s">
        <v>2246</v>
      </c>
      <c r="C249" s="58" t="s">
        <v>720</v>
      </c>
      <c r="D249" s="78" t="s">
        <v>2247</v>
      </c>
      <c r="E249" s="7"/>
      <c r="F249" s="50"/>
      <c r="J249" s="50"/>
      <c r="K249" s="50"/>
    </row>
    <row r="250">
      <c r="A250" s="77" t="s">
        <v>2248</v>
      </c>
      <c r="B250" s="58" t="s">
        <v>2249</v>
      </c>
      <c r="C250" s="58" t="s">
        <v>670</v>
      </c>
      <c r="D250" s="78" t="s">
        <v>2250</v>
      </c>
      <c r="E250" s="7"/>
      <c r="F250" s="50"/>
      <c r="J250" s="50"/>
      <c r="K250" s="50"/>
    </row>
    <row r="251">
      <c r="A251" s="77" t="s">
        <v>2251</v>
      </c>
      <c r="B251" s="58" t="s">
        <v>1659</v>
      </c>
      <c r="C251" s="58" t="s">
        <v>698</v>
      </c>
      <c r="D251" s="78" t="s">
        <v>2252</v>
      </c>
      <c r="E251" s="7"/>
      <c r="F251" s="50"/>
      <c r="J251" s="50"/>
      <c r="K251" s="50"/>
    </row>
    <row r="252">
      <c r="A252" s="77" t="s">
        <v>2253</v>
      </c>
      <c r="B252" s="58" t="s">
        <v>2254</v>
      </c>
      <c r="C252" s="58" t="s">
        <v>690</v>
      </c>
      <c r="D252" s="78" t="s">
        <v>2255</v>
      </c>
      <c r="E252" s="7"/>
      <c r="F252" s="50"/>
      <c r="J252" s="50"/>
      <c r="K252" s="50"/>
    </row>
    <row r="253">
      <c r="A253" s="77" t="s">
        <v>2256</v>
      </c>
      <c r="B253" s="58" t="s">
        <v>1383</v>
      </c>
      <c r="C253" s="58" t="s">
        <v>699</v>
      </c>
      <c r="D253" s="78" t="s">
        <v>2257</v>
      </c>
      <c r="E253" s="7"/>
      <c r="F253" s="50"/>
      <c r="J253" s="50"/>
      <c r="K253" s="50"/>
    </row>
    <row r="254">
      <c r="A254" s="77" t="s">
        <v>2258</v>
      </c>
      <c r="B254" s="58" t="s">
        <v>2259</v>
      </c>
      <c r="C254" s="58" t="s">
        <v>709</v>
      </c>
      <c r="D254" s="79" t="s">
        <v>691</v>
      </c>
      <c r="F254" s="50"/>
      <c r="J254" s="50"/>
      <c r="K254" s="50"/>
    </row>
    <row r="255">
      <c r="A255" s="77" t="s">
        <v>2260</v>
      </c>
      <c r="B255" s="58" t="s">
        <v>2261</v>
      </c>
      <c r="C255" s="58" t="s">
        <v>690</v>
      </c>
      <c r="D255" s="79" t="s">
        <v>691</v>
      </c>
      <c r="F255" s="50"/>
      <c r="J255" s="50"/>
      <c r="K255" s="50"/>
    </row>
    <row r="256">
      <c r="A256" s="77" t="s">
        <v>2262</v>
      </c>
      <c r="B256" s="58" t="s">
        <v>1139</v>
      </c>
      <c r="C256" s="58" t="s">
        <v>810</v>
      </c>
      <c r="D256" s="79" t="s">
        <v>691</v>
      </c>
      <c r="F256" s="50"/>
      <c r="J256" s="50"/>
      <c r="K256" s="50"/>
    </row>
    <row r="257">
      <c r="A257" s="77" t="s">
        <v>2263</v>
      </c>
      <c r="B257" s="58" t="s">
        <v>2264</v>
      </c>
      <c r="C257" s="58" t="s">
        <v>810</v>
      </c>
      <c r="D257" s="79" t="s">
        <v>691</v>
      </c>
      <c r="F257" s="50"/>
      <c r="J257" s="50"/>
      <c r="K257" s="50"/>
    </row>
    <row r="258">
      <c r="A258" s="77" t="s">
        <v>2265</v>
      </c>
      <c r="B258" s="58" t="s">
        <v>2088</v>
      </c>
      <c r="C258" s="58" t="s">
        <v>810</v>
      </c>
      <c r="D258" s="79" t="s">
        <v>691</v>
      </c>
      <c r="F258" s="50"/>
      <c r="J258" s="50"/>
      <c r="K258" s="50"/>
    </row>
    <row r="259">
      <c r="A259" s="50"/>
      <c r="D259" s="50"/>
      <c r="F259" s="50"/>
      <c r="J259" s="50"/>
      <c r="K259" s="50"/>
    </row>
    <row r="260">
      <c r="A260" s="50"/>
      <c r="D260" s="50"/>
      <c r="F260" s="50"/>
      <c r="J260" s="50"/>
      <c r="K260" s="50"/>
    </row>
    <row r="261">
      <c r="A261" s="50"/>
      <c r="D261" s="50"/>
      <c r="F261" s="50"/>
      <c r="J261" s="50"/>
      <c r="K261" s="50"/>
    </row>
    <row r="262">
      <c r="A262" s="50"/>
      <c r="D262" s="50"/>
      <c r="F262" s="50"/>
      <c r="J262" s="50"/>
      <c r="K262" s="50"/>
    </row>
    <row r="263">
      <c r="A263" s="50"/>
      <c r="D263" s="50"/>
      <c r="F263" s="50"/>
      <c r="J263" s="50"/>
      <c r="K263" s="50"/>
    </row>
    <row r="264">
      <c r="A264" s="50"/>
      <c r="D264" s="50"/>
      <c r="F264" s="50"/>
      <c r="J264" s="50"/>
      <c r="K264" s="50"/>
    </row>
    <row r="265">
      <c r="A265" s="50"/>
      <c r="D265" s="50"/>
      <c r="F265" s="50"/>
      <c r="J265" s="50"/>
      <c r="K265" s="50"/>
    </row>
    <row r="266">
      <c r="A266" s="50"/>
      <c r="D266" s="50"/>
      <c r="F266" s="50"/>
      <c r="J266" s="50"/>
      <c r="K266" s="50"/>
    </row>
    <row r="267">
      <c r="A267" s="50"/>
      <c r="D267" s="50"/>
      <c r="F267" s="50"/>
      <c r="J267" s="50"/>
      <c r="K267" s="50"/>
    </row>
    <row r="268">
      <c r="A268" s="50"/>
      <c r="D268" s="50"/>
      <c r="F268" s="50"/>
      <c r="J268" s="50"/>
      <c r="K268" s="50"/>
    </row>
    <row r="269">
      <c r="A269" s="50"/>
      <c r="D269" s="50"/>
      <c r="F269" s="50"/>
      <c r="J269" s="50"/>
      <c r="K269" s="50"/>
    </row>
    <row r="270">
      <c r="A270" s="50"/>
      <c r="D270" s="50"/>
      <c r="F270" s="50"/>
      <c r="J270" s="50"/>
      <c r="K270" s="50"/>
    </row>
    <row r="271">
      <c r="A271" s="50"/>
      <c r="D271" s="50"/>
      <c r="F271" s="50"/>
      <c r="J271" s="50"/>
      <c r="K271" s="50"/>
    </row>
    <row r="272">
      <c r="A272" s="50"/>
      <c r="D272" s="50"/>
      <c r="F272" s="50"/>
      <c r="J272" s="50"/>
      <c r="K272" s="50"/>
    </row>
    <row r="273">
      <c r="A273" s="50"/>
      <c r="D273" s="50"/>
      <c r="F273" s="50"/>
      <c r="J273" s="50"/>
      <c r="K273" s="50"/>
    </row>
    <row r="274">
      <c r="A274" s="50"/>
      <c r="D274" s="50"/>
      <c r="F274" s="50"/>
      <c r="J274" s="50"/>
      <c r="K274" s="50"/>
    </row>
    <row r="275">
      <c r="A275" s="50"/>
      <c r="D275" s="50"/>
      <c r="F275" s="50"/>
      <c r="J275" s="50"/>
      <c r="K275" s="50"/>
    </row>
    <row r="276">
      <c r="A276" s="50"/>
      <c r="D276" s="50"/>
      <c r="F276" s="50"/>
      <c r="J276" s="50"/>
      <c r="K276" s="50"/>
    </row>
    <row r="277">
      <c r="A277" s="50"/>
      <c r="D277" s="50"/>
      <c r="F277" s="50"/>
      <c r="J277" s="50"/>
      <c r="K277" s="50"/>
    </row>
    <row r="278">
      <c r="A278" s="50"/>
      <c r="D278" s="50"/>
      <c r="F278" s="50"/>
      <c r="J278" s="50"/>
      <c r="K278" s="50"/>
    </row>
    <row r="279">
      <c r="A279" s="50"/>
      <c r="D279" s="50"/>
      <c r="F279" s="50"/>
      <c r="J279" s="50"/>
      <c r="K279" s="50"/>
    </row>
    <row r="280">
      <c r="A280" s="50"/>
      <c r="D280" s="50"/>
      <c r="F280" s="50"/>
      <c r="J280" s="50"/>
      <c r="K280" s="50"/>
    </row>
    <row r="281">
      <c r="A281" s="50"/>
      <c r="D281" s="50"/>
      <c r="F281" s="50"/>
      <c r="J281" s="50"/>
      <c r="K281" s="50"/>
    </row>
    <row r="282">
      <c r="A282" s="50"/>
      <c r="D282" s="50"/>
      <c r="F282" s="50"/>
      <c r="J282" s="50"/>
      <c r="K282" s="50"/>
    </row>
    <row r="283">
      <c r="A283" s="50"/>
      <c r="D283" s="50"/>
      <c r="F283" s="50"/>
      <c r="J283" s="50"/>
      <c r="K283" s="50"/>
    </row>
    <row r="284">
      <c r="A284" s="50"/>
      <c r="D284" s="50"/>
      <c r="F284" s="50"/>
      <c r="J284" s="50"/>
      <c r="K284" s="50"/>
    </row>
    <row r="285">
      <c r="A285" s="50"/>
      <c r="D285" s="50"/>
      <c r="F285" s="50"/>
      <c r="J285" s="50"/>
      <c r="K285" s="50"/>
    </row>
    <row r="286">
      <c r="A286" s="50"/>
      <c r="D286" s="50"/>
      <c r="F286" s="50"/>
      <c r="J286" s="50"/>
      <c r="K286" s="50"/>
    </row>
    <row r="287">
      <c r="A287" s="50"/>
      <c r="D287" s="50"/>
      <c r="F287" s="50"/>
      <c r="J287" s="50"/>
      <c r="K287" s="50"/>
    </row>
    <row r="288">
      <c r="A288" s="50"/>
      <c r="D288" s="50"/>
      <c r="F288" s="50"/>
      <c r="J288" s="50"/>
      <c r="K288" s="50"/>
    </row>
    <row r="289">
      <c r="A289" s="50"/>
      <c r="D289" s="50"/>
      <c r="F289" s="50"/>
      <c r="J289" s="50"/>
      <c r="K289" s="50"/>
    </row>
    <row r="290">
      <c r="A290" s="50"/>
      <c r="D290" s="50"/>
      <c r="F290" s="50"/>
      <c r="J290" s="50"/>
      <c r="K290" s="50"/>
    </row>
    <row r="291">
      <c r="A291" s="50"/>
      <c r="D291" s="50"/>
      <c r="F291" s="50"/>
      <c r="J291" s="50"/>
      <c r="K291" s="50"/>
    </row>
    <row r="292">
      <c r="A292" s="50"/>
      <c r="D292" s="50"/>
      <c r="F292" s="50"/>
      <c r="J292" s="50"/>
      <c r="K292" s="50"/>
    </row>
    <row r="293">
      <c r="A293" s="50"/>
      <c r="D293" s="50"/>
      <c r="F293" s="50"/>
      <c r="J293" s="50"/>
      <c r="K293" s="50"/>
    </row>
    <row r="294">
      <c r="A294" s="50"/>
      <c r="D294" s="50"/>
      <c r="F294" s="50"/>
      <c r="J294" s="50"/>
      <c r="K294" s="50"/>
    </row>
    <row r="295">
      <c r="A295" s="50"/>
      <c r="D295" s="50"/>
      <c r="F295" s="50"/>
      <c r="J295" s="50"/>
      <c r="K295" s="50"/>
    </row>
    <row r="296">
      <c r="A296" s="50"/>
      <c r="D296" s="50"/>
      <c r="F296" s="50"/>
      <c r="J296" s="50"/>
      <c r="K296" s="50"/>
    </row>
    <row r="297">
      <c r="A297" s="50"/>
      <c r="D297" s="50"/>
      <c r="F297" s="50"/>
      <c r="J297" s="50"/>
      <c r="K297" s="50"/>
    </row>
    <row r="298">
      <c r="A298" s="50"/>
      <c r="D298" s="50"/>
      <c r="F298" s="50"/>
      <c r="J298" s="50"/>
      <c r="K298" s="50"/>
    </row>
    <row r="299">
      <c r="A299" s="50"/>
      <c r="D299" s="50"/>
      <c r="F299" s="50"/>
      <c r="J299" s="50"/>
      <c r="K299" s="50"/>
    </row>
    <row r="300">
      <c r="A300" s="50"/>
      <c r="D300" s="50"/>
      <c r="F300" s="50"/>
      <c r="J300" s="50"/>
      <c r="K300" s="50"/>
    </row>
    <row r="301">
      <c r="A301" s="50"/>
      <c r="D301" s="50"/>
      <c r="F301" s="50"/>
      <c r="J301" s="50"/>
      <c r="K301" s="50"/>
    </row>
    <row r="302">
      <c r="A302" s="50"/>
      <c r="D302" s="50"/>
      <c r="F302" s="50"/>
      <c r="J302" s="50"/>
      <c r="K302" s="50"/>
    </row>
    <row r="303">
      <c r="A303" s="50"/>
      <c r="D303" s="50"/>
      <c r="F303" s="50"/>
      <c r="J303" s="50"/>
      <c r="K303" s="50"/>
    </row>
    <row r="304">
      <c r="A304" s="50"/>
      <c r="D304" s="50"/>
      <c r="F304" s="50"/>
      <c r="J304" s="50"/>
      <c r="K304" s="50"/>
    </row>
    <row r="305">
      <c r="A305" s="50"/>
      <c r="D305" s="50"/>
      <c r="F305" s="50"/>
      <c r="J305" s="50"/>
      <c r="K305" s="50"/>
    </row>
    <row r="306">
      <c r="A306" s="50"/>
      <c r="D306" s="50"/>
      <c r="F306" s="50"/>
      <c r="J306" s="50"/>
      <c r="K306" s="50"/>
    </row>
    <row r="307">
      <c r="A307" s="50"/>
      <c r="D307" s="50"/>
      <c r="F307" s="50"/>
      <c r="J307" s="50"/>
      <c r="K307" s="50"/>
    </row>
    <row r="308">
      <c r="A308" s="50"/>
      <c r="D308" s="50"/>
      <c r="F308" s="50"/>
      <c r="J308" s="50"/>
      <c r="K308" s="50"/>
    </row>
    <row r="309">
      <c r="A309" s="50"/>
      <c r="D309" s="50"/>
      <c r="F309" s="50"/>
      <c r="J309" s="50"/>
      <c r="K309" s="50"/>
    </row>
    <row r="310">
      <c r="A310" s="50"/>
      <c r="D310" s="50"/>
      <c r="F310" s="50"/>
      <c r="J310" s="50"/>
      <c r="K310" s="50"/>
    </row>
    <row r="311">
      <c r="A311" s="50"/>
      <c r="D311" s="50"/>
      <c r="F311" s="50"/>
      <c r="J311" s="50"/>
      <c r="K311" s="50"/>
    </row>
    <row r="312">
      <c r="A312" s="50"/>
      <c r="D312" s="50"/>
      <c r="F312" s="50"/>
      <c r="J312" s="50"/>
      <c r="K312" s="50"/>
    </row>
    <row r="313">
      <c r="A313" s="50"/>
      <c r="D313" s="50"/>
      <c r="F313" s="50"/>
      <c r="J313" s="50"/>
      <c r="K313" s="50"/>
    </row>
    <row r="314">
      <c r="A314" s="50"/>
      <c r="D314" s="50"/>
      <c r="F314" s="50"/>
      <c r="J314" s="50"/>
      <c r="K314" s="50"/>
    </row>
    <row r="315">
      <c r="A315" s="50"/>
      <c r="D315" s="50"/>
      <c r="F315" s="50"/>
      <c r="J315" s="50"/>
      <c r="K315" s="50"/>
    </row>
    <row r="316">
      <c r="A316" s="50"/>
      <c r="D316" s="50"/>
      <c r="F316" s="50"/>
      <c r="J316" s="50"/>
      <c r="K316" s="50"/>
    </row>
    <row r="317">
      <c r="A317" s="50"/>
      <c r="D317" s="50"/>
      <c r="F317" s="50"/>
      <c r="J317" s="50"/>
      <c r="K317" s="50"/>
    </row>
    <row r="318">
      <c r="A318" s="50"/>
      <c r="D318" s="50"/>
      <c r="F318" s="50"/>
      <c r="J318" s="50"/>
      <c r="K318" s="50"/>
    </row>
    <row r="319">
      <c r="A319" s="50"/>
      <c r="D319" s="50"/>
      <c r="F319" s="50"/>
      <c r="J319" s="50"/>
      <c r="K319" s="50"/>
    </row>
    <row r="320">
      <c r="A320" s="50"/>
      <c r="D320" s="50"/>
      <c r="F320" s="50"/>
      <c r="J320" s="50"/>
      <c r="K320" s="50"/>
    </row>
    <row r="321">
      <c r="A321" s="50"/>
      <c r="D321" s="50"/>
      <c r="F321" s="50"/>
      <c r="J321" s="50"/>
      <c r="K321" s="50"/>
    </row>
    <row r="322">
      <c r="A322" s="50"/>
      <c r="D322" s="50"/>
      <c r="F322" s="50"/>
      <c r="J322" s="50"/>
      <c r="K322" s="50"/>
    </row>
    <row r="323">
      <c r="A323" s="50"/>
      <c r="D323" s="50"/>
      <c r="F323" s="50"/>
      <c r="J323" s="50"/>
      <c r="K323" s="50"/>
    </row>
    <row r="324">
      <c r="A324" s="50"/>
      <c r="D324" s="50"/>
      <c r="F324" s="50"/>
      <c r="J324" s="50"/>
      <c r="K324" s="50"/>
    </row>
    <row r="325">
      <c r="A325" s="50"/>
      <c r="D325" s="50"/>
      <c r="F325" s="50"/>
      <c r="J325" s="50"/>
      <c r="K325" s="50"/>
    </row>
    <row r="326">
      <c r="A326" s="50"/>
      <c r="D326" s="50"/>
      <c r="F326" s="50"/>
      <c r="J326" s="50"/>
      <c r="K326" s="50"/>
    </row>
    <row r="327">
      <c r="A327" s="50"/>
      <c r="D327" s="50"/>
      <c r="F327" s="50"/>
      <c r="J327" s="50"/>
      <c r="K327" s="50"/>
    </row>
    <row r="328">
      <c r="A328" s="50"/>
      <c r="D328" s="50"/>
      <c r="F328" s="50"/>
      <c r="J328" s="50"/>
      <c r="K328" s="50"/>
    </row>
    <row r="329">
      <c r="A329" s="50"/>
      <c r="D329" s="50"/>
      <c r="F329" s="50"/>
      <c r="J329" s="50"/>
      <c r="K329" s="50"/>
    </row>
    <row r="330">
      <c r="A330" s="50"/>
      <c r="D330" s="50"/>
      <c r="F330" s="50"/>
      <c r="J330" s="50"/>
      <c r="K330" s="50"/>
    </row>
    <row r="331">
      <c r="A331" s="50"/>
      <c r="D331" s="50"/>
      <c r="F331" s="50"/>
      <c r="J331" s="50"/>
      <c r="K331" s="50"/>
    </row>
    <row r="332">
      <c r="A332" s="50"/>
      <c r="D332" s="50"/>
      <c r="F332" s="50"/>
      <c r="J332" s="50"/>
      <c r="K332" s="50"/>
    </row>
    <row r="333">
      <c r="A333" s="50"/>
      <c r="D333" s="50"/>
      <c r="F333" s="50"/>
      <c r="J333" s="50"/>
      <c r="K333" s="50"/>
    </row>
    <row r="334">
      <c r="A334" s="50"/>
      <c r="D334" s="50"/>
      <c r="F334" s="50"/>
      <c r="J334" s="50"/>
      <c r="K334" s="50"/>
    </row>
    <row r="335">
      <c r="A335" s="50"/>
      <c r="D335" s="50"/>
      <c r="F335" s="50"/>
      <c r="J335" s="50"/>
      <c r="K335" s="50"/>
    </row>
    <row r="336">
      <c r="A336" s="50"/>
      <c r="D336" s="50"/>
      <c r="F336" s="50"/>
      <c r="J336" s="50"/>
      <c r="K336" s="50"/>
    </row>
    <row r="337">
      <c r="A337" s="50"/>
      <c r="D337" s="50"/>
      <c r="F337" s="50"/>
      <c r="J337" s="50"/>
      <c r="K337" s="50"/>
    </row>
    <row r="338">
      <c r="A338" s="50"/>
      <c r="D338" s="50"/>
      <c r="F338" s="50"/>
      <c r="J338" s="50"/>
      <c r="K338" s="50"/>
    </row>
    <row r="339">
      <c r="A339" s="50"/>
      <c r="D339" s="50"/>
      <c r="F339" s="50"/>
      <c r="J339" s="50"/>
      <c r="K339" s="50"/>
    </row>
    <row r="340">
      <c r="A340" s="50"/>
      <c r="D340" s="50"/>
      <c r="F340" s="50"/>
      <c r="J340" s="50"/>
      <c r="K340" s="50"/>
    </row>
    <row r="341">
      <c r="A341" s="50"/>
      <c r="D341" s="50"/>
      <c r="F341" s="50"/>
      <c r="J341" s="50"/>
      <c r="K341" s="50"/>
    </row>
    <row r="342">
      <c r="A342" s="50"/>
      <c r="D342" s="50"/>
      <c r="F342" s="50"/>
      <c r="J342" s="50"/>
      <c r="K342" s="50"/>
    </row>
    <row r="343">
      <c r="A343" s="50"/>
      <c r="D343" s="50"/>
      <c r="F343" s="50"/>
      <c r="J343" s="50"/>
      <c r="K343" s="50"/>
    </row>
    <row r="344">
      <c r="A344" s="50"/>
      <c r="D344" s="50"/>
      <c r="F344" s="50"/>
      <c r="J344" s="50"/>
      <c r="K344" s="50"/>
    </row>
    <row r="345">
      <c r="A345" s="50"/>
      <c r="D345" s="50"/>
      <c r="F345" s="50"/>
      <c r="J345" s="50"/>
      <c r="K345" s="50"/>
    </row>
    <row r="346">
      <c r="A346" s="50"/>
      <c r="D346" s="50"/>
      <c r="F346" s="50"/>
      <c r="J346" s="50"/>
      <c r="K346" s="50"/>
    </row>
    <row r="347">
      <c r="A347" s="50"/>
      <c r="D347" s="50"/>
      <c r="F347" s="50"/>
      <c r="J347" s="50"/>
      <c r="K347" s="50"/>
    </row>
    <row r="348">
      <c r="A348" s="50"/>
      <c r="D348" s="50"/>
      <c r="F348" s="50"/>
      <c r="J348" s="50"/>
      <c r="K348" s="50"/>
    </row>
    <row r="349">
      <c r="A349" s="50"/>
      <c r="D349" s="50"/>
      <c r="F349" s="50"/>
      <c r="J349" s="50"/>
      <c r="K349" s="50"/>
    </row>
    <row r="350">
      <c r="A350" s="50"/>
      <c r="D350" s="50"/>
      <c r="F350" s="50"/>
      <c r="J350" s="50"/>
      <c r="K350" s="50"/>
    </row>
    <row r="351">
      <c r="A351" s="50"/>
      <c r="D351" s="50"/>
      <c r="F351" s="50"/>
      <c r="J351" s="50"/>
      <c r="K351" s="50"/>
    </row>
    <row r="352">
      <c r="A352" s="50"/>
      <c r="D352" s="50"/>
      <c r="F352" s="50"/>
      <c r="J352" s="50"/>
      <c r="K352" s="50"/>
    </row>
    <row r="353">
      <c r="A353" s="50"/>
      <c r="D353" s="50"/>
      <c r="F353" s="50"/>
      <c r="J353" s="50"/>
      <c r="K353" s="50"/>
    </row>
    <row r="354">
      <c r="A354" s="50"/>
      <c r="D354" s="50"/>
      <c r="F354" s="50"/>
      <c r="J354" s="50"/>
      <c r="K354" s="50"/>
    </row>
    <row r="355">
      <c r="A355" s="50"/>
      <c r="D355" s="50"/>
      <c r="F355" s="50"/>
      <c r="J355" s="50"/>
      <c r="K355" s="50"/>
    </row>
    <row r="356">
      <c r="A356" s="50"/>
      <c r="D356" s="50"/>
      <c r="F356" s="50"/>
      <c r="J356" s="50"/>
      <c r="K356" s="50"/>
    </row>
    <row r="357">
      <c r="A357" s="50"/>
      <c r="D357" s="50"/>
      <c r="F357" s="50"/>
      <c r="J357" s="50"/>
      <c r="K357" s="50"/>
    </row>
    <row r="358">
      <c r="A358" s="50"/>
      <c r="D358" s="50"/>
      <c r="F358" s="50"/>
      <c r="J358" s="50"/>
      <c r="K358" s="50"/>
    </row>
    <row r="359">
      <c r="A359" s="50"/>
      <c r="D359" s="50"/>
      <c r="F359" s="50"/>
      <c r="J359" s="50"/>
      <c r="K359" s="50"/>
    </row>
    <row r="360">
      <c r="A360" s="50"/>
      <c r="D360" s="50"/>
      <c r="F360" s="50"/>
      <c r="J360" s="50"/>
      <c r="K360" s="50"/>
    </row>
    <row r="361">
      <c r="A361" s="50"/>
      <c r="D361" s="50"/>
      <c r="F361" s="50"/>
      <c r="J361" s="50"/>
      <c r="K361" s="50"/>
    </row>
    <row r="362">
      <c r="A362" s="50"/>
      <c r="D362" s="50"/>
      <c r="F362" s="50"/>
      <c r="J362" s="50"/>
      <c r="K362" s="50"/>
    </row>
    <row r="363">
      <c r="A363" s="50"/>
      <c r="D363" s="50"/>
      <c r="F363" s="50"/>
      <c r="J363" s="50"/>
      <c r="K363" s="50"/>
    </row>
    <row r="364">
      <c r="A364" s="50"/>
      <c r="D364" s="50"/>
      <c r="F364" s="50"/>
      <c r="J364" s="50"/>
      <c r="K364" s="50"/>
    </row>
    <row r="365">
      <c r="A365" s="50"/>
      <c r="D365" s="50"/>
      <c r="F365" s="50"/>
      <c r="J365" s="50"/>
      <c r="K365" s="50"/>
    </row>
    <row r="366">
      <c r="A366" s="50"/>
      <c r="D366" s="50"/>
      <c r="F366" s="50"/>
      <c r="J366" s="50"/>
      <c r="K366" s="50"/>
    </row>
    <row r="367">
      <c r="A367" s="50"/>
      <c r="D367" s="50"/>
      <c r="F367" s="50"/>
      <c r="J367" s="50"/>
      <c r="K367" s="50"/>
    </row>
    <row r="368">
      <c r="A368" s="50"/>
      <c r="D368" s="50"/>
      <c r="F368" s="50"/>
      <c r="J368" s="50"/>
      <c r="K368" s="50"/>
    </row>
    <row r="369">
      <c r="A369" s="50"/>
      <c r="D369" s="50"/>
      <c r="F369" s="50"/>
      <c r="J369" s="50"/>
      <c r="K369" s="50"/>
    </row>
    <row r="370">
      <c r="A370" s="50"/>
      <c r="D370" s="50"/>
      <c r="F370" s="50"/>
      <c r="J370" s="50"/>
      <c r="K370" s="50"/>
    </row>
    <row r="371">
      <c r="A371" s="50"/>
      <c r="D371" s="50"/>
      <c r="F371" s="50"/>
      <c r="J371" s="50"/>
      <c r="K371" s="50"/>
    </row>
    <row r="372">
      <c r="A372" s="50"/>
      <c r="D372" s="50"/>
      <c r="F372" s="50"/>
      <c r="J372" s="50"/>
      <c r="K372" s="50"/>
    </row>
    <row r="373">
      <c r="A373" s="50"/>
      <c r="D373" s="50"/>
      <c r="F373" s="50"/>
      <c r="J373" s="50"/>
      <c r="K373" s="50"/>
    </row>
    <row r="374">
      <c r="A374" s="50"/>
      <c r="D374" s="50"/>
      <c r="F374" s="50"/>
      <c r="J374" s="50"/>
      <c r="K374" s="50"/>
    </row>
    <row r="375">
      <c r="A375" s="50"/>
      <c r="D375" s="50"/>
      <c r="F375" s="50"/>
      <c r="J375" s="50"/>
      <c r="K375" s="50"/>
    </row>
    <row r="376">
      <c r="A376" s="50"/>
      <c r="D376" s="50"/>
      <c r="F376" s="50"/>
      <c r="J376" s="50"/>
      <c r="K376" s="50"/>
    </row>
    <row r="377">
      <c r="A377" s="50"/>
      <c r="D377" s="50"/>
      <c r="F377" s="50"/>
      <c r="J377" s="50"/>
      <c r="K377" s="50"/>
    </row>
    <row r="378">
      <c r="A378" s="50"/>
      <c r="D378" s="50"/>
      <c r="F378" s="50"/>
      <c r="J378" s="50"/>
      <c r="K378" s="50"/>
    </row>
    <row r="379">
      <c r="A379" s="50"/>
      <c r="D379" s="50"/>
      <c r="F379" s="50"/>
      <c r="J379" s="50"/>
      <c r="K379" s="50"/>
    </row>
    <row r="380">
      <c r="A380" s="50"/>
      <c r="D380" s="50"/>
      <c r="F380" s="50"/>
      <c r="J380" s="50"/>
      <c r="K380" s="50"/>
    </row>
    <row r="381">
      <c r="A381" s="50"/>
      <c r="D381" s="50"/>
      <c r="F381" s="50"/>
      <c r="J381" s="50"/>
      <c r="K381" s="50"/>
    </row>
    <row r="382">
      <c r="A382" s="50"/>
      <c r="D382" s="50"/>
      <c r="F382" s="50"/>
      <c r="J382" s="50"/>
      <c r="K382" s="50"/>
    </row>
    <row r="383">
      <c r="A383" s="50"/>
      <c r="D383" s="50"/>
      <c r="F383" s="50"/>
      <c r="J383" s="50"/>
      <c r="K383" s="50"/>
    </row>
    <row r="384">
      <c r="A384" s="50"/>
      <c r="D384" s="50"/>
      <c r="F384" s="50"/>
      <c r="J384" s="50"/>
      <c r="K384" s="50"/>
    </row>
    <row r="385">
      <c r="A385" s="50"/>
      <c r="D385" s="50"/>
      <c r="F385" s="50"/>
      <c r="J385" s="50"/>
      <c r="K385" s="50"/>
    </row>
    <row r="386">
      <c r="A386" s="50"/>
      <c r="D386" s="50"/>
      <c r="F386" s="50"/>
      <c r="J386" s="50"/>
      <c r="K386" s="50"/>
    </row>
    <row r="387">
      <c r="A387" s="50"/>
      <c r="D387" s="50"/>
      <c r="F387" s="50"/>
      <c r="J387" s="50"/>
      <c r="K387" s="50"/>
    </row>
    <row r="388">
      <c r="A388" s="50"/>
      <c r="D388" s="50"/>
      <c r="F388" s="50"/>
      <c r="J388" s="50"/>
      <c r="K388" s="50"/>
    </row>
    <row r="389">
      <c r="A389" s="50"/>
      <c r="D389" s="50"/>
      <c r="F389" s="50"/>
      <c r="J389" s="50"/>
      <c r="K389" s="50"/>
    </row>
    <row r="390">
      <c r="A390" s="50"/>
      <c r="D390" s="50"/>
      <c r="F390" s="50"/>
      <c r="J390" s="50"/>
      <c r="K390" s="50"/>
    </row>
    <row r="391">
      <c r="A391" s="50"/>
      <c r="D391" s="50"/>
      <c r="F391" s="50"/>
      <c r="J391" s="50"/>
      <c r="K391" s="50"/>
    </row>
    <row r="392">
      <c r="A392" s="50"/>
      <c r="D392" s="50"/>
      <c r="F392" s="50"/>
      <c r="J392" s="50"/>
      <c r="K392" s="50"/>
    </row>
    <row r="393">
      <c r="A393" s="50"/>
      <c r="D393" s="50"/>
      <c r="F393" s="50"/>
      <c r="J393" s="50"/>
      <c r="K393" s="50"/>
    </row>
    <row r="394">
      <c r="A394" s="50"/>
      <c r="D394" s="50"/>
      <c r="F394" s="50"/>
      <c r="J394" s="50"/>
      <c r="K394" s="50"/>
    </row>
    <row r="395">
      <c r="A395" s="50"/>
      <c r="D395" s="50"/>
      <c r="F395" s="50"/>
      <c r="J395" s="50"/>
      <c r="K395" s="50"/>
    </row>
    <row r="396">
      <c r="A396" s="50"/>
      <c r="D396" s="50"/>
      <c r="F396" s="50"/>
      <c r="J396" s="50"/>
      <c r="K396" s="50"/>
    </row>
    <row r="397">
      <c r="A397" s="50"/>
      <c r="D397" s="50"/>
      <c r="F397" s="50"/>
      <c r="J397" s="50"/>
      <c r="K397" s="50"/>
    </row>
    <row r="398">
      <c r="A398" s="50"/>
      <c r="D398" s="50"/>
      <c r="F398" s="50"/>
      <c r="J398" s="50"/>
      <c r="K398" s="50"/>
    </row>
    <row r="399">
      <c r="A399" s="50"/>
      <c r="D399" s="50"/>
      <c r="F399" s="50"/>
      <c r="J399" s="50"/>
      <c r="K399" s="50"/>
    </row>
    <row r="400">
      <c r="A400" s="50"/>
      <c r="D400" s="50"/>
      <c r="F400" s="50"/>
      <c r="J400" s="50"/>
      <c r="K400" s="50"/>
    </row>
    <row r="401">
      <c r="A401" s="50"/>
      <c r="D401" s="50"/>
      <c r="F401" s="50"/>
      <c r="J401" s="50"/>
      <c r="K401" s="50"/>
    </row>
    <row r="402">
      <c r="A402" s="50"/>
      <c r="D402" s="50"/>
      <c r="F402" s="50"/>
      <c r="J402" s="50"/>
      <c r="K402" s="50"/>
    </row>
    <row r="403">
      <c r="A403" s="50"/>
      <c r="D403" s="50"/>
      <c r="F403" s="50"/>
      <c r="J403" s="50"/>
      <c r="K403" s="50"/>
    </row>
    <row r="404">
      <c r="A404" s="50"/>
      <c r="D404" s="50"/>
      <c r="F404" s="50"/>
      <c r="J404" s="50"/>
      <c r="K404" s="50"/>
    </row>
    <row r="405">
      <c r="A405" s="50"/>
      <c r="D405" s="50"/>
      <c r="F405" s="50"/>
      <c r="J405" s="50"/>
      <c r="K405" s="50"/>
    </row>
    <row r="406">
      <c r="A406" s="50"/>
      <c r="D406" s="50"/>
      <c r="F406" s="50"/>
      <c r="J406" s="50"/>
      <c r="K406" s="50"/>
    </row>
    <row r="407">
      <c r="A407" s="50"/>
      <c r="D407" s="50"/>
      <c r="F407" s="50"/>
      <c r="J407" s="50"/>
      <c r="K407" s="50"/>
    </row>
    <row r="408">
      <c r="A408" s="50"/>
      <c r="D408" s="50"/>
      <c r="F408" s="50"/>
      <c r="J408" s="50"/>
      <c r="K408" s="50"/>
    </row>
    <row r="409">
      <c r="A409" s="50"/>
      <c r="D409" s="50"/>
      <c r="F409" s="50"/>
      <c r="J409" s="50"/>
      <c r="K409" s="50"/>
    </row>
    <row r="410">
      <c r="A410" s="50"/>
      <c r="D410" s="50"/>
      <c r="F410" s="50"/>
      <c r="J410" s="50"/>
      <c r="K410" s="50"/>
    </row>
    <row r="411">
      <c r="A411" s="50"/>
      <c r="D411" s="50"/>
      <c r="F411" s="50"/>
      <c r="J411" s="50"/>
      <c r="K411" s="50"/>
    </row>
    <row r="412">
      <c r="A412" s="50"/>
      <c r="D412" s="50"/>
      <c r="F412" s="50"/>
      <c r="J412" s="50"/>
      <c r="K412" s="50"/>
    </row>
    <row r="413">
      <c r="A413" s="50"/>
      <c r="D413" s="50"/>
      <c r="F413" s="50"/>
      <c r="J413" s="50"/>
      <c r="K413" s="50"/>
    </row>
    <row r="414">
      <c r="A414" s="50"/>
      <c r="D414" s="50"/>
      <c r="F414" s="50"/>
      <c r="J414" s="50"/>
      <c r="K414" s="50"/>
    </row>
    <row r="415">
      <c r="A415" s="50"/>
      <c r="D415" s="50"/>
      <c r="F415" s="50"/>
      <c r="J415" s="50"/>
      <c r="K415" s="50"/>
    </row>
    <row r="416">
      <c r="A416" s="50"/>
      <c r="D416" s="50"/>
      <c r="F416" s="50"/>
      <c r="J416" s="50"/>
      <c r="K416" s="50"/>
    </row>
    <row r="417">
      <c r="A417" s="50"/>
      <c r="D417" s="50"/>
      <c r="F417" s="50"/>
      <c r="J417" s="50"/>
      <c r="K417" s="50"/>
    </row>
    <row r="418">
      <c r="A418" s="50"/>
      <c r="D418" s="50"/>
      <c r="F418" s="50"/>
      <c r="J418" s="50"/>
      <c r="K418" s="50"/>
    </row>
    <row r="419">
      <c r="A419" s="50"/>
      <c r="D419" s="50"/>
      <c r="F419" s="50"/>
      <c r="J419" s="50"/>
      <c r="K419" s="50"/>
    </row>
    <row r="420">
      <c r="A420" s="50"/>
      <c r="D420" s="50"/>
      <c r="F420" s="50"/>
      <c r="J420" s="50"/>
      <c r="K420" s="50"/>
    </row>
    <row r="421">
      <c r="A421" s="50"/>
      <c r="D421" s="50"/>
      <c r="F421" s="50"/>
      <c r="J421" s="50"/>
      <c r="K421" s="50"/>
    </row>
    <row r="422">
      <c r="A422" s="50"/>
      <c r="D422" s="50"/>
      <c r="F422" s="50"/>
      <c r="J422" s="50"/>
      <c r="K422" s="50"/>
    </row>
    <row r="423">
      <c r="A423" s="50"/>
      <c r="D423" s="50"/>
      <c r="F423" s="50"/>
      <c r="J423" s="50"/>
      <c r="K423" s="50"/>
    </row>
    <row r="424">
      <c r="A424" s="50"/>
      <c r="D424" s="50"/>
      <c r="F424" s="50"/>
      <c r="J424" s="50"/>
      <c r="K424" s="50"/>
    </row>
    <row r="425">
      <c r="A425" s="50"/>
      <c r="D425" s="50"/>
      <c r="F425" s="50"/>
      <c r="J425" s="50"/>
      <c r="K425" s="50"/>
    </row>
    <row r="426">
      <c r="A426" s="50"/>
      <c r="D426" s="50"/>
      <c r="F426" s="50"/>
      <c r="J426" s="50"/>
      <c r="K426" s="50"/>
    </row>
    <row r="427">
      <c r="A427" s="50"/>
      <c r="D427" s="50"/>
      <c r="F427" s="50"/>
      <c r="J427" s="50"/>
      <c r="K427" s="50"/>
    </row>
    <row r="428">
      <c r="A428" s="50"/>
      <c r="D428" s="50"/>
      <c r="F428" s="50"/>
      <c r="J428" s="50"/>
      <c r="K428" s="50"/>
    </row>
    <row r="429">
      <c r="A429" s="50"/>
      <c r="D429" s="50"/>
      <c r="F429" s="50"/>
      <c r="J429" s="50"/>
      <c r="K429" s="50"/>
    </row>
    <row r="430">
      <c r="A430" s="50"/>
      <c r="D430" s="50"/>
      <c r="F430" s="50"/>
      <c r="J430" s="50"/>
      <c r="K430" s="50"/>
    </row>
    <row r="431">
      <c r="A431" s="50"/>
      <c r="D431" s="50"/>
      <c r="F431" s="50"/>
      <c r="J431" s="50"/>
      <c r="K431" s="50"/>
    </row>
    <row r="432">
      <c r="A432" s="50"/>
      <c r="D432" s="50"/>
      <c r="F432" s="50"/>
      <c r="J432" s="50"/>
      <c r="K432" s="50"/>
    </row>
    <row r="433">
      <c r="A433" s="50"/>
      <c r="D433" s="50"/>
      <c r="F433" s="50"/>
      <c r="J433" s="50"/>
      <c r="K433" s="50"/>
    </row>
    <row r="434">
      <c r="A434" s="50"/>
      <c r="D434" s="50"/>
      <c r="F434" s="50"/>
      <c r="J434" s="50"/>
      <c r="K434" s="50"/>
    </row>
    <row r="435">
      <c r="A435" s="50"/>
      <c r="D435" s="50"/>
      <c r="F435" s="50"/>
      <c r="J435" s="50"/>
      <c r="K435" s="50"/>
    </row>
    <row r="436">
      <c r="A436" s="50"/>
      <c r="D436" s="50"/>
      <c r="F436" s="50"/>
      <c r="J436" s="50"/>
      <c r="K436" s="50"/>
    </row>
    <row r="437">
      <c r="A437" s="50"/>
      <c r="D437" s="50"/>
      <c r="F437" s="50"/>
      <c r="J437" s="50"/>
      <c r="K437" s="50"/>
    </row>
    <row r="438">
      <c r="A438" s="50"/>
      <c r="D438" s="50"/>
      <c r="F438" s="50"/>
      <c r="J438" s="50"/>
      <c r="K438" s="50"/>
    </row>
    <row r="439">
      <c r="A439" s="50"/>
      <c r="D439" s="50"/>
      <c r="F439" s="50"/>
      <c r="J439" s="50"/>
      <c r="K439" s="50"/>
    </row>
    <row r="440">
      <c r="A440" s="50"/>
      <c r="D440" s="50"/>
      <c r="F440" s="50"/>
      <c r="J440" s="50"/>
      <c r="K440" s="50"/>
    </row>
    <row r="441">
      <c r="A441" s="50"/>
      <c r="D441" s="50"/>
      <c r="F441" s="50"/>
      <c r="J441" s="50"/>
      <c r="K441" s="50"/>
    </row>
    <row r="442">
      <c r="A442" s="50"/>
      <c r="D442" s="50"/>
      <c r="F442" s="50"/>
      <c r="J442" s="50"/>
      <c r="K442" s="50"/>
    </row>
    <row r="443">
      <c r="A443" s="50"/>
      <c r="D443" s="50"/>
      <c r="F443" s="50"/>
      <c r="J443" s="50"/>
      <c r="K443" s="50"/>
    </row>
    <row r="444">
      <c r="A444" s="50"/>
      <c r="D444" s="50"/>
      <c r="F444" s="50"/>
      <c r="J444" s="50"/>
      <c r="K444" s="50"/>
    </row>
    <row r="445">
      <c r="A445" s="50"/>
      <c r="D445" s="50"/>
      <c r="F445" s="50"/>
      <c r="J445" s="50"/>
      <c r="K445" s="50"/>
    </row>
    <row r="446">
      <c r="A446" s="50"/>
      <c r="D446" s="50"/>
      <c r="F446" s="50"/>
      <c r="J446" s="50"/>
      <c r="K446" s="50"/>
    </row>
    <row r="447">
      <c r="A447" s="50"/>
      <c r="D447" s="50"/>
      <c r="F447" s="50"/>
      <c r="J447" s="50"/>
      <c r="K447" s="50"/>
    </row>
    <row r="448">
      <c r="A448" s="50"/>
      <c r="D448" s="50"/>
      <c r="F448" s="50"/>
      <c r="J448" s="50"/>
      <c r="K448" s="50"/>
    </row>
    <row r="449">
      <c r="A449" s="50"/>
      <c r="D449" s="50"/>
      <c r="F449" s="50"/>
      <c r="J449" s="50"/>
      <c r="K449" s="50"/>
    </row>
    <row r="450">
      <c r="A450" s="50"/>
      <c r="D450" s="50"/>
      <c r="F450" s="50"/>
      <c r="J450" s="50"/>
      <c r="K450" s="50"/>
    </row>
    <row r="451">
      <c r="A451" s="50"/>
      <c r="D451" s="50"/>
      <c r="F451" s="50"/>
      <c r="J451" s="50"/>
      <c r="K451" s="50"/>
    </row>
    <row r="452">
      <c r="A452" s="50"/>
      <c r="D452" s="50"/>
      <c r="F452" s="50"/>
      <c r="J452" s="50"/>
      <c r="K452" s="50"/>
    </row>
    <row r="453">
      <c r="A453" s="50"/>
      <c r="D453" s="50"/>
      <c r="F453" s="50"/>
      <c r="J453" s="50"/>
      <c r="K453" s="50"/>
    </row>
    <row r="454">
      <c r="A454" s="50"/>
      <c r="D454" s="50"/>
      <c r="F454" s="50"/>
      <c r="J454" s="50"/>
      <c r="K454" s="50"/>
    </row>
    <row r="455">
      <c r="A455" s="50"/>
      <c r="D455" s="50"/>
      <c r="F455" s="50"/>
      <c r="J455" s="50"/>
      <c r="K455" s="50"/>
    </row>
    <row r="456">
      <c r="A456" s="50"/>
      <c r="D456" s="50"/>
      <c r="F456" s="50"/>
      <c r="J456" s="50"/>
      <c r="K456" s="50"/>
    </row>
    <row r="457">
      <c r="A457" s="50"/>
      <c r="D457" s="50"/>
      <c r="F457" s="50"/>
      <c r="J457" s="50"/>
      <c r="K457" s="50"/>
    </row>
    <row r="458">
      <c r="A458" s="50"/>
      <c r="D458" s="50"/>
      <c r="F458" s="50"/>
      <c r="J458" s="50"/>
      <c r="K458" s="50"/>
    </row>
    <row r="459">
      <c r="A459" s="50"/>
      <c r="D459" s="50"/>
      <c r="F459" s="50"/>
      <c r="J459" s="50"/>
      <c r="K459" s="50"/>
    </row>
    <row r="460">
      <c r="A460" s="50"/>
      <c r="D460" s="50"/>
      <c r="F460" s="50"/>
      <c r="J460" s="50"/>
      <c r="K460" s="50"/>
    </row>
    <row r="461">
      <c r="A461" s="50"/>
      <c r="D461" s="50"/>
      <c r="F461" s="50"/>
      <c r="J461" s="50"/>
      <c r="K461" s="50"/>
    </row>
    <row r="462">
      <c r="A462" s="50"/>
      <c r="D462" s="50"/>
      <c r="F462" s="50"/>
      <c r="J462" s="50"/>
      <c r="K462" s="50"/>
    </row>
    <row r="463">
      <c r="A463" s="50"/>
      <c r="D463" s="50"/>
      <c r="F463" s="50"/>
      <c r="J463" s="50"/>
      <c r="K463" s="50"/>
    </row>
    <row r="464">
      <c r="A464" s="50"/>
      <c r="D464" s="50"/>
      <c r="F464" s="50"/>
      <c r="J464" s="50"/>
      <c r="K464" s="50"/>
    </row>
    <row r="465">
      <c r="A465" s="50"/>
      <c r="D465" s="50"/>
      <c r="F465" s="50"/>
      <c r="J465" s="50"/>
      <c r="K465" s="50"/>
    </row>
    <row r="466">
      <c r="A466" s="50"/>
      <c r="D466" s="50"/>
      <c r="F466" s="50"/>
      <c r="J466" s="50"/>
      <c r="K466" s="50"/>
    </row>
    <row r="467">
      <c r="A467" s="50"/>
      <c r="D467" s="50"/>
      <c r="F467" s="50"/>
      <c r="J467" s="50"/>
      <c r="K467" s="50"/>
    </row>
    <row r="468">
      <c r="A468" s="50"/>
      <c r="D468" s="50"/>
      <c r="F468" s="50"/>
      <c r="J468" s="50"/>
      <c r="K468" s="50"/>
    </row>
    <row r="469">
      <c r="A469" s="50"/>
      <c r="D469" s="50"/>
      <c r="F469" s="50"/>
      <c r="J469" s="50"/>
      <c r="K469" s="50"/>
    </row>
    <row r="470">
      <c r="A470" s="50"/>
      <c r="D470" s="50"/>
      <c r="F470" s="50"/>
      <c r="J470" s="50"/>
      <c r="K470" s="50"/>
    </row>
    <row r="471">
      <c r="A471" s="50"/>
      <c r="D471" s="50"/>
      <c r="F471" s="50"/>
      <c r="J471" s="50"/>
      <c r="K471" s="50"/>
    </row>
    <row r="472">
      <c r="A472" s="50"/>
      <c r="D472" s="50"/>
      <c r="F472" s="50"/>
      <c r="J472" s="50"/>
      <c r="K472" s="50"/>
    </row>
    <row r="473">
      <c r="A473" s="50"/>
      <c r="D473" s="50"/>
      <c r="F473" s="50"/>
      <c r="J473" s="50"/>
      <c r="K473" s="50"/>
    </row>
    <row r="474">
      <c r="A474" s="50"/>
      <c r="D474" s="50"/>
      <c r="F474" s="50"/>
      <c r="J474" s="50"/>
      <c r="K474" s="50"/>
    </row>
    <row r="475">
      <c r="A475" s="50"/>
      <c r="D475" s="50"/>
      <c r="F475" s="50"/>
      <c r="J475" s="50"/>
      <c r="K475" s="50"/>
    </row>
    <row r="476">
      <c r="A476" s="50"/>
      <c r="D476" s="50"/>
      <c r="F476" s="50"/>
      <c r="J476" s="50"/>
      <c r="K476" s="50"/>
    </row>
    <row r="477">
      <c r="A477" s="50"/>
      <c r="D477" s="50"/>
      <c r="F477" s="50"/>
      <c r="J477" s="50"/>
      <c r="K477" s="50"/>
    </row>
    <row r="478">
      <c r="A478" s="50"/>
      <c r="D478" s="50"/>
      <c r="F478" s="50"/>
      <c r="J478" s="50"/>
      <c r="K478" s="50"/>
    </row>
    <row r="479">
      <c r="A479" s="50"/>
      <c r="D479" s="50"/>
      <c r="F479" s="50"/>
      <c r="J479" s="50"/>
      <c r="K479" s="50"/>
    </row>
    <row r="480">
      <c r="A480" s="50"/>
      <c r="D480" s="50"/>
      <c r="F480" s="50"/>
      <c r="J480" s="50"/>
      <c r="K480" s="50"/>
    </row>
    <row r="481">
      <c r="A481" s="50"/>
      <c r="D481" s="50"/>
      <c r="F481" s="50"/>
      <c r="J481" s="50"/>
      <c r="K481" s="50"/>
    </row>
    <row r="482">
      <c r="A482" s="50"/>
      <c r="D482" s="50"/>
      <c r="F482" s="50"/>
      <c r="J482" s="50"/>
      <c r="K482" s="50"/>
    </row>
    <row r="483">
      <c r="A483" s="50"/>
      <c r="D483" s="50"/>
      <c r="F483" s="50"/>
      <c r="J483" s="50"/>
      <c r="K483" s="50"/>
    </row>
    <row r="484">
      <c r="A484" s="50"/>
      <c r="D484" s="50"/>
      <c r="F484" s="50"/>
      <c r="J484" s="50"/>
      <c r="K484" s="50"/>
    </row>
    <row r="485">
      <c r="A485" s="50"/>
      <c r="D485" s="50"/>
      <c r="F485" s="50"/>
      <c r="J485" s="50"/>
      <c r="K485" s="50"/>
    </row>
    <row r="486">
      <c r="A486" s="50"/>
      <c r="D486" s="50"/>
      <c r="F486" s="50"/>
      <c r="J486" s="50"/>
      <c r="K486" s="50"/>
    </row>
    <row r="487">
      <c r="A487" s="50"/>
      <c r="D487" s="50"/>
      <c r="F487" s="50"/>
      <c r="J487" s="50"/>
      <c r="K487" s="50"/>
    </row>
    <row r="488">
      <c r="A488" s="50"/>
      <c r="D488" s="50"/>
      <c r="F488" s="50"/>
      <c r="J488" s="50"/>
      <c r="K488" s="50"/>
    </row>
    <row r="489">
      <c r="A489" s="50"/>
      <c r="D489" s="50"/>
      <c r="F489" s="50"/>
      <c r="J489" s="50"/>
      <c r="K489" s="50"/>
    </row>
    <row r="490">
      <c r="A490" s="50"/>
      <c r="D490" s="50"/>
      <c r="F490" s="50"/>
      <c r="J490" s="50"/>
      <c r="K490" s="50"/>
    </row>
    <row r="491">
      <c r="A491" s="50"/>
      <c r="D491" s="50"/>
      <c r="F491" s="50"/>
      <c r="J491" s="50"/>
      <c r="K491" s="50"/>
    </row>
    <row r="492">
      <c r="A492" s="50"/>
      <c r="D492" s="50"/>
      <c r="F492" s="50"/>
      <c r="J492" s="50"/>
      <c r="K492" s="50"/>
    </row>
    <row r="493">
      <c r="A493" s="50"/>
      <c r="D493" s="50"/>
      <c r="F493" s="50"/>
      <c r="J493" s="50"/>
      <c r="K493" s="50"/>
    </row>
    <row r="494">
      <c r="A494" s="50"/>
      <c r="D494" s="50"/>
      <c r="F494" s="50"/>
      <c r="J494" s="50"/>
      <c r="K494" s="50"/>
    </row>
    <row r="495">
      <c r="A495" s="50"/>
      <c r="D495" s="50"/>
      <c r="F495" s="50"/>
      <c r="J495" s="50"/>
      <c r="K495" s="50"/>
    </row>
    <row r="496">
      <c r="A496" s="50"/>
      <c r="D496" s="50"/>
      <c r="F496" s="50"/>
      <c r="J496" s="50"/>
      <c r="K496" s="50"/>
    </row>
    <row r="497">
      <c r="A497" s="50"/>
      <c r="D497" s="50"/>
      <c r="F497" s="50"/>
      <c r="J497" s="50"/>
      <c r="K497" s="50"/>
    </row>
    <row r="498">
      <c r="A498" s="50"/>
      <c r="D498" s="50"/>
      <c r="F498" s="50"/>
      <c r="J498" s="50"/>
      <c r="K498" s="50"/>
    </row>
    <row r="499">
      <c r="A499" s="50"/>
      <c r="D499" s="50"/>
      <c r="F499" s="50"/>
      <c r="J499" s="50"/>
      <c r="K499" s="50"/>
    </row>
    <row r="500">
      <c r="A500" s="50"/>
      <c r="D500" s="50"/>
      <c r="F500" s="50"/>
      <c r="J500" s="50"/>
      <c r="K500" s="50"/>
    </row>
    <row r="501">
      <c r="A501" s="50"/>
      <c r="D501" s="50"/>
      <c r="F501" s="50"/>
      <c r="J501" s="50"/>
      <c r="K501" s="50"/>
    </row>
    <row r="502">
      <c r="A502" s="50"/>
      <c r="D502" s="50"/>
      <c r="F502" s="50"/>
      <c r="J502" s="50"/>
      <c r="K502" s="50"/>
    </row>
    <row r="503">
      <c r="A503" s="50"/>
      <c r="D503" s="50"/>
      <c r="F503" s="50"/>
      <c r="J503" s="50"/>
      <c r="K503" s="50"/>
    </row>
    <row r="504">
      <c r="A504" s="50"/>
      <c r="D504" s="50"/>
      <c r="F504" s="50"/>
      <c r="J504" s="50"/>
      <c r="K504" s="50"/>
    </row>
    <row r="505">
      <c r="A505" s="50"/>
      <c r="D505" s="50"/>
      <c r="F505" s="50"/>
      <c r="J505" s="50"/>
      <c r="K505" s="50"/>
    </row>
    <row r="506">
      <c r="A506" s="50"/>
      <c r="D506" s="50"/>
      <c r="F506" s="50"/>
      <c r="J506" s="50"/>
      <c r="K506" s="50"/>
    </row>
    <row r="507">
      <c r="A507" s="50"/>
      <c r="D507" s="50"/>
      <c r="F507" s="50"/>
      <c r="J507" s="50"/>
      <c r="K507" s="50"/>
    </row>
    <row r="508">
      <c r="A508" s="50"/>
      <c r="D508" s="50"/>
      <c r="F508" s="50"/>
      <c r="J508" s="50"/>
      <c r="K508" s="50"/>
    </row>
    <row r="509">
      <c r="A509" s="50"/>
      <c r="D509" s="50"/>
      <c r="F509" s="50"/>
      <c r="J509" s="50"/>
      <c r="K509" s="50"/>
    </row>
    <row r="510">
      <c r="A510" s="50"/>
      <c r="D510" s="50"/>
      <c r="F510" s="50"/>
      <c r="J510" s="50"/>
      <c r="K510" s="50"/>
    </row>
    <row r="511">
      <c r="A511" s="50"/>
      <c r="D511" s="50"/>
      <c r="F511" s="50"/>
      <c r="J511" s="50"/>
      <c r="K511" s="50"/>
    </row>
    <row r="512">
      <c r="A512" s="50"/>
      <c r="D512" s="50"/>
      <c r="F512" s="50"/>
      <c r="J512" s="50"/>
      <c r="K512" s="50"/>
    </row>
    <row r="513">
      <c r="A513" s="50"/>
      <c r="D513" s="50"/>
      <c r="F513" s="50"/>
      <c r="J513" s="50"/>
      <c r="K513" s="50"/>
    </row>
    <row r="514">
      <c r="A514" s="50"/>
      <c r="D514" s="50"/>
      <c r="F514" s="50"/>
      <c r="J514" s="50"/>
      <c r="K514" s="50"/>
    </row>
    <row r="515">
      <c r="A515" s="50"/>
      <c r="D515" s="50"/>
      <c r="F515" s="50"/>
      <c r="J515" s="50"/>
      <c r="K515" s="50"/>
    </row>
    <row r="516">
      <c r="A516" s="50"/>
      <c r="D516" s="50"/>
      <c r="F516" s="50"/>
      <c r="J516" s="50"/>
      <c r="K516" s="50"/>
    </row>
    <row r="517">
      <c r="A517" s="50"/>
      <c r="D517" s="50"/>
      <c r="F517" s="50"/>
      <c r="J517" s="50"/>
      <c r="K517" s="50"/>
    </row>
    <row r="518">
      <c r="A518" s="50"/>
      <c r="D518" s="50"/>
      <c r="F518" s="50"/>
      <c r="J518" s="50"/>
      <c r="K518" s="50"/>
    </row>
    <row r="519">
      <c r="A519" s="50"/>
      <c r="D519" s="50"/>
      <c r="F519" s="50"/>
      <c r="J519" s="50"/>
      <c r="K519" s="50"/>
    </row>
    <row r="520">
      <c r="A520" s="50"/>
      <c r="D520" s="50"/>
      <c r="F520" s="50"/>
      <c r="J520" s="50"/>
      <c r="K520" s="50"/>
    </row>
    <row r="521">
      <c r="A521" s="50"/>
      <c r="D521" s="50"/>
      <c r="F521" s="50"/>
      <c r="J521" s="50"/>
      <c r="K521" s="50"/>
    </row>
    <row r="522">
      <c r="A522" s="50"/>
      <c r="D522" s="50"/>
      <c r="F522" s="50"/>
      <c r="J522" s="50"/>
      <c r="K522" s="50"/>
    </row>
    <row r="523">
      <c r="A523" s="50"/>
      <c r="D523" s="50"/>
      <c r="F523" s="50"/>
      <c r="J523" s="50"/>
      <c r="K523" s="50"/>
    </row>
    <row r="524">
      <c r="A524" s="50"/>
      <c r="D524" s="50"/>
      <c r="F524" s="50"/>
      <c r="J524" s="50"/>
      <c r="K524" s="50"/>
    </row>
    <row r="525">
      <c r="A525" s="50"/>
      <c r="D525" s="50"/>
      <c r="F525" s="50"/>
      <c r="J525" s="50"/>
      <c r="K525" s="50"/>
    </row>
    <row r="526">
      <c r="A526" s="50"/>
      <c r="D526" s="50"/>
      <c r="F526" s="50"/>
      <c r="J526" s="50"/>
      <c r="K526" s="50"/>
    </row>
    <row r="527">
      <c r="A527" s="50"/>
      <c r="D527" s="50"/>
      <c r="F527" s="50"/>
      <c r="J527" s="50"/>
      <c r="K527" s="50"/>
    </row>
    <row r="528">
      <c r="A528" s="50"/>
      <c r="D528" s="50"/>
      <c r="F528" s="50"/>
      <c r="J528" s="50"/>
      <c r="K528" s="50"/>
    </row>
    <row r="529">
      <c r="A529" s="50"/>
      <c r="D529" s="50"/>
      <c r="F529" s="50"/>
      <c r="J529" s="50"/>
      <c r="K529" s="50"/>
    </row>
    <row r="530">
      <c r="A530" s="50"/>
      <c r="D530" s="50"/>
      <c r="F530" s="50"/>
      <c r="J530" s="50"/>
      <c r="K530" s="50"/>
    </row>
    <row r="531">
      <c r="A531" s="50"/>
      <c r="D531" s="50"/>
      <c r="F531" s="50"/>
      <c r="J531" s="50"/>
      <c r="K531" s="50"/>
    </row>
    <row r="532">
      <c r="A532" s="50"/>
      <c r="D532" s="50"/>
      <c r="F532" s="50"/>
      <c r="J532" s="50"/>
      <c r="K532" s="50"/>
    </row>
    <row r="533">
      <c r="A533" s="50"/>
      <c r="D533" s="50"/>
      <c r="F533" s="50"/>
      <c r="J533" s="50"/>
      <c r="K533" s="50"/>
    </row>
    <row r="534">
      <c r="A534" s="50"/>
      <c r="D534" s="50"/>
      <c r="F534" s="50"/>
      <c r="J534" s="50"/>
      <c r="K534" s="50"/>
    </row>
    <row r="535">
      <c r="A535" s="50"/>
      <c r="D535" s="50"/>
      <c r="F535" s="50"/>
      <c r="J535" s="50"/>
      <c r="K535" s="50"/>
    </row>
    <row r="536">
      <c r="A536" s="50"/>
      <c r="D536" s="50"/>
      <c r="F536" s="50"/>
      <c r="J536" s="50"/>
      <c r="K536" s="50"/>
    </row>
    <row r="537">
      <c r="A537" s="50"/>
      <c r="D537" s="50"/>
      <c r="F537" s="50"/>
      <c r="J537" s="50"/>
      <c r="K537" s="50"/>
    </row>
    <row r="538">
      <c r="A538" s="50"/>
      <c r="D538" s="50"/>
      <c r="F538" s="50"/>
      <c r="J538" s="50"/>
      <c r="K538" s="50"/>
    </row>
    <row r="539">
      <c r="A539" s="50"/>
      <c r="D539" s="50"/>
      <c r="F539" s="50"/>
      <c r="J539" s="50"/>
      <c r="K539" s="50"/>
    </row>
    <row r="540">
      <c r="A540" s="50"/>
      <c r="D540" s="50"/>
      <c r="F540" s="50"/>
      <c r="J540" s="50"/>
      <c r="K540" s="50"/>
    </row>
    <row r="541">
      <c r="A541" s="50"/>
      <c r="D541" s="50"/>
      <c r="F541" s="50"/>
      <c r="J541" s="50"/>
      <c r="K541" s="50"/>
    </row>
    <row r="542">
      <c r="A542" s="50"/>
      <c r="D542" s="50"/>
      <c r="F542" s="50"/>
      <c r="J542" s="50"/>
      <c r="K542" s="50"/>
    </row>
    <row r="543">
      <c r="A543" s="50"/>
      <c r="D543" s="50"/>
      <c r="F543" s="50"/>
      <c r="J543" s="50"/>
      <c r="K543" s="50"/>
    </row>
    <row r="544">
      <c r="A544" s="50"/>
      <c r="D544" s="50"/>
      <c r="F544" s="50"/>
      <c r="J544" s="50"/>
      <c r="K544" s="50"/>
    </row>
    <row r="545">
      <c r="A545" s="50"/>
      <c r="D545" s="50"/>
      <c r="F545" s="50"/>
      <c r="J545" s="50"/>
      <c r="K545" s="50"/>
    </row>
    <row r="546">
      <c r="A546" s="50"/>
      <c r="D546" s="50"/>
      <c r="F546" s="50"/>
      <c r="J546" s="50"/>
      <c r="K546" s="50"/>
    </row>
    <row r="547">
      <c r="A547" s="50"/>
      <c r="D547" s="50"/>
      <c r="F547" s="50"/>
      <c r="J547" s="50"/>
      <c r="K547" s="50"/>
    </row>
    <row r="548">
      <c r="A548" s="50"/>
      <c r="D548" s="50"/>
      <c r="F548" s="50"/>
      <c r="J548" s="50"/>
      <c r="K548" s="50"/>
    </row>
    <row r="549">
      <c r="A549" s="50"/>
      <c r="D549" s="50"/>
      <c r="F549" s="50"/>
      <c r="J549" s="50"/>
      <c r="K549" s="50"/>
    </row>
    <row r="550">
      <c r="A550" s="50"/>
      <c r="D550" s="50"/>
      <c r="F550" s="50"/>
      <c r="J550" s="50"/>
      <c r="K550" s="50"/>
    </row>
    <row r="551">
      <c r="A551" s="50"/>
      <c r="D551" s="50"/>
      <c r="F551" s="50"/>
      <c r="J551" s="50"/>
      <c r="K551" s="50"/>
    </row>
    <row r="552">
      <c r="A552" s="50"/>
      <c r="D552" s="50"/>
      <c r="F552" s="50"/>
      <c r="J552" s="50"/>
      <c r="K552" s="50"/>
    </row>
    <row r="553">
      <c r="A553" s="50"/>
      <c r="D553" s="50"/>
      <c r="F553" s="50"/>
      <c r="J553" s="50"/>
      <c r="K553" s="50"/>
    </row>
    <row r="554">
      <c r="A554" s="50"/>
      <c r="D554" s="50"/>
      <c r="F554" s="50"/>
      <c r="J554" s="50"/>
      <c r="K554" s="50"/>
    </row>
    <row r="555">
      <c r="A555" s="50"/>
      <c r="D555" s="50"/>
      <c r="F555" s="50"/>
      <c r="J555" s="50"/>
      <c r="K555" s="50"/>
    </row>
    <row r="556">
      <c r="A556" s="50"/>
      <c r="D556" s="50"/>
      <c r="F556" s="50"/>
      <c r="J556" s="50"/>
      <c r="K556" s="50"/>
    </row>
    <row r="557">
      <c r="A557" s="50"/>
      <c r="D557" s="50"/>
      <c r="F557" s="50"/>
      <c r="J557" s="50"/>
      <c r="K557" s="50"/>
    </row>
    <row r="558">
      <c r="A558" s="50"/>
      <c r="D558" s="50"/>
      <c r="F558" s="50"/>
      <c r="J558" s="50"/>
      <c r="K558" s="50"/>
    </row>
    <row r="559">
      <c r="A559" s="50"/>
      <c r="D559" s="50"/>
      <c r="F559" s="50"/>
      <c r="J559" s="50"/>
      <c r="K559" s="50"/>
    </row>
    <row r="560">
      <c r="A560" s="50"/>
      <c r="D560" s="50"/>
      <c r="F560" s="50"/>
      <c r="J560" s="50"/>
      <c r="K560" s="50"/>
    </row>
    <row r="561">
      <c r="A561" s="50"/>
      <c r="D561" s="50"/>
      <c r="F561" s="50"/>
      <c r="J561" s="50"/>
      <c r="K561" s="50"/>
    </row>
    <row r="562">
      <c r="A562" s="50"/>
      <c r="D562" s="50"/>
      <c r="F562" s="50"/>
      <c r="J562" s="50"/>
      <c r="K562" s="50"/>
    </row>
    <row r="563">
      <c r="A563" s="50"/>
      <c r="D563" s="50"/>
      <c r="F563" s="50"/>
      <c r="J563" s="50"/>
      <c r="K563" s="50"/>
    </row>
    <row r="564">
      <c r="A564" s="50"/>
      <c r="D564" s="50"/>
      <c r="F564" s="50"/>
      <c r="J564" s="50"/>
      <c r="K564" s="50"/>
    </row>
    <row r="565">
      <c r="A565" s="50"/>
      <c r="D565" s="50"/>
      <c r="F565" s="50"/>
      <c r="J565" s="50"/>
      <c r="K565" s="50"/>
    </row>
    <row r="566">
      <c r="A566" s="50"/>
      <c r="D566" s="50"/>
      <c r="F566" s="50"/>
      <c r="J566" s="50"/>
      <c r="K566" s="50"/>
    </row>
    <row r="567">
      <c r="A567" s="50"/>
      <c r="D567" s="50"/>
      <c r="F567" s="50"/>
      <c r="J567" s="50"/>
      <c r="K567" s="50"/>
    </row>
    <row r="568">
      <c r="A568" s="50"/>
      <c r="D568" s="50"/>
      <c r="F568" s="50"/>
      <c r="J568" s="50"/>
      <c r="K568" s="50"/>
    </row>
    <row r="569">
      <c r="A569" s="50"/>
      <c r="D569" s="50"/>
      <c r="F569" s="50"/>
      <c r="J569" s="50"/>
      <c r="K569" s="50"/>
    </row>
    <row r="570">
      <c r="A570" s="50"/>
      <c r="D570" s="50"/>
      <c r="F570" s="50"/>
      <c r="J570" s="50"/>
      <c r="K570" s="50"/>
    </row>
    <row r="571">
      <c r="A571" s="50"/>
      <c r="D571" s="50"/>
      <c r="F571" s="50"/>
      <c r="J571" s="50"/>
      <c r="K571" s="50"/>
    </row>
    <row r="572">
      <c r="A572" s="50"/>
      <c r="D572" s="50"/>
      <c r="F572" s="50"/>
      <c r="J572" s="50"/>
      <c r="K572" s="50"/>
    </row>
    <row r="573">
      <c r="A573" s="50"/>
      <c r="D573" s="50"/>
      <c r="F573" s="50"/>
      <c r="J573" s="50"/>
      <c r="K573" s="50"/>
    </row>
    <row r="574">
      <c r="A574" s="50"/>
      <c r="D574" s="50"/>
      <c r="F574" s="50"/>
      <c r="J574" s="50"/>
      <c r="K574" s="50"/>
    </row>
    <row r="575">
      <c r="A575" s="50"/>
      <c r="D575" s="50"/>
      <c r="F575" s="50"/>
      <c r="J575" s="50"/>
      <c r="K575" s="50"/>
    </row>
    <row r="576">
      <c r="A576" s="50"/>
      <c r="D576" s="50"/>
      <c r="F576" s="50"/>
      <c r="J576" s="50"/>
      <c r="K576" s="50"/>
    </row>
    <row r="577">
      <c r="A577" s="50"/>
      <c r="D577" s="50"/>
      <c r="F577" s="50"/>
      <c r="J577" s="50"/>
      <c r="K577" s="50"/>
    </row>
    <row r="578">
      <c r="A578" s="50"/>
      <c r="D578" s="50"/>
      <c r="F578" s="50"/>
      <c r="J578" s="50"/>
      <c r="K578" s="50"/>
    </row>
    <row r="579">
      <c r="A579" s="50"/>
      <c r="D579" s="50"/>
      <c r="F579" s="50"/>
      <c r="J579" s="50"/>
      <c r="K579" s="50"/>
    </row>
    <row r="580">
      <c r="A580" s="50"/>
      <c r="D580" s="50"/>
      <c r="F580" s="50"/>
      <c r="J580" s="50"/>
      <c r="K580" s="50"/>
    </row>
    <row r="581">
      <c r="A581" s="50"/>
      <c r="D581" s="50"/>
      <c r="F581" s="50"/>
      <c r="J581" s="50"/>
      <c r="K581" s="50"/>
    </row>
    <row r="582">
      <c r="A582" s="50"/>
      <c r="D582" s="50"/>
      <c r="F582" s="50"/>
      <c r="J582" s="50"/>
      <c r="K582" s="50"/>
    </row>
    <row r="583">
      <c r="A583" s="50"/>
      <c r="D583" s="50"/>
      <c r="F583" s="50"/>
      <c r="J583" s="50"/>
      <c r="K583" s="50"/>
    </row>
    <row r="584">
      <c r="A584" s="50"/>
      <c r="D584" s="50"/>
      <c r="F584" s="50"/>
      <c r="J584" s="50"/>
      <c r="K584" s="50"/>
    </row>
    <row r="585">
      <c r="A585" s="50"/>
      <c r="D585" s="50"/>
      <c r="F585" s="50"/>
      <c r="J585" s="50"/>
      <c r="K585" s="50"/>
    </row>
    <row r="586">
      <c r="A586" s="50"/>
      <c r="D586" s="50"/>
      <c r="F586" s="50"/>
      <c r="J586" s="50"/>
      <c r="K586" s="50"/>
    </row>
    <row r="587">
      <c r="A587" s="50"/>
      <c r="D587" s="50"/>
      <c r="F587" s="50"/>
      <c r="J587" s="50"/>
      <c r="K587" s="50"/>
    </row>
    <row r="588">
      <c r="A588" s="50"/>
      <c r="D588" s="50"/>
      <c r="F588" s="50"/>
      <c r="J588" s="50"/>
      <c r="K588" s="50"/>
    </row>
    <row r="589">
      <c r="A589" s="50"/>
      <c r="D589" s="50"/>
      <c r="F589" s="50"/>
      <c r="J589" s="50"/>
      <c r="K589" s="50"/>
    </row>
    <row r="590">
      <c r="A590" s="50"/>
      <c r="D590" s="50"/>
      <c r="F590" s="50"/>
      <c r="J590" s="50"/>
      <c r="K590" s="50"/>
    </row>
    <row r="591">
      <c r="A591" s="50"/>
      <c r="D591" s="50"/>
      <c r="F591" s="50"/>
      <c r="J591" s="50"/>
      <c r="K591" s="50"/>
    </row>
    <row r="592">
      <c r="A592" s="50"/>
      <c r="D592" s="50"/>
      <c r="F592" s="50"/>
      <c r="J592" s="50"/>
      <c r="K592" s="50"/>
    </row>
    <row r="593">
      <c r="A593" s="50"/>
      <c r="D593" s="50"/>
      <c r="F593" s="50"/>
      <c r="J593" s="50"/>
      <c r="K593" s="50"/>
    </row>
    <row r="594">
      <c r="A594" s="50"/>
      <c r="D594" s="50"/>
      <c r="F594" s="50"/>
      <c r="J594" s="50"/>
      <c r="K594" s="50"/>
    </row>
    <row r="595">
      <c r="A595" s="50"/>
      <c r="D595" s="50"/>
      <c r="F595" s="50"/>
      <c r="J595" s="50"/>
      <c r="K595" s="50"/>
    </row>
    <row r="596">
      <c r="A596" s="50"/>
      <c r="D596" s="50"/>
      <c r="F596" s="50"/>
      <c r="J596" s="50"/>
      <c r="K596" s="50"/>
    </row>
    <row r="597">
      <c r="A597" s="50"/>
      <c r="D597" s="50"/>
      <c r="F597" s="50"/>
      <c r="J597" s="50"/>
      <c r="K597" s="50"/>
    </row>
    <row r="598">
      <c r="A598" s="50"/>
      <c r="D598" s="50"/>
      <c r="F598" s="50"/>
      <c r="J598" s="50"/>
      <c r="K598" s="50"/>
    </row>
    <row r="599">
      <c r="A599" s="50"/>
      <c r="D599" s="50"/>
      <c r="F599" s="50"/>
      <c r="J599" s="50"/>
      <c r="K599" s="50"/>
    </row>
    <row r="600">
      <c r="A600" s="50"/>
      <c r="D600" s="50"/>
      <c r="F600" s="50"/>
      <c r="J600" s="50"/>
      <c r="K600" s="50"/>
    </row>
    <row r="601">
      <c r="A601" s="50"/>
      <c r="D601" s="50"/>
      <c r="F601" s="50"/>
      <c r="J601" s="50"/>
      <c r="K601" s="50"/>
    </row>
    <row r="602">
      <c r="A602" s="50"/>
      <c r="D602" s="50"/>
      <c r="F602" s="50"/>
      <c r="J602" s="50"/>
      <c r="K602" s="50"/>
    </row>
    <row r="603">
      <c r="A603" s="50"/>
      <c r="D603" s="50"/>
      <c r="F603" s="50"/>
      <c r="J603" s="50"/>
      <c r="K603" s="50"/>
    </row>
    <row r="604">
      <c r="A604" s="50"/>
      <c r="D604" s="50"/>
      <c r="F604" s="50"/>
      <c r="J604" s="50"/>
      <c r="K604" s="50"/>
    </row>
    <row r="605">
      <c r="A605" s="50"/>
      <c r="D605" s="50"/>
      <c r="F605" s="50"/>
      <c r="J605" s="50"/>
      <c r="K605" s="50"/>
    </row>
    <row r="606">
      <c r="A606" s="50"/>
      <c r="D606" s="50"/>
      <c r="F606" s="50"/>
      <c r="J606" s="50"/>
      <c r="K606" s="50"/>
    </row>
    <row r="607">
      <c r="A607" s="50"/>
      <c r="D607" s="50"/>
      <c r="F607" s="50"/>
      <c r="J607" s="50"/>
      <c r="K607" s="50"/>
    </row>
    <row r="608">
      <c r="A608" s="50"/>
      <c r="D608" s="50"/>
      <c r="F608" s="50"/>
      <c r="J608" s="50"/>
      <c r="K608" s="50"/>
    </row>
    <row r="609">
      <c r="A609" s="50"/>
      <c r="D609" s="50"/>
      <c r="F609" s="50"/>
      <c r="J609" s="50"/>
      <c r="K609" s="50"/>
    </row>
    <row r="610">
      <c r="A610" s="50"/>
      <c r="D610" s="50"/>
      <c r="F610" s="50"/>
      <c r="J610" s="50"/>
      <c r="K610" s="50"/>
    </row>
    <row r="611">
      <c r="A611" s="50"/>
      <c r="D611" s="50"/>
      <c r="F611" s="50"/>
      <c r="J611" s="50"/>
      <c r="K611" s="50"/>
    </row>
    <row r="612">
      <c r="A612" s="50"/>
      <c r="D612" s="50"/>
      <c r="F612" s="50"/>
      <c r="J612" s="50"/>
      <c r="K612" s="50"/>
    </row>
    <row r="613">
      <c r="A613" s="50"/>
      <c r="D613" s="50"/>
      <c r="F613" s="50"/>
      <c r="J613" s="50"/>
      <c r="K613" s="50"/>
    </row>
    <row r="614">
      <c r="A614" s="50"/>
      <c r="D614" s="50"/>
      <c r="F614" s="50"/>
      <c r="J614" s="50"/>
      <c r="K614" s="50"/>
    </row>
    <row r="615">
      <c r="A615" s="50"/>
      <c r="D615" s="50"/>
      <c r="F615" s="50"/>
      <c r="J615" s="50"/>
      <c r="K615" s="50"/>
    </row>
    <row r="616">
      <c r="A616" s="50"/>
      <c r="D616" s="50"/>
      <c r="F616" s="50"/>
      <c r="J616" s="50"/>
      <c r="K616" s="50"/>
    </row>
    <row r="617">
      <c r="A617" s="50"/>
      <c r="D617" s="50"/>
      <c r="F617" s="50"/>
      <c r="J617" s="50"/>
      <c r="K617" s="50"/>
    </row>
    <row r="618">
      <c r="A618" s="50"/>
      <c r="D618" s="50"/>
      <c r="F618" s="50"/>
      <c r="J618" s="50"/>
      <c r="K618" s="50"/>
    </row>
    <row r="619">
      <c r="A619" s="50"/>
      <c r="D619" s="50"/>
      <c r="F619" s="50"/>
      <c r="J619" s="50"/>
      <c r="K619" s="50"/>
    </row>
    <row r="620">
      <c r="A620" s="50"/>
      <c r="D620" s="50"/>
      <c r="F620" s="50"/>
      <c r="J620" s="50"/>
      <c r="K620" s="50"/>
    </row>
    <row r="621">
      <c r="A621" s="50"/>
      <c r="D621" s="50"/>
      <c r="F621" s="50"/>
      <c r="J621" s="50"/>
      <c r="K621" s="50"/>
    </row>
    <row r="622">
      <c r="A622" s="50"/>
      <c r="D622" s="50"/>
      <c r="F622" s="50"/>
      <c r="J622" s="50"/>
      <c r="K622" s="50"/>
    </row>
    <row r="623">
      <c r="A623" s="50"/>
      <c r="D623" s="50"/>
      <c r="F623" s="50"/>
      <c r="J623" s="50"/>
      <c r="K623" s="50"/>
    </row>
    <row r="624">
      <c r="A624" s="50"/>
      <c r="D624" s="50"/>
      <c r="F624" s="50"/>
      <c r="J624" s="50"/>
      <c r="K624" s="50"/>
    </row>
    <row r="625">
      <c r="A625" s="50"/>
      <c r="D625" s="50"/>
      <c r="F625" s="50"/>
      <c r="J625" s="50"/>
      <c r="K625" s="50"/>
    </row>
    <row r="626">
      <c r="A626" s="50"/>
      <c r="D626" s="50"/>
      <c r="F626" s="50"/>
      <c r="J626" s="50"/>
      <c r="K626" s="50"/>
    </row>
    <row r="627">
      <c r="A627" s="50"/>
      <c r="D627" s="50"/>
      <c r="F627" s="50"/>
      <c r="J627" s="50"/>
      <c r="K627" s="50"/>
    </row>
    <row r="628">
      <c r="A628" s="50"/>
      <c r="D628" s="50"/>
      <c r="F628" s="50"/>
      <c r="J628" s="50"/>
      <c r="K628" s="50"/>
    </row>
    <row r="629">
      <c r="A629" s="50"/>
      <c r="D629" s="50"/>
      <c r="F629" s="50"/>
      <c r="J629" s="50"/>
      <c r="K629" s="50"/>
    </row>
    <row r="630">
      <c r="A630" s="50"/>
      <c r="D630" s="50"/>
      <c r="F630" s="50"/>
      <c r="J630" s="50"/>
      <c r="K630" s="50"/>
    </row>
    <row r="631">
      <c r="A631" s="50"/>
      <c r="D631" s="50"/>
      <c r="F631" s="50"/>
      <c r="J631" s="50"/>
      <c r="K631" s="50"/>
    </row>
    <row r="632">
      <c r="A632" s="50"/>
      <c r="D632" s="50"/>
      <c r="F632" s="50"/>
      <c r="J632" s="50"/>
      <c r="K632" s="50"/>
    </row>
    <row r="633">
      <c r="A633" s="50"/>
      <c r="D633" s="50"/>
      <c r="F633" s="50"/>
      <c r="J633" s="50"/>
      <c r="K633" s="50"/>
    </row>
    <row r="634">
      <c r="A634" s="50"/>
      <c r="D634" s="50"/>
      <c r="F634" s="50"/>
      <c r="J634" s="50"/>
      <c r="K634" s="50"/>
    </row>
    <row r="635">
      <c r="A635" s="50"/>
      <c r="D635" s="50"/>
      <c r="F635" s="50"/>
      <c r="J635" s="50"/>
      <c r="K635" s="50"/>
    </row>
    <row r="636">
      <c r="A636" s="50"/>
      <c r="D636" s="50"/>
      <c r="F636" s="50"/>
      <c r="J636" s="50"/>
      <c r="K636" s="50"/>
    </row>
    <row r="637">
      <c r="A637" s="50"/>
      <c r="D637" s="50"/>
      <c r="F637" s="50"/>
      <c r="J637" s="50"/>
      <c r="K637" s="50"/>
    </row>
    <row r="638">
      <c r="A638" s="50"/>
      <c r="D638" s="50"/>
      <c r="F638" s="50"/>
      <c r="J638" s="50"/>
      <c r="K638" s="50"/>
    </row>
    <row r="639">
      <c r="A639" s="50"/>
      <c r="D639" s="50"/>
      <c r="F639" s="50"/>
      <c r="J639" s="50"/>
      <c r="K639" s="50"/>
    </row>
    <row r="640">
      <c r="A640" s="50"/>
      <c r="D640" s="50"/>
      <c r="F640" s="50"/>
      <c r="J640" s="50"/>
      <c r="K640" s="50"/>
    </row>
    <row r="641">
      <c r="A641" s="50"/>
      <c r="D641" s="50"/>
      <c r="F641" s="50"/>
      <c r="J641" s="50"/>
      <c r="K641" s="50"/>
    </row>
    <row r="642">
      <c r="A642" s="50"/>
      <c r="D642" s="50"/>
      <c r="F642" s="50"/>
      <c r="J642" s="50"/>
      <c r="K642" s="50"/>
    </row>
    <row r="643">
      <c r="A643" s="50"/>
      <c r="D643" s="50"/>
      <c r="F643" s="50"/>
      <c r="J643" s="50"/>
      <c r="K643" s="50"/>
    </row>
    <row r="644">
      <c r="A644" s="50"/>
      <c r="D644" s="50"/>
      <c r="F644" s="50"/>
      <c r="J644" s="50"/>
      <c r="K644" s="50"/>
    </row>
    <row r="645">
      <c r="A645" s="50"/>
      <c r="D645" s="50"/>
      <c r="F645" s="50"/>
      <c r="J645" s="50"/>
      <c r="K645" s="50"/>
    </row>
    <row r="646">
      <c r="A646" s="50"/>
      <c r="D646" s="50"/>
      <c r="F646" s="50"/>
      <c r="J646" s="50"/>
      <c r="K646" s="50"/>
    </row>
    <row r="647">
      <c r="A647" s="50"/>
      <c r="D647" s="50"/>
      <c r="F647" s="50"/>
      <c r="J647" s="50"/>
      <c r="K647" s="50"/>
    </row>
    <row r="648">
      <c r="A648" s="50"/>
      <c r="D648" s="50"/>
      <c r="F648" s="50"/>
      <c r="J648" s="50"/>
      <c r="K648" s="50"/>
    </row>
    <row r="649">
      <c r="A649" s="50"/>
      <c r="D649" s="50"/>
      <c r="F649" s="50"/>
      <c r="J649" s="50"/>
      <c r="K649" s="50"/>
    </row>
    <row r="650">
      <c r="A650" s="50"/>
      <c r="D650" s="50"/>
      <c r="F650" s="50"/>
      <c r="J650" s="50"/>
      <c r="K650" s="50"/>
    </row>
    <row r="651">
      <c r="A651" s="50"/>
      <c r="D651" s="50"/>
      <c r="F651" s="50"/>
      <c r="J651" s="50"/>
      <c r="K651" s="50"/>
    </row>
    <row r="652">
      <c r="A652" s="50"/>
      <c r="D652" s="50"/>
      <c r="F652" s="50"/>
      <c r="J652" s="50"/>
      <c r="K652" s="50"/>
    </row>
    <row r="653">
      <c r="A653" s="50"/>
      <c r="D653" s="50"/>
      <c r="F653" s="50"/>
      <c r="J653" s="50"/>
      <c r="K653" s="50"/>
    </row>
    <row r="654">
      <c r="A654" s="50"/>
      <c r="D654" s="50"/>
      <c r="F654" s="50"/>
      <c r="J654" s="50"/>
      <c r="K654" s="50"/>
    </row>
    <row r="655">
      <c r="A655" s="50"/>
      <c r="D655" s="50"/>
      <c r="F655" s="50"/>
      <c r="J655" s="50"/>
      <c r="K655" s="50"/>
    </row>
    <row r="656">
      <c r="A656" s="50"/>
      <c r="D656" s="50"/>
      <c r="F656" s="50"/>
      <c r="J656" s="50"/>
      <c r="K656" s="50"/>
    </row>
    <row r="657">
      <c r="A657" s="50"/>
      <c r="D657" s="50"/>
      <c r="F657" s="50"/>
      <c r="J657" s="50"/>
      <c r="K657" s="50"/>
    </row>
    <row r="658">
      <c r="A658" s="50"/>
      <c r="D658" s="50"/>
      <c r="F658" s="50"/>
      <c r="J658" s="50"/>
      <c r="K658" s="50"/>
    </row>
    <row r="659">
      <c r="A659" s="50"/>
      <c r="D659" s="50"/>
      <c r="F659" s="50"/>
      <c r="J659" s="50"/>
      <c r="K659" s="50"/>
    </row>
    <row r="660">
      <c r="A660" s="50"/>
      <c r="D660" s="50"/>
      <c r="F660" s="50"/>
      <c r="J660" s="50"/>
      <c r="K660" s="50"/>
    </row>
    <row r="661">
      <c r="A661" s="50"/>
      <c r="D661" s="50"/>
      <c r="F661" s="50"/>
      <c r="J661" s="50"/>
      <c r="K661" s="50"/>
    </row>
    <row r="662">
      <c r="A662" s="50"/>
      <c r="D662" s="50"/>
      <c r="F662" s="50"/>
      <c r="J662" s="50"/>
      <c r="K662" s="50"/>
    </row>
    <row r="663">
      <c r="A663" s="50"/>
      <c r="D663" s="50"/>
      <c r="F663" s="50"/>
      <c r="J663" s="50"/>
      <c r="K663" s="50"/>
    </row>
    <row r="664">
      <c r="A664" s="50"/>
      <c r="D664" s="50"/>
      <c r="F664" s="50"/>
      <c r="J664" s="50"/>
      <c r="K664" s="50"/>
    </row>
    <row r="665">
      <c r="A665" s="50"/>
      <c r="D665" s="50"/>
      <c r="F665" s="50"/>
      <c r="J665" s="50"/>
      <c r="K665" s="50"/>
    </row>
    <row r="666">
      <c r="A666" s="50"/>
      <c r="D666" s="50"/>
      <c r="F666" s="50"/>
      <c r="J666" s="50"/>
      <c r="K666" s="50"/>
    </row>
    <row r="667">
      <c r="A667" s="50"/>
      <c r="D667" s="50"/>
      <c r="F667" s="50"/>
      <c r="J667" s="50"/>
      <c r="K667" s="50"/>
    </row>
    <row r="668">
      <c r="A668" s="50"/>
      <c r="D668" s="50"/>
      <c r="F668" s="50"/>
      <c r="J668" s="50"/>
      <c r="K668" s="50"/>
    </row>
    <row r="669">
      <c r="A669" s="50"/>
      <c r="D669" s="50"/>
      <c r="F669" s="50"/>
      <c r="J669" s="50"/>
      <c r="K669" s="50"/>
    </row>
    <row r="670">
      <c r="A670" s="50"/>
      <c r="D670" s="50"/>
      <c r="F670" s="50"/>
      <c r="J670" s="50"/>
      <c r="K670" s="50"/>
    </row>
    <row r="671">
      <c r="A671" s="50"/>
      <c r="D671" s="50"/>
      <c r="F671" s="50"/>
      <c r="J671" s="50"/>
      <c r="K671" s="50"/>
    </row>
    <row r="672">
      <c r="A672" s="50"/>
      <c r="D672" s="50"/>
      <c r="F672" s="50"/>
      <c r="J672" s="50"/>
      <c r="K672" s="50"/>
    </row>
    <row r="673">
      <c r="A673" s="50"/>
      <c r="D673" s="50"/>
      <c r="F673" s="50"/>
      <c r="J673" s="50"/>
      <c r="K673" s="50"/>
    </row>
    <row r="674">
      <c r="A674" s="50"/>
      <c r="D674" s="50"/>
      <c r="F674" s="50"/>
      <c r="J674" s="50"/>
      <c r="K674" s="50"/>
    </row>
    <row r="675">
      <c r="A675" s="50"/>
      <c r="D675" s="50"/>
      <c r="F675" s="50"/>
      <c r="J675" s="50"/>
      <c r="K675" s="50"/>
    </row>
    <row r="676">
      <c r="A676" s="50"/>
      <c r="D676" s="50"/>
      <c r="F676" s="50"/>
      <c r="J676" s="50"/>
      <c r="K676" s="50"/>
    </row>
    <row r="677">
      <c r="A677" s="50"/>
      <c r="D677" s="50"/>
      <c r="F677" s="50"/>
      <c r="J677" s="50"/>
      <c r="K677" s="50"/>
    </row>
    <row r="678">
      <c r="A678" s="50"/>
      <c r="D678" s="50"/>
      <c r="F678" s="50"/>
      <c r="J678" s="50"/>
      <c r="K678" s="50"/>
    </row>
    <row r="679">
      <c r="A679" s="50"/>
      <c r="D679" s="50"/>
      <c r="F679" s="50"/>
      <c r="J679" s="50"/>
      <c r="K679" s="50"/>
    </row>
    <row r="680">
      <c r="A680" s="50"/>
      <c r="D680" s="50"/>
      <c r="F680" s="50"/>
      <c r="J680" s="50"/>
      <c r="K680" s="50"/>
    </row>
    <row r="681">
      <c r="A681" s="50"/>
      <c r="D681" s="50"/>
      <c r="F681" s="50"/>
      <c r="J681" s="50"/>
      <c r="K681" s="50"/>
    </row>
    <row r="682">
      <c r="A682" s="50"/>
      <c r="D682" s="50"/>
      <c r="F682" s="50"/>
      <c r="J682" s="50"/>
      <c r="K682" s="50"/>
    </row>
    <row r="683">
      <c r="A683" s="50"/>
      <c r="D683" s="50"/>
      <c r="F683" s="50"/>
      <c r="J683" s="50"/>
      <c r="K683" s="50"/>
    </row>
    <row r="684">
      <c r="A684" s="50"/>
      <c r="D684" s="50"/>
      <c r="F684" s="50"/>
      <c r="J684" s="50"/>
      <c r="K684" s="50"/>
    </row>
    <row r="685">
      <c r="A685" s="50"/>
      <c r="D685" s="50"/>
      <c r="F685" s="50"/>
      <c r="J685" s="50"/>
      <c r="K685" s="50"/>
    </row>
    <row r="686">
      <c r="A686" s="50"/>
      <c r="D686" s="50"/>
      <c r="F686" s="50"/>
      <c r="J686" s="50"/>
      <c r="K686" s="50"/>
    </row>
    <row r="687">
      <c r="A687" s="50"/>
      <c r="D687" s="50"/>
      <c r="F687" s="50"/>
      <c r="J687" s="50"/>
      <c r="K687" s="50"/>
    </row>
    <row r="688">
      <c r="A688" s="50"/>
      <c r="D688" s="50"/>
      <c r="F688" s="50"/>
      <c r="J688" s="50"/>
      <c r="K688" s="50"/>
    </row>
    <row r="689">
      <c r="A689" s="50"/>
      <c r="D689" s="50"/>
      <c r="F689" s="50"/>
      <c r="J689" s="50"/>
      <c r="K689" s="50"/>
    </row>
    <row r="690">
      <c r="A690" s="50"/>
      <c r="D690" s="50"/>
      <c r="F690" s="50"/>
      <c r="J690" s="50"/>
      <c r="K690" s="50"/>
    </row>
    <row r="691">
      <c r="A691" s="50"/>
      <c r="D691" s="50"/>
      <c r="F691" s="50"/>
      <c r="J691" s="50"/>
      <c r="K691" s="50"/>
    </row>
    <row r="692">
      <c r="A692" s="50"/>
      <c r="D692" s="50"/>
      <c r="F692" s="50"/>
      <c r="J692" s="50"/>
      <c r="K692" s="50"/>
    </row>
    <row r="693">
      <c r="A693" s="50"/>
      <c r="D693" s="50"/>
      <c r="F693" s="50"/>
      <c r="J693" s="50"/>
      <c r="K693" s="50"/>
    </row>
    <row r="694">
      <c r="A694" s="50"/>
      <c r="D694" s="50"/>
      <c r="F694" s="50"/>
      <c r="J694" s="50"/>
      <c r="K694" s="50"/>
    </row>
    <row r="695">
      <c r="A695" s="50"/>
      <c r="D695" s="50"/>
      <c r="F695" s="50"/>
      <c r="J695" s="50"/>
      <c r="K695" s="50"/>
    </row>
    <row r="696">
      <c r="A696" s="50"/>
      <c r="D696" s="50"/>
      <c r="F696" s="50"/>
      <c r="J696" s="50"/>
      <c r="K696" s="50"/>
    </row>
    <row r="697">
      <c r="A697" s="50"/>
      <c r="D697" s="50"/>
      <c r="F697" s="50"/>
      <c r="J697" s="50"/>
      <c r="K697" s="50"/>
    </row>
    <row r="698">
      <c r="A698" s="50"/>
      <c r="D698" s="50"/>
      <c r="F698" s="50"/>
      <c r="J698" s="50"/>
      <c r="K698" s="50"/>
    </row>
    <row r="699">
      <c r="A699" s="50"/>
      <c r="D699" s="50"/>
      <c r="F699" s="50"/>
      <c r="J699" s="50"/>
      <c r="K699" s="50"/>
    </row>
    <row r="700">
      <c r="A700" s="50"/>
      <c r="D700" s="50"/>
      <c r="F700" s="50"/>
      <c r="J700" s="50"/>
      <c r="K700" s="50"/>
    </row>
    <row r="701">
      <c r="A701" s="50"/>
      <c r="D701" s="50"/>
      <c r="F701" s="50"/>
      <c r="J701" s="50"/>
      <c r="K701" s="50"/>
    </row>
    <row r="702">
      <c r="A702" s="50"/>
      <c r="D702" s="50"/>
      <c r="F702" s="50"/>
      <c r="J702" s="50"/>
      <c r="K702" s="50"/>
    </row>
    <row r="703">
      <c r="A703" s="50"/>
      <c r="D703" s="50"/>
      <c r="F703" s="50"/>
      <c r="J703" s="50"/>
      <c r="K703" s="50"/>
    </row>
    <row r="704">
      <c r="A704" s="50"/>
      <c r="D704" s="50"/>
      <c r="F704" s="50"/>
      <c r="J704" s="50"/>
      <c r="K704" s="50"/>
    </row>
    <row r="705">
      <c r="A705" s="50"/>
      <c r="D705" s="50"/>
      <c r="F705" s="50"/>
      <c r="J705" s="50"/>
      <c r="K705" s="50"/>
    </row>
    <row r="706">
      <c r="A706" s="50"/>
      <c r="D706" s="50"/>
      <c r="F706" s="50"/>
      <c r="J706" s="50"/>
      <c r="K706" s="50"/>
    </row>
    <row r="707">
      <c r="A707" s="50"/>
      <c r="D707" s="50"/>
      <c r="F707" s="50"/>
      <c r="J707" s="50"/>
      <c r="K707" s="50"/>
    </row>
    <row r="708">
      <c r="A708" s="50"/>
      <c r="D708" s="50"/>
      <c r="F708" s="50"/>
      <c r="J708" s="50"/>
      <c r="K708" s="50"/>
    </row>
    <row r="709">
      <c r="A709" s="50"/>
      <c r="D709" s="50"/>
      <c r="F709" s="50"/>
      <c r="J709" s="50"/>
      <c r="K709" s="50"/>
    </row>
    <row r="710">
      <c r="A710" s="50"/>
      <c r="D710" s="50"/>
      <c r="F710" s="50"/>
      <c r="J710" s="50"/>
      <c r="K710" s="50"/>
    </row>
    <row r="711">
      <c r="A711" s="50"/>
      <c r="D711" s="50"/>
      <c r="F711" s="50"/>
      <c r="J711" s="50"/>
      <c r="K711" s="50"/>
    </row>
    <row r="712">
      <c r="A712" s="50"/>
      <c r="D712" s="50"/>
      <c r="F712" s="50"/>
      <c r="J712" s="50"/>
      <c r="K712" s="50"/>
    </row>
    <row r="713">
      <c r="A713" s="50"/>
      <c r="D713" s="50"/>
      <c r="F713" s="50"/>
      <c r="J713" s="50"/>
      <c r="K713" s="50"/>
    </row>
    <row r="714">
      <c r="A714" s="50"/>
      <c r="D714" s="50"/>
      <c r="F714" s="50"/>
      <c r="J714" s="50"/>
      <c r="K714" s="50"/>
    </row>
    <row r="715">
      <c r="A715" s="50"/>
      <c r="D715" s="50"/>
      <c r="F715" s="50"/>
      <c r="J715" s="50"/>
      <c r="K715" s="50"/>
    </row>
    <row r="716">
      <c r="A716" s="50"/>
      <c r="D716" s="50"/>
      <c r="F716" s="50"/>
      <c r="J716" s="50"/>
      <c r="K716" s="50"/>
    </row>
    <row r="717">
      <c r="A717" s="50"/>
      <c r="D717" s="50"/>
      <c r="F717" s="50"/>
      <c r="J717" s="50"/>
      <c r="K717" s="50"/>
    </row>
    <row r="718">
      <c r="A718" s="50"/>
      <c r="D718" s="50"/>
      <c r="F718" s="50"/>
      <c r="J718" s="50"/>
      <c r="K718" s="50"/>
    </row>
    <row r="719">
      <c r="A719" s="50"/>
      <c r="D719" s="50"/>
      <c r="F719" s="50"/>
      <c r="J719" s="50"/>
      <c r="K719" s="50"/>
    </row>
    <row r="720">
      <c r="A720" s="50"/>
      <c r="D720" s="50"/>
      <c r="F720" s="50"/>
      <c r="J720" s="50"/>
      <c r="K720" s="50"/>
    </row>
    <row r="721">
      <c r="A721" s="50"/>
      <c r="D721" s="50"/>
      <c r="F721" s="50"/>
      <c r="J721" s="50"/>
      <c r="K721" s="50"/>
    </row>
    <row r="722">
      <c r="A722" s="50"/>
      <c r="D722" s="50"/>
      <c r="F722" s="50"/>
      <c r="J722" s="50"/>
      <c r="K722" s="50"/>
    </row>
    <row r="723">
      <c r="A723" s="50"/>
      <c r="D723" s="50"/>
      <c r="F723" s="50"/>
      <c r="J723" s="50"/>
      <c r="K723" s="50"/>
    </row>
    <row r="724">
      <c r="A724" s="50"/>
      <c r="D724" s="50"/>
      <c r="F724" s="50"/>
      <c r="J724" s="50"/>
      <c r="K724" s="50"/>
    </row>
    <row r="725">
      <c r="A725" s="50"/>
      <c r="D725" s="50"/>
      <c r="F725" s="50"/>
      <c r="J725" s="50"/>
      <c r="K725" s="50"/>
    </row>
    <row r="726">
      <c r="A726" s="50"/>
      <c r="D726" s="50"/>
      <c r="F726" s="50"/>
      <c r="J726" s="50"/>
      <c r="K726" s="50"/>
    </row>
    <row r="727">
      <c r="A727" s="50"/>
      <c r="D727" s="50"/>
      <c r="F727" s="50"/>
      <c r="J727" s="50"/>
      <c r="K727" s="50"/>
    </row>
    <row r="728">
      <c r="A728" s="50"/>
      <c r="D728" s="50"/>
      <c r="F728" s="50"/>
      <c r="J728" s="50"/>
      <c r="K728" s="50"/>
    </row>
    <row r="729">
      <c r="A729" s="50"/>
      <c r="D729" s="50"/>
      <c r="F729" s="50"/>
      <c r="J729" s="50"/>
      <c r="K729" s="50"/>
    </row>
    <row r="730">
      <c r="A730" s="50"/>
      <c r="D730" s="50"/>
      <c r="F730" s="50"/>
      <c r="J730" s="50"/>
      <c r="K730" s="50"/>
    </row>
    <row r="731">
      <c r="A731" s="50"/>
      <c r="D731" s="50"/>
      <c r="F731" s="50"/>
      <c r="J731" s="50"/>
      <c r="K731" s="50"/>
    </row>
    <row r="732">
      <c r="A732" s="50"/>
      <c r="D732" s="50"/>
      <c r="F732" s="50"/>
      <c r="J732" s="50"/>
      <c r="K732" s="50"/>
    </row>
    <row r="733">
      <c r="A733" s="50"/>
      <c r="D733" s="50"/>
      <c r="F733" s="50"/>
      <c r="J733" s="50"/>
      <c r="K733" s="50"/>
    </row>
    <row r="734">
      <c r="A734" s="50"/>
      <c r="D734" s="50"/>
      <c r="F734" s="50"/>
      <c r="J734" s="50"/>
      <c r="K734" s="50"/>
    </row>
    <row r="735">
      <c r="A735" s="50"/>
      <c r="D735" s="50"/>
      <c r="F735" s="50"/>
      <c r="J735" s="50"/>
      <c r="K735" s="50"/>
    </row>
    <row r="736">
      <c r="A736" s="50"/>
      <c r="D736" s="50"/>
      <c r="F736" s="50"/>
      <c r="J736" s="50"/>
      <c r="K736" s="50"/>
    </row>
    <row r="737">
      <c r="A737" s="50"/>
      <c r="D737" s="50"/>
      <c r="F737" s="50"/>
      <c r="J737" s="50"/>
      <c r="K737" s="50"/>
    </row>
    <row r="738">
      <c r="A738" s="50"/>
      <c r="D738" s="50"/>
      <c r="F738" s="50"/>
      <c r="J738" s="50"/>
      <c r="K738" s="50"/>
    </row>
    <row r="739">
      <c r="A739" s="50"/>
      <c r="D739" s="50"/>
      <c r="F739" s="50"/>
      <c r="J739" s="50"/>
      <c r="K739" s="50"/>
    </row>
    <row r="740">
      <c r="A740" s="50"/>
      <c r="D740" s="50"/>
      <c r="F740" s="50"/>
      <c r="J740" s="50"/>
      <c r="K740" s="50"/>
    </row>
    <row r="741">
      <c r="A741" s="50"/>
      <c r="D741" s="50"/>
      <c r="F741" s="50"/>
      <c r="J741" s="50"/>
      <c r="K741" s="50"/>
    </row>
    <row r="742">
      <c r="A742" s="50"/>
      <c r="D742" s="50"/>
      <c r="F742" s="50"/>
      <c r="J742" s="50"/>
      <c r="K742" s="50"/>
    </row>
    <row r="743">
      <c r="A743" s="50"/>
      <c r="D743" s="50"/>
      <c r="F743" s="50"/>
      <c r="J743" s="50"/>
      <c r="K743" s="50"/>
    </row>
    <row r="744">
      <c r="A744" s="50"/>
      <c r="D744" s="50"/>
      <c r="F744" s="50"/>
      <c r="J744" s="50"/>
      <c r="K744" s="50"/>
    </row>
    <row r="745">
      <c r="A745" s="50"/>
      <c r="D745" s="50"/>
      <c r="F745" s="50"/>
      <c r="J745" s="50"/>
      <c r="K745" s="50"/>
    </row>
    <row r="746">
      <c r="A746" s="50"/>
      <c r="D746" s="50"/>
      <c r="F746" s="50"/>
      <c r="J746" s="50"/>
      <c r="K746" s="50"/>
    </row>
    <row r="747">
      <c r="A747" s="50"/>
      <c r="D747" s="50"/>
      <c r="F747" s="50"/>
      <c r="J747" s="50"/>
      <c r="K747" s="50"/>
    </row>
    <row r="748">
      <c r="A748" s="50"/>
      <c r="D748" s="50"/>
      <c r="F748" s="50"/>
      <c r="J748" s="50"/>
      <c r="K748" s="50"/>
    </row>
    <row r="749">
      <c r="A749" s="50"/>
      <c r="D749" s="50"/>
      <c r="F749" s="50"/>
      <c r="J749" s="50"/>
      <c r="K749" s="50"/>
    </row>
    <row r="750">
      <c r="A750" s="50"/>
      <c r="D750" s="50"/>
      <c r="F750" s="50"/>
      <c r="J750" s="50"/>
      <c r="K750" s="50"/>
    </row>
    <row r="751">
      <c r="A751" s="50"/>
      <c r="D751" s="50"/>
      <c r="F751" s="50"/>
      <c r="J751" s="50"/>
      <c r="K751" s="50"/>
    </row>
    <row r="752">
      <c r="A752" s="50"/>
      <c r="D752" s="50"/>
      <c r="F752" s="50"/>
      <c r="J752" s="50"/>
      <c r="K752" s="50"/>
    </row>
    <row r="753">
      <c r="A753" s="50"/>
      <c r="D753" s="50"/>
      <c r="F753" s="50"/>
      <c r="J753" s="50"/>
      <c r="K753" s="50"/>
    </row>
    <row r="754">
      <c r="A754" s="50"/>
      <c r="D754" s="50"/>
      <c r="F754" s="50"/>
      <c r="J754" s="50"/>
      <c r="K754" s="50"/>
    </row>
    <row r="755">
      <c r="A755" s="50"/>
      <c r="D755" s="50"/>
      <c r="F755" s="50"/>
      <c r="J755" s="50"/>
      <c r="K755" s="50"/>
    </row>
    <row r="756">
      <c r="A756" s="50"/>
      <c r="D756" s="50"/>
      <c r="F756" s="50"/>
      <c r="J756" s="50"/>
      <c r="K756" s="50"/>
    </row>
    <row r="757">
      <c r="A757" s="50"/>
      <c r="D757" s="50"/>
      <c r="F757" s="50"/>
      <c r="J757" s="50"/>
      <c r="K757" s="50"/>
    </row>
    <row r="758">
      <c r="A758" s="50"/>
      <c r="D758" s="50"/>
      <c r="F758" s="50"/>
      <c r="J758" s="50"/>
      <c r="K758" s="50"/>
    </row>
    <row r="759">
      <c r="A759" s="50"/>
      <c r="D759" s="50"/>
      <c r="F759" s="50"/>
      <c r="J759" s="50"/>
      <c r="K759" s="50"/>
    </row>
    <row r="760">
      <c r="A760" s="50"/>
      <c r="D760" s="50"/>
      <c r="F760" s="50"/>
      <c r="J760" s="50"/>
      <c r="K760" s="50"/>
    </row>
    <row r="761">
      <c r="A761" s="50"/>
      <c r="D761" s="50"/>
      <c r="F761" s="50"/>
      <c r="J761" s="50"/>
      <c r="K761" s="50"/>
    </row>
    <row r="762">
      <c r="A762" s="50"/>
      <c r="D762" s="50"/>
      <c r="F762" s="50"/>
      <c r="J762" s="50"/>
      <c r="K762" s="50"/>
    </row>
    <row r="763">
      <c r="A763" s="50"/>
      <c r="D763" s="50"/>
      <c r="F763" s="50"/>
      <c r="J763" s="50"/>
      <c r="K763" s="50"/>
    </row>
    <row r="764">
      <c r="A764" s="50"/>
      <c r="D764" s="50"/>
      <c r="F764" s="50"/>
      <c r="J764" s="50"/>
      <c r="K764" s="50"/>
    </row>
    <row r="765">
      <c r="A765" s="50"/>
      <c r="D765" s="50"/>
      <c r="F765" s="50"/>
      <c r="J765" s="50"/>
      <c r="K765" s="50"/>
    </row>
    <row r="766">
      <c r="A766" s="50"/>
      <c r="D766" s="50"/>
      <c r="F766" s="50"/>
      <c r="J766" s="50"/>
      <c r="K766" s="50"/>
    </row>
    <row r="767">
      <c r="A767" s="50"/>
      <c r="D767" s="50"/>
      <c r="F767" s="50"/>
      <c r="J767" s="50"/>
      <c r="K767" s="50"/>
    </row>
    <row r="768">
      <c r="A768" s="50"/>
      <c r="D768" s="50"/>
      <c r="F768" s="50"/>
      <c r="J768" s="50"/>
      <c r="K768" s="50"/>
    </row>
    <row r="769">
      <c r="A769" s="50"/>
      <c r="D769" s="50"/>
      <c r="F769" s="50"/>
      <c r="J769" s="50"/>
      <c r="K769" s="50"/>
    </row>
    <row r="770">
      <c r="A770" s="50"/>
      <c r="D770" s="50"/>
      <c r="F770" s="50"/>
      <c r="J770" s="50"/>
      <c r="K770" s="50"/>
    </row>
    <row r="771">
      <c r="A771" s="50"/>
      <c r="D771" s="50"/>
      <c r="F771" s="50"/>
      <c r="J771" s="50"/>
      <c r="K771" s="50"/>
    </row>
    <row r="772">
      <c r="A772" s="50"/>
      <c r="D772" s="50"/>
      <c r="F772" s="50"/>
      <c r="J772" s="50"/>
      <c r="K772" s="50"/>
    </row>
    <row r="773">
      <c r="A773" s="50"/>
      <c r="D773" s="50"/>
      <c r="F773" s="50"/>
      <c r="J773" s="50"/>
      <c r="K773" s="50"/>
    </row>
    <row r="774">
      <c r="A774" s="50"/>
      <c r="D774" s="50"/>
      <c r="F774" s="50"/>
      <c r="J774" s="50"/>
      <c r="K774" s="50"/>
    </row>
    <row r="775">
      <c r="A775" s="50"/>
      <c r="D775" s="50"/>
      <c r="F775" s="50"/>
      <c r="J775" s="50"/>
      <c r="K775" s="50"/>
    </row>
    <row r="776">
      <c r="A776" s="50"/>
      <c r="D776" s="50"/>
      <c r="F776" s="50"/>
      <c r="J776" s="50"/>
      <c r="K776" s="50"/>
    </row>
    <row r="777">
      <c r="A777" s="50"/>
      <c r="D777" s="50"/>
      <c r="F777" s="50"/>
      <c r="J777" s="50"/>
      <c r="K777" s="50"/>
    </row>
    <row r="778">
      <c r="A778" s="50"/>
      <c r="D778" s="50"/>
      <c r="F778" s="50"/>
      <c r="J778" s="50"/>
      <c r="K778" s="50"/>
    </row>
    <row r="779">
      <c r="A779" s="50"/>
      <c r="D779" s="50"/>
      <c r="F779" s="50"/>
      <c r="J779" s="50"/>
      <c r="K779" s="50"/>
    </row>
    <row r="780">
      <c r="A780" s="50"/>
      <c r="D780" s="50"/>
      <c r="F780" s="50"/>
      <c r="J780" s="50"/>
      <c r="K780" s="50"/>
    </row>
    <row r="781">
      <c r="A781" s="50"/>
      <c r="D781" s="50"/>
      <c r="F781" s="50"/>
      <c r="J781" s="50"/>
      <c r="K781" s="50"/>
    </row>
    <row r="782">
      <c r="A782" s="50"/>
      <c r="D782" s="50"/>
      <c r="F782" s="50"/>
      <c r="J782" s="50"/>
      <c r="K782" s="50"/>
    </row>
    <row r="783">
      <c r="A783" s="50"/>
      <c r="D783" s="50"/>
      <c r="F783" s="50"/>
      <c r="J783" s="50"/>
      <c r="K783" s="50"/>
    </row>
    <row r="784">
      <c r="A784" s="50"/>
      <c r="D784" s="50"/>
      <c r="F784" s="50"/>
      <c r="J784" s="50"/>
      <c r="K784" s="50"/>
    </row>
    <row r="785">
      <c r="A785" s="50"/>
      <c r="D785" s="50"/>
      <c r="F785" s="50"/>
      <c r="J785" s="50"/>
      <c r="K785" s="50"/>
    </row>
    <row r="786">
      <c r="A786" s="50"/>
      <c r="D786" s="50"/>
      <c r="F786" s="50"/>
      <c r="J786" s="50"/>
      <c r="K786" s="50"/>
    </row>
    <row r="787">
      <c r="A787" s="50"/>
      <c r="D787" s="50"/>
      <c r="F787" s="50"/>
      <c r="J787" s="50"/>
      <c r="K787" s="50"/>
    </row>
    <row r="788">
      <c r="A788" s="50"/>
      <c r="D788" s="50"/>
      <c r="F788" s="50"/>
      <c r="J788" s="50"/>
      <c r="K788" s="50"/>
    </row>
    <row r="789">
      <c r="A789" s="50"/>
      <c r="D789" s="50"/>
      <c r="F789" s="50"/>
      <c r="J789" s="50"/>
      <c r="K789" s="50"/>
    </row>
    <row r="790">
      <c r="A790" s="50"/>
      <c r="D790" s="50"/>
      <c r="F790" s="50"/>
      <c r="J790" s="50"/>
      <c r="K790" s="50"/>
    </row>
    <row r="791">
      <c r="A791" s="50"/>
      <c r="D791" s="50"/>
      <c r="F791" s="50"/>
      <c r="J791" s="50"/>
      <c r="K791" s="50"/>
    </row>
    <row r="792">
      <c r="A792" s="50"/>
      <c r="D792" s="50"/>
      <c r="F792" s="50"/>
      <c r="J792" s="50"/>
      <c r="K792" s="50"/>
    </row>
    <row r="793">
      <c r="A793" s="50"/>
      <c r="D793" s="50"/>
      <c r="F793" s="50"/>
      <c r="J793" s="50"/>
      <c r="K793" s="50"/>
    </row>
    <row r="794">
      <c r="A794" s="50"/>
      <c r="D794" s="50"/>
      <c r="F794" s="50"/>
      <c r="J794" s="50"/>
      <c r="K794" s="50"/>
    </row>
    <row r="795">
      <c r="A795" s="50"/>
      <c r="D795" s="50"/>
      <c r="F795" s="50"/>
      <c r="J795" s="50"/>
      <c r="K795" s="50"/>
    </row>
    <row r="796">
      <c r="A796" s="50"/>
      <c r="D796" s="50"/>
      <c r="F796" s="50"/>
      <c r="J796" s="50"/>
      <c r="K796" s="50"/>
    </row>
    <row r="797">
      <c r="A797" s="50"/>
      <c r="D797" s="50"/>
      <c r="F797" s="50"/>
      <c r="J797" s="50"/>
      <c r="K797" s="50"/>
    </row>
    <row r="798">
      <c r="A798" s="50"/>
      <c r="D798" s="50"/>
      <c r="F798" s="50"/>
      <c r="J798" s="50"/>
      <c r="K798" s="50"/>
    </row>
    <row r="799">
      <c r="A799" s="50"/>
      <c r="D799" s="50"/>
      <c r="F799" s="50"/>
      <c r="J799" s="50"/>
      <c r="K799" s="50"/>
    </row>
    <row r="800">
      <c r="A800" s="50"/>
      <c r="D800" s="50"/>
      <c r="F800" s="50"/>
      <c r="J800" s="50"/>
      <c r="K800" s="50"/>
    </row>
    <row r="801">
      <c r="A801" s="50"/>
      <c r="D801" s="50"/>
      <c r="F801" s="50"/>
      <c r="J801" s="50"/>
      <c r="K801" s="50"/>
    </row>
    <row r="802">
      <c r="A802" s="50"/>
      <c r="D802" s="50"/>
      <c r="F802" s="50"/>
      <c r="J802" s="50"/>
      <c r="K802" s="50"/>
    </row>
    <row r="803">
      <c r="A803" s="50"/>
      <c r="D803" s="50"/>
      <c r="F803" s="50"/>
      <c r="J803" s="50"/>
      <c r="K803" s="50"/>
    </row>
    <row r="804">
      <c r="A804" s="50"/>
      <c r="D804" s="50"/>
      <c r="F804" s="50"/>
      <c r="J804" s="50"/>
      <c r="K804" s="50"/>
    </row>
    <row r="805">
      <c r="A805" s="50"/>
      <c r="D805" s="50"/>
      <c r="F805" s="50"/>
      <c r="J805" s="50"/>
      <c r="K805" s="50"/>
    </row>
    <row r="806">
      <c r="A806" s="50"/>
      <c r="D806" s="50"/>
      <c r="F806" s="50"/>
      <c r="J806" s="50"/>
      <c r="K806" s="50"/>
    </row>
    <row r="807">
      <c r="A807" s="50"/>
      <c r="D807" s="50"/>
      <c r="F807" s="50"/>
      <c r="J807" s="50"/>
      <c r="K807" s="50"/>
    </row>
    <row r="808">
      <c r="A808" s="50"/>
      <c r="D808" s="50"/>
      <c r="F808" s="50"/>
      <c r="J808" s="50"/>
      <c r="K808" s="50"/>
    </row>
    <row r="809">
      <c r="A809" s="50"/>
      <c r="D809" s="50"/>
      <c r="F809" s="50"/>
      <c r="J809" s="50"/>
      <c r="K809" s="50"/>
    </row>
    <row r="810">
      <c r="A810" s="50"/>
      <c r="D810" s="50"/>
      <c r="F810" s="50"/>
      <c r="J810" s="50"/>
      <c r="K810" s="50"/>
    </row>
    <row r="811">
      <c r="A811" s="50"/>
      <c r="D811" s="50"/>
      <c r="F811" s="50"/>
      <c r="J811" s="50"/>
      <c r="K811" s="50"/>
    </row>
    <row r="812">
      <c r="A812" s="50"/>
      <c r="D812" s="50"/>
      <c r="F812" s="50"/>
      <c r="J812" s="50"/>
      <c r="K812" s="50"/>
    </row>
    <row r="813">
      <c r="A813" s="50"/>
      <c r="D813" s="50"/>
      <c r="F813" s="50"/>
      <c r="J813" s="50"/>
      <c r="K813" s="50"/>
    </row>
    <row r="814">
      <c r="A814" s="50"/>
      <c r="D814" s="50"/>
      <c r="F814" s="50"/>
      <c r="J814" s="50"/>
      <c r="K814" s="50"/>
    </row>
    <row r="815">
      <c r="A815" s="50"/>
      <c r="D815" s="50"/>
      <c r="F815" s="50"/>
      <c r="J815" s="50"/>
      <c r="K815" s="50"/>
    </row>
    <row r="816">
      <c r="A816" s="50"/>
      <c r="D816" s="50"/>
      <c r="F816" s="50"/>
      <c r="J816" s="50"/>
      <c r="K816" s="50"/>
    </row>
    <row r="817">
      <c r="A817" s="50"/>
      <c r="D817" s="50"/>
      <c r="F817" s="50"/>
      <c r="J817" s="50"/>
      <c r="K817" s="50"/>
    </row>
    <row r="818">
      <c r="A818" s="50"/>
      <c r="D818" s="50"/>
      <c r="F818" s="50"/>
      <c r="J818" s="50"/>
      <c r="K818" s="50"/>
    </row>
    <row r="819">
      <c r="A819" s="50"/>
      <c r="D819" s="50"/>
      <c r="F819" s="50"/>
      <c r="J819" s="50"/>
      <c r="K819" s="50"/>
    </row>
    <row r="820">
      <c r="A820" s="50"/>
      <c r="D820" s="50"/>
      <c r="F820" s="50"/>
      <c r="J820" s="50"/>
      <c r="K820" s="50"/>
    </row>
    <row r="821">
      <c r="A821" s="50"/>
      <c r="D821" s="50"/>
      <c r="F821" s="50"/>
      <c r="J821" s="50"/>
      <c r="K821" s="50"/>
    </row>
    <row r="822">
      <c r="A822" s="50"/>
      <c r="D822" s="50"/>
      <c r="F822" s="50"/>
      <c r="J822" s="50"/>
      <c r="K822" s="50"/>
    </row>
    <row r="823">
      <c r="A823" s="50"/>
      <c r="D823" s="50"/>
      <c r="F823" s="50"/>
      <c r="J823" s="50"/>
      <c r="K823" s="50"/>
    </row>
    <row r="824">
      <c r="A824" s="50"/>
      <c r="D824" s="50"/>
      <c r="F824" s="50"/>
      <c r="J824" s="50"/>
      <c r="K824" s="50"/>
    </row>
    <row r="825">
      <c r="A825" s="50"/>
      <c r="D825" s="50"/>
      <c r="F825" s="50"/>
      <c r="J825" s="50"/>
      <c r="K825" s="50"/>
    </row>
    <row r="826">
      <c r="A826" s="50"/>
      <c r="D826" s="50"/>
      <c r="F826" s="50"/>
      <c r="J826" s="50"/>
      <c r="K826" s="50"/>
    </row>
    <row r="827">
      <c r="A827" s="50"/>
      <c r="D827" s="50"/>
      <c r="F827" s="50"/>
      <c r="J827" s="50"/>
      <c r="K827" s="50"/>
    </row>
    <row r="828">
      <c r="A828" s="50"/>
      <c r="D828" s="50"/>
      <c r="F828" s="50"/>
      <c r="J828" s="50"/>
      <c r="K828" s="50"/>
    </row>
    <row r="829">
      <c r="A829" s="50"/>
      <c r="D829" s="50"/>
      <c r="F829" s="50"/>
      <c r="J829" s="50"/>
      <c r="K829" s="50"/>
    </row>
    <row r="830">
      <c r="A830" s="50"/>
      <c r="D830" s="50"/>
      <c r="F830" s="50"/>
      <c r="J830" s="50"/>
      <c r="K830" s="50"/>
    </row>
    <row r="831">
      <c r="A831" s="50"/>
      <c r="D831" s="50"/>
      <c r="F831" s="50"/>
      <c r="J831" s="50"/>
      <c r="K831" s="50"/>
    </row>
    <row r="832">
      <c r="A832" s="50"/>
      <c r="D832" s="50"/>
      <c r="F832" s="50"/>
      <c r="J832" s="50"/>
      <c r="K832" s="50"/>
    </row>
    <row r="833">
      <c r="A833" s="50"/>
      <c r="D833" s="50"/>
      <c r="F833" s="50"/>
      <c r="J833" s="50"/>
      <c r="K833" s="50"/>
    </row>
    <row r="834">
      <c r="A834" s="50"/>
      <c r="D834" s="50"/>
      <c r="F834" s="50"/>
      <c r="J834" s="50"/>
      <c r="K834" s="50"/>
    </row>
    <row r="835">
      <c r="A835" s="50"/>
      <c r="D835" s="50"/>
      <c r="F835" s="50"/>
      <c r="J835" s="50"/>
      <c r="K835" s="50"/>
    </row>
    <row r="836">
      <c r="A836" s="50"/>
      <c r="D836" s="50"/>
      <c r="F836" s="50"/>
      <c r="J836" s="50"/>
      <c r="K836" s="50"/>
    </row>
    <row r="837">
      <c r="A837" s="50"/>
      <c r="D837" s="50"/>
      <c r="F837" s="50"/>
      <c r="J837" s="50"/>
      <c r="K837" s="50"/>
    </row>
    <row r="838">
      <c r="A838" s="50"/>
      <c r="D838" s="50"/>
      <c r="F838" s="50"/>
      <c r="J838" s="50"/>
      <c r="K838" s="50"/>
    </row>
    <row r="839">
      <c r="A839" s="50"/>
      <c r="D839" s="50"/>
      <c r="F839" s="50"/>
      <c r="J839" s="50"/>
      <c r="K839" s="50"/>
    </row>
    <row r="840">
      <c r="A840" s="50"/>
      <c r="D840" s="50"/>
      <c r="F840" s="50"/>
      <c r="J840" s="50"/>
      <c r="K840" s="50"/>
    </row>
    <row r="841">
      <c r="A841" s="50"/>
      <c r="D841" s="50"/>
      <c r="F841" s="50"/>
      <c r="J841" s="50"/>
      <c r="K841" s="50"/>
    </row>
    <row r="842">
      <c r="A842" s="50"/>
      <c r="D842" s="50"/>
      <c r="F842" s="50"/>
      <c r="J842" s="50"/>
      <c r="K842" s="50"/>
    </row>
    <row r="843">
      <c r="A843" s="50"/>
      <c r="D843" s="50"/>
      <c r="F843" s="50"/>
      <c r="J843" s="50"/>
      <c r="K843" s="50"/>
    </row>
    <row r="844">
      <c r="A844" s="50"/>
      <c r="D844" s="50"/>
      <c r="F844" s="50"/>
      <c r="J844" s="50"/>
      <c r="K844" s="50"/>
    </row>
    <row r="845">
      <c r="A845" s="50"/>
      <c r="D845" s="50"/>
      <c r="F845" s="50"/>
      <c r="J845" s="50"/>
      <c r="K845" s="50"/>
    </row>
    <row r="846">
      <c r="A846" s="50"/>
      <c r="D846" s="50"/>
      <c r="F846" s="50"/>
      <c r="J846" s="50"/>
      <c r="K846" s="50"/>
    </row>
    <row r="847">
      <c r="A847" s="50"/>
      <c r="D847" s="50"/>
      <c r="F847" s="50"/>
      <c r="J847" s="50"/>
      <c r="K847" s="50"/>
    </row>
    <row r="848">
      <c r="A848" s="50"/>
      <c r="D848" s="50"/>
      <c r="F848" s="50"/>
      <c r="J848" s="50"/>
      <c r="K848" s="50"/>
    </row>
    <row r="849">
      <c r="A849" s="50"/>
      <c r="D849" s="50"/>
      <c r="F849" s="50"/>
      <c r="J849" s="50"/>
      <c r="K849" s="50"/>
    </row>
    <row r="850">
      <c r="A850" s="50"/>
      <c r="D850" s="50"/>
      <c r="F850" s="50"/>
      <c r="J850" s="50"/>
      <c r="K850" s="50"/>
    </row>
    <row r="851">
      <c r="A851" s="50"/>
      <c r="D851" s="50"/>
      <c r="F851" s="50"/>
      <c r="J851" s="50"/>
      <c r="K851" s="50"/>
    </row>
    <row r="852">
      <c r="A852" s="50"/>
      <c r="D852" s="50"/>
      <c r="F852" s="50"/>
      <c r="J852" s="50"/>
      <c r="K852" s="50"/>
    </row>
    <row r="853">
      <c r="A853" s="50"/>
      <c r="D853" s="50"/>
      <c r="F853" s="50"/>
      <c r="J853" s="50"/>
      <c r="K853" s="50"/>
    </row>
    <row r="854">
      <c r="A854" s="50"/>
      <c r="D854" s="50"/>
      <c r="F854" s="50"/>
      <c r="J854" s="50"/>
      <c r="K854" s="50"/>
    </row>
    <row r="855">
      <c r="A855" s="50"/>
      <c r="D855" s="50"/>
      <c r="F855" s="50"/>
      <c r="J855" s="50"/>
      <c r="K855" s="50"/>
    </row>
    <row r="856">
      <c r="A856" s="50"/>
      <c r="D856" s="50"/>
      <c r="F856" s="50"/>
      <c r="J856" s="50"/>
      <c r="K856" s="50"/>
    </row>
    <row r="857">
      <c r="A857" s="50"/>
      <c r="D857" s="50"/>
      <c r="F857" s="50"/>
      <c r="J857" s="50"/>
      <c r="K857" s="50"/>
    </row>
    <row r="858">
      <c r="A858" s="50"/>
      <c r="D858" s="50"/>
      <c r="F858" s="50"/>
      <c r="J858" s="50"/>
      <c r="K858" s="50"/>
    </row>
    <row r="859">
      <c r="A859" s="50"/>
      <c r="D859" s="50"/>
      <c r="F859" s="50"/>
      <c r="J859" s="50"/>
      <c r="K859" s="50"/>
    </row>
    <row r="860">
      <c r="A860" s="50"/>
      <c r="D860" s="50"/>
      <c r="F860" s="50"/>
      <c r="J860" s="50"/>
      <c r="K860" s="50"/>
    </row>
    <row r="861">
      <c r="A861" s="50"/>
      <c r="D861" s="50"/>
      <c r="F861" s="50"/>
      <c r="J861" s="50"/>
      <c r="K861" s="50"/>
    </row>
    <row r="862">
      <c r="A862" s="50"/>
      <c r="D862" s="50"/>
      <c r="F862" s="50"/>
      <c r="J862" s="50"/>
      <c r="K862" s="50"/>
    </row>
    <row r="863">
      <c r="A863" s="50"/>
      <c r="D863" s="50"/>
      <c r="F863" s="50"/>
      <c r="J863" s="50"/>
      <c r="K863" s="50"/>
    </row>
    <row r="864">
      <c r="A864" s="50"/>
      <c r="D864" s="50"/>
      <c r="F864" s="50"/>
      <c r="J864" s="50"/>
      <c r="K864" s="50"/>
    </row>
    <row r="865">
      <c r="A865" s="50"/>
      <c r="D865" s="50"/>
      <c r="F865" s="50"/>
      <c r="J865" s="50"/>
      <c r="K865" s="50"/>
    </row>
    <row r="866">
      <c r="A866" s="50"/>
      <c r="D866" s="50"/>
      <c r="F866" s="50"/>
      <c r="J866" s="50"/>
      <c r="K866" s="50"/>
    </row>
    <row r="867">
      <c r="A867" s="50"/>
      <c r="D867" s="50"/>
      <c r="F867" s="50"/>
      <c r="J867" s="50"/>
      <c r="K867" s="50"/>
    </row>
    <row r="868">
      <c r="A868" s="50"/>
      <c r="D868" s="50"/>
      <c r="F868" s="50"/>
      <c r="J868" s="50"/>
      <c r="K868" s="50"/>
    </row>
    <row r="869">
      <c r="A869" s="50"/>
      <c r="D869" s="50"/>
      <c r="F869" s="50"/>
      <c r="J869" s="50"/>
      <c r="K869" s="50"/>
    </row>
    <row r="870">
      <c r="A870" s="50"/>
      <c r="D870" s="50"/>
      <c r="F870" s="50"/>
      <c r="J870" s="50"/>
      <c r="K870" s="50"/>
    </row>
    <row r="871">
      <c r="A871" s="50"/>
      <c r="D871" s="50"/>
      <c r="F871" s="50"/>
      <c r="J871" s="50"/>
      <c r="K871" s="50"/>
    </row>
    <row r="872">
      <c r="A872" s="50"/>
      <c r="D872" s="50"/>
      <c r="F872" s="50"/>
      <c r="J872" s="50"/>
      <c r="K872" s="50"/>
    </row>
    <row r="873">
      <c r="A873" s="50"/>
      <c r="D873" s="50"/>
      <c r="F873" s="50"/>
      <c r="J873" s="50"/>
      <c r="K873" s="50"/>
    </row>
    <row r="874">
      <c r="A874" s="50"/>
      <c r="D874" s="50"/>
      <c r="F874" s="50"/>
      <c r="J874" s="50"/>
      <c r="K874" s="50"/>
    </row>
    <row r="875">
      <c r="A875" s="50"/>
      <c r="D875" s="50"/>
      <c r="F875" s="50"/>
      <c r="J875" s="50"/>
      <c r="K875" s="50"/>
    </row>
    <row r="876">
      <c r="A876" s="50"/>
      <c r="D876" s="50"/>
      <c r="F876" s="50"/>
      <c r="J876" s="50"/>
      <c r="K876" s="50"/>
    </row>
    <row r="877">
      <c r="A877" s="50"/>
      <c r="D877" s="50"/>
      <c r="F877" s="50"/>
      <c r="J877" s="50"/>
      <c r="K877" s="50"/>
    </row>
    <row r="878">
      <c r="A878" s="50"/>
      <c r="D878" s="50"/>
      <c r="F878" s="50"/>
      <c r="J878" s="50"/>
      <c r="K878" s="50"/>
    </row>
    <row r="879">
      <c r="A879" s="50"/>
      <c r="D879" s="50"/>
      <c r="F879" s="50"/>
      <c r="J879" s="50"/>
      <c r="K879" s="50"/>
    </row>
    <row r="880">
      <c r="A880" s="50"/>
      <c r="D880" s="50"/>
      <c r="F880" s="50"/>
      <c r="J880" s="50"/>
      <c r="K880" s="50"/>
    </row>
    <row r="881">
      <c r="A881" s="50"/>
      <c r="D881" s="50"/>
      <c r="F881" s="50"/>
      <c r="J881" s="50"/>
      <c r="K881" s="50"/>
    </row>
    <row r="882">
      <c r="A882" s="50"/>
      <c r="D882" s="50"/>
      <c r="F882" s="50"/>
      <c r="J882" s="50"/>
      <c r="K882" s="50"/>
    </row>
    <row r="883">
      <c r="A883" s="50"/>
      <c r="D883" s="50"/>
      <c r="F883" s="50"/>
      <c r="J883" s="50"/>
      <c r="K883" s="50"/>
    </row>
    <row r="884">
      <c r="A884" s="50"/>
      <c r="D884" s="50"/>
      <c r="F884" s="50"/>
      <c r="J884" s="50"/>
      <c r="K884" s="50"/>
    </row>
    <row r="885">
      <c r="A885" s="50"/>
      <c r="D885" s="50"/>
      <c r="F885" s="50"/>
      <c r="J885" s="50"/>
      <c r="K885" s="50"/>
    </row>
    <row r="886">
      <c r="A886" s="50"/>
      <c r="D886" s="50"/>
      <c r="F886" s="50"/>
      <c r="J886" s="50"/>
      <c r="K886" s="50"/>
    </row>
    <row r="887">
      <c r="A887" s="50"/>
      <c r="D887" s="50"/>
      <c r="F887" s="50"/>
      <c r="J887" s="50"/>
      <c r="K887" s="50"/>
    </row>
    <row r="888">
      <c r="A888" s="50"/>
      <c r="D888" s="50"/>
      <c r="F888" s="50"/>
      <c r="J888" s="50"/>
      <c r="K888" s="50"/>
    </row>
    <row r="889">
      <c r="A889" s="50"/>
      <c r="D889" s="50"/>
      <c r="F889" s="50"/>
      <c r="J889" s="50"/>
      <c r="K889" s="50"/>
    </row>
    <row r="890">
      <c r="A890" s="50"/>
      <c r="D890" s="50"/>
      <c r="F890" s="50"/>
      <c r="J890" s="50"/>
      <c r="K890" s="50"/>
    </row>
    <row r="891">
      <c r="A891" s="50"/>
      <c r="D891" s="50"/>
      <c r="F891" s="50"/>
      <c r="J891" s="50"/>
      <c r="K891" s="50"/>
    </row>
    <row r="892">
      <c r="A892" s="50"/>
      <c r="D892" s="50"/>
      <c r="F892" s="50"/>
      <c r="J892" s="50"/>
      <c r="K892" s="50"/>
    </row>
    <row r="893">
      <c r="A893" s="50"/>
      <c r="D893" s="50"/>
      <c r="F893" s="50"/>
      <c r="J893" s="50"/>
      <c r="K893" s="50"/>
    </row>
    <row r="894">
      <c r="A894" s="50"/>
      <c r="D894" s="50"/>
      <c r="F894" s="50"/>
      <c r="J894" s="50"/>
      <c r="K894" s="50"/>
    </row>
    <row r="895">
      <c r="A895" s="50"/>
      <c r="D895" s="50"/>
      <c r="F895" s="50"/>
      <c r="J895" s="50"/>
      <c r="K895" s="50"/>
    </row>
    <row r="896">
      <c r="A896" s="50"/>
      <c r="D896" s="50"/>
      <c r="F896" s="50"/>
      <c r="J896" s="50"/>
      <c r="K896" s="50"/>
    </row>
    <row r="897">
      <c r="A897" s="50"/>
      <c r="D897" s="50"/>
      <c r="F897" s="50"/>
      <c r="J897" s="50"/>
      <c r="K897" s="50"/>
    </row>
    <row r="898">
      <c r="A898" s="50"/>
      <c r="D898" s="50"/>
      <c r="F898" s="50"/>
      <c r="J898" s="50"/>
      <c r="K898" s="50"/>
    </row>
    <row r="899">
      <c r="A899" s="50"/>
      <c r="D899" s="50"/>
      <c r="F899" s="50"/>
      <c r="J899" s="50"/>
      <c r="K899" s="50"/>
    </row>
    <row r="900">
      <c r="A900" s="50"/>
      <c r="D900" s="50"/>
      <c r="F900" s="50"/>
      <c r="J900" s="50"/>
      <c r="K900" s="50"/>
    </row>
    <row r="901">
      <c r="A901" s="50"/>
      <c r="D901" s="50"/>
      <c r="F901" s="50"/>
      <c r="J901" s="50"/>
      <c r="K901" s="50"/>
    </row>
    <row r="902">
      <c r="A902" s="50"/>
      <c r="D902" s="50"/>
      <c r="F902" s="50"/>
      <c r="J902" s="50"/>
      <c r="K902" s="50"/>
    </row>
    <row r="903">
      <c r="A903" s="50"/>
      <c r="D903" s="50"/>
      <c r="F903" s="50"/>
      <c r="J903" s="50"/>
      <c r="K903" s="50"/>
    </row>
    <row r="904">
      <c r="A904" s="50"/>
      <c r="D904" s="50"/>
      <c r="F904" s="50"/>
      <c r="J904" s="50"/>
      <c r="K904" s="50"/>
    </row>
    <row r="905">
      <c r="A905" s="50"/>
      <c r="D905" s="50"/>
      <c r="F905" s="50"/>
      <c r="J905" s="50"/>
      <c r="K905" s="50"/>
    </row>
    <row r="906">
      <c r="A906" s="50"/>
      <c r="D906" s="50"/>
      <c r="F906" s="50"/>
      <c r="J906" s="50"/>
      <c r="K906" s="50"/>
    </row>
    <row r="907">
      <c r="A907" s="50"/>
      <c r="D907" s="50"/>
      <c r="F907" s="50"/>
      <c r="J907" s="50"/>
      <c r="K907" s="50"/>
    </row>
    <row r="908">
      <c r="A908" s="50"/>
      <c r="D908" s="50"/>
      <c r="F908" s="50"/>
      <c r="J908" s="50"/>
      <c r="K908" s="50"/>
    </row>
    <row r="909">
      <c r="A909" s="50"/>
      <c r="D909" s="50"/>
      <c r="F909" s="50"/>
      <c r="J909" s="50"/>
      <c r="K909" s="50"/>
    </row>
    <row r="910">
      <c r="A910" s="50"/>
      <c r="D910" s="50"/>
      <c r="F910" s="50"/>
      <c r="J910" s="50"/>
      <c r="K910" s="50"/>
    </row>
    <row r="911">
      <c r="A911" s="50"/>
      <c r="D911" s="50"/>
      <c r="F911" s="50"/>
      <c r="J911" s="50"/>
      <c r="K911" s="50"/>
    </row>
    <row r="912">
      <c r="A912" s="50"/>
      <c r="D912" s="50"/>
      <c r="F912" s="50"/>
      <c r="J912" s="50"/>
      <c r="K912" s="50"/>
    </row>
    <row r="913">
      <c r="A913" s="50"/>
      <c r="D913" s="50"/>
      <c r="F913" s="50"/>
      <c r="J913" s="50"/>
      <c r="K913" s="50"/>
    </row>
    <row r="914">
      <c r="A914" s="50"/>
      <c r="D914" s="50"/>
      <c r="F914" s="50"/>
      <c r="J914" s="50"/>
      <c r="K914" s="50"/>
    </row>
    <row r="915">
      <c r="A915" s="50"/>
      <c r="D915" s="50"/>
      <c r="F915" s="50"/>
      <c r="J915" s="50"/>
      <c r="K915" s="50"/>
    </row>
    <row r="916">
      <c r="A916" s="50"/>
      <c r="D916" s="50"/>
      <c r="F916" s="50"/>
      <c r="J916" s="50"/>
      <c r="K916" s="50"/>
    </row>
    <row r="917">
      <c r="A917" s="50"/>
      <c r="D917" s="50"/>
      <c r="F917" s="50"/>
      <c r="J917" s="50"/>
      <c r="K917" s="50"/>
    </row>
    <row r="918">
      <c r="A918" s="50"/>
      <c r="D918" s="50"/>
      <c r="F918" s="50"/>
      <c r="J918" s="50"/>
      <c r="K918" s="50"/>
    </row>
    <row r="919">
      <c r="A919" s="50"/>
      <c r="D919" s="50"/>
      <c r="F919" s="50"/>
      <c r="J919" s="50"/>
      <c r="K919" s="50"/>
    </row>
    <row r="920">
      <c r="A920" s="50"/>
      <c r="D920" s="50"/>
      <c r="F920" s="50"/>
      <c r="J920" s="50"/>
      <c r="K920" s="50"/>
    </row>
    <row r="921">
      <c r="A921" s="50"/>
      <c r="D921" s="50"/>
      <c r="F921" s="50"/>
      <c r="J921" s="50"/>
      <c r="K921" s="50"/>
    </row>
    <row r="922">
      <c r="A922" s="50"/>
      <c r="D922" s="50"/>
      <c r="F922" s="50"/>
      <c r="J922" s="50"/>
      <c r="K922" s="50"/>
    </row>
    <row r="923">
      <c r="A923" s="50"/>
      <c r="D923" s="50"/>
      <c r="F923" s="50"/>
      <c r="J923" s="50"/>
      <c r="K923" s="50"/>
    </row>
    <row r="924">
      <c r="A924" s="50"/>
      <c r="D924" s="50"/>
      <c r="F924" s="50"/>
      <c r="J924" s="50"/>
      <c r="K924" s="50"/>
    </row>
    <row r="925">
      <c r="A925" s="50"/>
      <c r="D925" s="50"/>
      <c r="F925" s="50"/>
      <c r="J925" s="50"/>
      <c r="K925" s="50"/>
    </row>
    <row r="926">
      <c r="A926" s="50"/>
      <c r="D926" s="50"/>
      <c r="F926" s="50"/>
      <c r="J926" s="50"/>
      <c r="K926" s="50"/>
    </row>
    <row r="927">
      <c r="A927" s="50"/>
      <c r="D927" s="50"/>
      <c r="F927" s="50"/>
      <c r="J927" s="50"/>
      <c r="K927" s="50"/>
    </row>
    <row r="928">
      <c r="A928" s="50"/>
      <c r="D928" s="50"/>
      <c r="F928" s="50"/>
      <c r="J928" s="50"/>
      <c r="K928" s="50"/>
    </row>
    <row r="929">
      <c r="A929" s="50"/>
      <c r="D929" s="50"/>
      <c r="F929" s="50"/>
      <c r="J929" s="50"/>
      <c r="K929" s="50"/>
    </row>
    <row r="930">
      <c r="A930" s="50"/>
      <c r="D930" s="50"/>
      <c r="F930" s="50"/>
      <c r="J930" s="50"/>
      <c r="K930" s="50"/>
    </row>
    <row r="931">
      <c r="A931" s="50"/>
      <c r="D931" s="50"/>
      <c r="F931" s="50"/>
      <c r="J931" s="50"/>
      <c r="K931" s="50"/>
    </row>
    <row r="932">
      <c r="A932" s="50"/>
      <c r="D932" s="50"/>
      <c r="F932" s="50"/>
      <c r="J932" s="50"/>
      <c r="K932" s="50"/>
    </row>
    <row r="933">
      <c r="A933" s="50"/>
      <c r="D933" s="50"/>
      <c r="F933" s="50"/>
      <c r="J933" s="50"/>
      <c r="K933" s="50"/>
    </row>
    <row r="934">
      <c r="A934" s="50"/>
      <c r="D934" s="50"/>
      <c r="F934" s="50"/>
      <c r="J934" s="50"/>
      <c r="K934" s="50"/>
    </row>
    <row r="935">
      <c r="A935" s="50"/>
      <c r="D935" s="50"/>
      <c r="F935" s="50"/>
      <c r="J935" s="50"/>
      <c r="K935" s="50"/>
    </row>
    <row r="936">
      <c r="A936" s="50"/>
      <c r="D936" s="50"/>
      <c r="F936" s="50"/>
      <c r="J936" s="50"/>
      <c r="K936" s="50"/>
    </row>
    <row r="937">
      <c r="A937" s="50"/>
      <c r="D937" s="50"/>
      <c r="F937" s="50"/>
      <c r="J937" s="50"/>
      <c r="K937" s="50"/>
    </row>
    <row r="938">
      <c r="A938" s="50"/>
      <c r="D938" s="50"/>
      <c r="F938" s="50"/>
      <c r="J938" s="50"/>
      <c r="K938" s="50"/>
    </row>
    <row r="939">
      <c r="A939" s="50"/>
      <c r="D939" s="50"/>
      <c r="F939" s="50"/>
      <c r="J939" s="50"/>
      <c r="K939" s="50"/>
    </row>
    <row r="940">
      <c r="A940" s="50"/>
      <c r="D940" s="50"/>
      <c r="F940" s="50"/>
      <c r="J940" s="50"/>
      <c r="K940" s="50"/>
    </row>
    <row r="941">
      <c r="A941" s="50"/>
      <c r="D941" s="50"/>
      <c r="F941" s="50"/>
      <c r="J941" s="50"/>
      <c r="K941" s="50"/>
    </row>
    <row r="942">
      <c r="A942" s="50"/>
      <c r="D942" s="50"/>
      <c r="F942" s="50"/>
      <c r="J942" s="50"/>
      <c r="K942" s="50"/>
    </row>
    <row r="943">
      <c r="A943" s="50"/>
      <c r="D943" s="50"/>
      <c r="F943" s="50"/>
      <c r="J943" s="50"/>
      <c r="K943" s="50"/>
    </row>
    <row r="944">
      <c r="A944" s="50"/>
      <c r="D944" s="50"/>
      <c r="F944" s="50"/>
      <c r="J944" s="50"/>
      <c r="K944" s="50"/>
    </row>
    <row r="945">
      <c r="A945" s="50"/>
      <c r="D945" s="50"/>
      <c r="F945" s="50"/>
      <c r="J945" s="50"/>
      <c r="K945" s="50"/>
    </row>
    <row r="946">
      <c r="A946" s="50"/>
      <c r="D946" s="50"/>
      <c r="F946" s="50"/>
      <c r="J946" s="50"/>
      <c r="K946" s="50"/>
    </row>
    <row r="947">
      <c r="A947" s="50"/>
      <c r="D947" s="50"/>
      <c r="F947" s="50"/>
      <c r="J947" s="50"/>
      <c r="K947" s="50"/>
    </row>
    <row r="948">
      <c r="A948" s="50"/>
      <c r="D948" s="50"/>
      <c r="F948" s="50"/>
      <c r="J948" s="50"/>
      <c r="K948" s="50"/>
    </row>
    <row r="949">
      <c r="A949" s="50"/>
      <c r="D949" s="50"/>
      <c r="F949" s="50"/>
      <c r="J949" s="50"/>
      <c r="K949" s="50"/>
    </row>
    <row r="950">
      <c r="A950" s="50"/>
      <c r="D950" s="50"/>
      <c r="F950" s="50"/>
      <c r="J950" s="50"/>
      <c r="K950" s="50"/>
    </row>
    <row r="951">
      <c r="A951" s="50"/>
      <c r="D951" s="50"/>
      <c r="F951" s="50"/>
      <c r="J951" s="50"/>
      <c r="K951" s="50"/>
    </row>
    <row r="952">
      <c r="A952" s="50"/>
      <c r="D952" s="50"/>
      <c r="F952" s="50"/>
      <c r="J952" s="50"/>
      <c r="K952" s="50"/>
    </row>
    <row r="953">
      <c r="A953" s="50"/>
      <c r="D953" s="50"/>
      <c r="F953" s="50"/>
      <c r="J953" s="50"/>
      <c r="K953" s="50"/>
    </row>
    <row r="954">
      <c r="A954" s="50"/>
      <c r="D954" s="50"/>
      <c r="F954" s="50"/>
      <c r="J954" s="50"/>
      <c r="K954" s="50"/>
    </row>
    <row r="955">
      <c r="A955" s="50"/>
      <c r="D955" s="50"/>
      <c r="F955" s="50"/>
      <c r="J955" s="50"/>
      <c r="K955" s="50"/>
    </row>
    <row r="956">
      <c r="A956" s="50"/>
      <c r="D956" s="50"/>
      <c r="F956" s="50"/>
      <c r="J956" s="50"/>
      <c r="K956" s="50"/>
    </row>
    <row r="957">
      <c r="A957" s="50"/>
      <c r="D957" s="50"/>
      <c r="F957" s="50"/>
      <c r="J957" s="50"/>
      <c r="K957" s="50"/>
    </row>
    <row r="958">
      <c r="A958" s="50"/>
      <c r="D958" s="50"/>
      <c r="F958" s="50"/>
      <c r="J958" s="50"/>
      <c r="K958" s="50"/>
    </row>
    <row r="959">
      <c r="A959" s="50"/>
      <c r="D959" s="50"/>
      <c r="F959" s="50"/>
      <c r="J959" s="50"/>
      <c r="K959" s="50"/>
    </row>
    <row r="960">
      <c r="A960" s="50"/>
      <c r="D960" s="50"/>
      <c r="F960" s="50"/>
      <c r="J960" s="50"/>
      <c r="K960" s="50"/>
    </row>
    <row r="961">
      <c r="A961" s="50"/>
      <c r="D961" s="50"/>
      <c r="F961" s="50"/>
      <c r="J961" s="50"/>
      <c r="K961" s="50"/>
    </row>
    <row r="962">
      <c r="A962" s="50"/>
      <c r="D962" s="50"/>
      <c r="F962" s="50"/>
      <c r="J962" s="50"/>
      <c r="K962" s="50"/>
    </row>
    <row r="963">
      <c r="A963" s="50"/>
      <c r="D963" s="50"/>
      <c r="F963" s="50"/>
      <c r="J963" s="50"/>
      <c r="K963" s="50"/>
    </row>
    <row r="964">
      <c r="A964" s="50"/>
      <c r="D964" s="50"/>
      <c r="F964" s="50"/>
      <c r="J964" s="50"/>
      <c r="K964" s="50"/>
    </row>
    <row r="965">
      <c r="A965" s="50"/>
      <c r="D965" s="50"/>
      <c r="F965" s="50"/>
      <c r="J965" s="50"/>
      <c r="K965" s="50"/>
    </row>
    <row r="966">
      <c r="A966" s="50"/>
      <c r="D966" s="50"/>
      <c r="F966" s="50"/>
      <c r="J966" s="50"/>
      <c r="K966" s="50"/>
    </row>
    <row r="967">
      <c r="A967" s="50"/>
      <c r="D967" s="50"/>
      <c r="F967" s="50"/>
      <c r="J967" s="50"/>
      <c r="K967" s="50"/>
    </row>
    <row r="968">
      <c r="A968" s="50"/>
      <c r="D968" s="50"/>
      <c r="F968" s="50"/>
      <c r="J968" s="50"/>
      <c r="K968" s="50"/>
    </row>
    <row r="969">
      <c r="A969" s="50"/>
      <c r="D969" s="50"/>
      <c r="F969" s="50"/>
      <c r="J969" s="50"/>
      <c r="K969" s="50"/>
    </row>
    <row r="970">
      <c r="A970" s="50"/>
      <c r="D970" s="50"/>
      <c r="F970" s="50"/>
      <c r="J970" s="50"/>
      <c r="K970" s="50"/>
    </row>
    <row r="971">
      <c r="A971" s="50"/>
      <c r="D971" s="50"/>
      <c r="F971" s="50"/>
      <c r="J971" s="50"/>
      <c r="K971" s="50"/>
    </row>
    <row r="972">
      <c r="A972" s="50"/>
      <c r="D972" s="50"/>
      <c r="F972" s="50"/>
      <c r="J972" s="50"/>
      <c r="K972" s="50"/>
    </row>
    <row r="973">
      <c r="A973" s="50"/>
      <c r="D973" s="50"/>
      <c r="F973" s="50"/>
      <c r="J973" s="50"/>
      <c r="K973" s="50"/>
    </row>
    <row r="974">
      <c r="A974" s="50"/>
      <c r="D974" s="50"/>
      <c r="F974" s="50"/>
      <c r="J974" s="50"/>
      <c r="K974" s="50"/>
    </row>
    <row r="975">
      <c r="A975" s="50"/>
      <c r="D975" s="50"/>
      <c r="F975" s="50"/>
      <c r="J975" s="50"/>
      <c r="K975" s="50"/>
    </row>
    <row r="976">
      <c r="A976" s="50"/>
      <c r="D976" s="50"/>
      <c r="F976" s="50"/>
      <c r="J976" s="50"/>
      <c r="K976" s="50"/>
    </row>
    <row r="977">
      <c r="A977" s="50"/>
      <c r="D977" s="50"/>
      <c r="F977" s="50"/>
      <c r="J977" s="50"/>
      <c r="K977" s="50"/>
    </row>
    <row r="978">
      <c r="A978" s="50"/>
      <c r="D978" s="50"/>
      <c r="F978" s="50"/>
      <c r="J978" s="50"/>
      <c r="K978" s="50"/>
    </row>
    <row r="979">
      <c r="A979" s="50"/>
      <c r="D979" s="50"/>
      <c r="F979" s="50"/>
      <c r="J979" s="50"/>
      <c r="K979" s="50"/>
    </row>
    <row r="980">
      <c r="A980" s="50"/>
      <c r="D980" s="50"/>
      <c r="F980" s="50"/>
      <c r="J980" s="50"/>
      <c r="K980" s="50"/>
    </row>
    <row r="981">
      <c r="A981" s="50"/>
      <c r="D981" s="50"/>
      <c r="F981" s="50"/>
      <c r="J981" s="50"/>
      <c r="K981" s="50"/>
    </row>
    <row r="982">
      <c r="A982" s="50"/>
      <c r="D982" s="50"/>
      <c r="F982" s="50"/>
      <c r="J982" s="50"/>
      <c r="K982" s="50"/>
    </row>
    <row r="983">
      <c r="A983" s="50"/>
      <c r="D983" s="50"/>
      <c r="F983" s="50"/>
      <c r="J983" s="50"/>
      <c r="K983" s="50"/>
    </row>
    <row r="984">
      <c r="A984" s="50"/>
      <c r="D984" s="50"/>
      <c r="F984" s="50"/>
      <c r="J984" s="50"/>
      <c r="K984" s="50"/>
    </row>
    <row r="985">
      <c r="A985" s="50"/>
      <c r="D985" s="50"/>
      <c r="F985" s="50"/>
      <c r="J985" s="50"/>
      <c r="K985" s="50"/>
    </row>
    <row r="986">
      <c r="A986" s="50"/>
      <c r="D986" s="50"/>
      <c r="F986" s="50"/>
      <c r="J986" s="50"/>
      <c r="K986" s="50"/>
    </row>
    <row r="987">
      <c r="A987" s="50"/>
      <c r="D987" s="50"/>
      <c r="F987" s="50"/>
      <c r="J987" s="50"/>
      <c r="K987" s="50"/>
    </row>
    <row r="988">
      <c r="A988" s="50"/>
      <c r="D988" s="50"/>
      <c r="F988" s="50"/>
      <c r="J988" s="50"/>
      <c r="K988" s="50"/>
    </row>
    <row r="989">
      <c r="A989" s="50"/>
      <c r="D989" s="50"/>
      <c r="F989" s="50"/>
      <c r="J989" s="50"/>
      <c r="K989" s="50"/>
    </row>
    <row r="990">
      <c r="A990" s="50"/>
      <c r="D990" s="50"/>
      <c r="F990" s="50"/>
      <c r="J990" s="50"/>
      <c r="K990" s="50"/>
    </row>
    <row r="991">
      <c r="A991" s="50"/>
      <c r="D991" s="50"/>
      <c r="F991" s="50"/>
      <c r="J991" s="50"/>
      <c r="K991" s="50"/>
    </row>
    <row r="992">
      <c r="A992" s="50"/>
      <c r="D992" s="50"/>
      <c r="F992" s="50"/>
      <c r="J992" s="50"/>
      <c r="K992" s="50"/>
    </row>
    <row r="993">
      <c r="A993" s="50"/>
      <c r="D993" s="50"/>
      <c r="F993" s="50"/>
      <c r="J993" s="50"/>
      <c r="K993" s="50"/>
    </row>
    <row r="994">
      <c r="A994" s="50"/>
      <c r="D994" s="50"/>
      <c r="F994" s="50"/>
      <c r="J994" s="50"/>
      <c r="K994" s="50"/>
    </row>
    <row r="995">
      <c r="A995" s="50"/>
      <c r="D995" s="50"/>
      <c r="F995" s="50"/>
      <c r="J995" s="50"/>
      <c r="K995" s="50"/>
    </row>
    <row r="996">
      <c r="A996" s="50"/>
      <c r="D996" s="50"/>
      <c r="F996" s="50"/>
      <c r="J996" s="50"/>
      <c r="K996" s="50"/>
    </row>
    <row r="997">
      <c r="A997" s="50"/>
      <c r="D997" s="50"/>
      <c r="F997" s="50"/>
      <c r="J997" s="50"/>
      <c r="K997" s="50"/>
    </row>
    <row r="998">
      <c r="A998" s="50"/>
      <c r="D998" s="50"/>
      <c r="F998" s="50"/>
      <c r="J998" s="50"/>
      <c r="K998" s="50"/>
    </row>
    <row r="999">
      <c r="A999" s="50"/>
      <c r="D999" s="50"/>
      <c r="F999" s="50"/>
      <c r="J999" s="50"/>
      <c r="K999" s="50"/>
    </row>
    <row r="1000">
      <c r="A1000" s="50"/>
      <c r="D1000" s="50"/>
      <c r="F1000" s="50"/>
      <c r="J1000" s="50"/>
      <c r="K1000" s="50"/>
    </row>
  </sheetData>
  <hyperlinks>
    <hyperlink r:id="rId1" ref="N2"/>
    <hyperlink r:id="rId2" ref="N3"/>
    <hyperlink r:id="rId3" ref="N6"/>
    <hyperlink r:id="rId4" ref="N7"/>
    <hyperlink r:id="rId5" ref="I8"/>
    <hyperlink r:id="rId6" ref="N8"/>
    <hyperlink r:id="rId7" ref="I9"/>
    <hyperlink r:id="rId8" ref="N9"/>
    <hyperlink r:id="rId9" ref="I10"/>
    <hyperlink r:id="rId10" ref="N11"/>
    <hyperlink r:id="rId11" ref="N12"/>
    <hyperlink r:id="rId12" ref="N13"/>
    <hyperlink r:id="rId13" ref="N14"/>
    <hyperlink r:id="rId14" ref="N15"/>
    <hyperlink r:id="rId15" ref="I16"/>
    <hyperlink r:id="rId16" ref="I17"/>
    <hyperlink r:id="rId17" ref="N17"/>
    <hyperlink r:id="rId18" ref="N18"/>
    <hyperlink r:id="rId19" ref="N21"/>
    <hyperlink r:id="rId20" ref="N22"/>
    <hyperlink r:id="rId21" ref="N23"/>
    <hyperlink r:id="rId22" ref="N24"/>
    <hyperlink r:id="rId23" ref="I26"/>
    <hyperlink r:id="rId24" ref="N26"/>
    <hyperlink r:id="rId25" ref="I27"/>
    <hyperlink r:id="rId26" ref="I28"/>
    <hyperlink r:id="rId27" ref="N28"/>
    <hyperlink r:id="rId28" ref="N29"/>
    <hyperlink r:id="rId29" ref="N33"/>
    <hyperlink r:id="rId30" ref="N34"/>
    <hyperlink r:id="rId31" ref="I35"/>
    <hyperlink r:id="rId32" ref="N35"/>
    <hyperlink r:id="rId33" ref="N36"/>
    <hyperlink r:id="rId34" ref="I37"/>
    <hyperlink r:id="rId35" ref="N37"/>
    <hyperlink r:id="rId36" ref="I38"/>
    <hyperlink r:id="rId37" ref="N38"/>
    <hyperlink r:id="rId38" ref="I39"/>
    <hyperlink r:id="rId39" ref="N39"/>
    <hyperlink r:id="rId40" ref="I60"/>
    <hyperlink r:id="rId41" ref="N60"/>
    <hyperlink r:id="rId42" ref="I61"/>
    <hyperlink r:id="rId43" ref="I62"/>
    <hyperlink r:id="rId44" ref="N64"/>
    <hyperlink r:id="rId45" ref="N65"/>
    <hyperlink r:id="rId46" ref="N66"/>
    <hyperlink r:id="rId47" ref="I69"/>
    <hyperlink r:id="rId48" ref="I70"/>
    <hyperlink r:id="rId49" ref="N70"/>
    <hyperlink r:id="rId50" ref="I71"/>
    <hyperlink r:id="rId51" ref="N71"/>
    <hyperlink r:id="rId52" ref="I72"/>
    <hyperlink r:id="rId53" ref="I73"/>
    <hyperlink r:id="rId54" ref="N73"/>
    <hyperlink r:id="rId55" ref="I74"/>
    <hyperlink r:id="rId56" ref="N74"/>
    <hyperlink r:id="rId57" ref="N76"/>
    <hyperlink r:id="rId58" ref="N77"/>
    <hyperlink r:id="rId59" ref="N78"/>
    <hyperlink r:id="rId60" ref="I81"/>
    <hyperlink r:id="rId61" ref="N83"/>
    <hyperlink r:id="rId62" ref="I85"/>
    <hyperlink r:id="rId63" ref="I86"/>
    <hyperlink r:id="rId64" ref="N87"/>
    <hyperlink r:id="rId65" ref="I90"/>
    <hyperlink r:id="rId66" ref="I98"/>
    <hyperlink r:id="rId67" ref="I99"/>
    <hyperlink r:id="rId68" ref="I100"/>
    <hyperlink r:id="rId69" ref="I101"/>
    <hyperlink r:id="rId70" ref="I102"/>
    <hyperlink r:id="rId71" ref="I103"/>
    <hyperlink r:id="rId72" ref="I104"/>
    <hyperlink r:id="rId73" ref="I105"/>
    <hyperlink r:id="rId74" ref="I110"/>
    <hyperlink r:id="rId75" ref="I111"/>
    <hyperlink r:id="rId76" ref="I112"/>
    <hyperlink r:id="rId77" ref="I113"/>
    <hyperlink r:id="rId78" ref="I115"/>
    <hyperlink r:id="rId79" ref="I117"/>
    <hyperlink r:id="rId80" ref="I118"/>
    <hyperlink r:id="rId81" ref="I119"/>
    <hyperlink r:id="rId82" ref="I121"/>
    <hyperlink r:id="rId83" ref="I122"/>
    <hyperlink r:id="rId84" ref="I123"/>
    <hyperlink r:id="rId85" ref="I132"/>
    <hyperlink r:id="rId86" ref="N132"/>
    <hyperlink r:id="rId87" ref="N133"/>
    <hyperlink r:id="rId88" ref="N136"/>
    <hyperlink r:id="rId89" ref="N137"/>
    <hyperlink r:id="rId90" ref="N138"/>
    <hyperlink r:id="rId91" ref="I140"/>
    <hyperlink r:id="rId92" ref="I141"/>
    <hyperlink r:id="rId93" ref="I142"/>
    <hyperlink r:id="rId94" ref="N142"/>
    <hyperlink r:id="rId95" ref="I143"/>
    <hyperlink r:id="rId96" ref="N143"/>
    <hyperlink r:id="rId97" ref="N150"/>
    <hyperlink r:id="rId98" ref="I151"/>
    <hyperlink r:id="rId99" ref="N151"/>
    <hyperlink r:id="rId100" ref="I152"/>
    <hyperlink r:id="rId101" ref="N153"/>
    <hyperlink r:id="rId102" ref="I154"/>
    <hyperlink r:id="rId103" ref="N155"/>
    <hyperlink r:id="rId104" ref="I156"/>
    <hyperlink r:id="rId105" ref="N156"/>
    <hyperlink r:id="rId106" ref="N157"/>
    <hyperlink r:id="rId107" ref="I159"/>
    <hyperlink r:id="rId108" ref="I160"/>
    <hyperlink r:id="rId109" ref="N160"/>
    <hyperlink r:id="rId110" ref="N161"/>
    <hyperlink r:id="rId111" ref="N162"/>
    <hyperlink r:id="rId112" ref="I163"/>
    <hyperlink r:id="rId113" ref="N163"/>
    <hyperlink r:id="rId114" ref="I164"/>
    <hyperlink r:id="rId115" ref="N164"/>
    <hyperlink r:id="rId116" ref="I165"/>
    <hyperlink r:id="rId117" ref="I167"/>
    <hyperlink r:id="rId118" ref="I168"/>
    <hyperlink r:id="rId119" ref="I169"/>
    <hyperlink r:id="rId120" ref="I171"/>
    <hyperlink r:id="rId121" ref="I172"/>
    <hyperlink r:id="rId122" ref="I174"/>
    <hyperlink r:id="rId123" ref="I175"/>
    <hyperlink r:id="rId124" ref="I176"/>
    <hyperlink r:id="rId125" ref="I177"/>
    <hyperlink r:id="rId126" ref="I178"/>
  </hyperlinks>
  <drawing r:id="rId1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17.5"/>
    <col customWidth="1" min="9" max="9" width="17.5"/>
  </cols>
  <sheetData>
    <row r="1">
      <c r="A1" s="86" t="s">
        <v>24</v>
      </c>
      <c r="B1" s="58" t="s">
        <v>2207</v>
      </c>
      <c r="C1" s="58" t="s">
        <v>667</v>
      </c>
      <c r="D1" s="78" t="s">
        <v>2266</v>
      </c>
      <c r="E1" s="24" t="str">
        <f>IF(ISNA(MATCH(A1, 'A-Z player stats'!A:A, 0)), "Delete", "Keep")</f>
        <v>Keep</v>
      </c>
      <c r="G1" s="8"/>
      <c r="H1" s="9"/>
      <c r="I1" s="7" t="s">
        <v>24</v>
      </c>
      <c r="J1" s="9" t="s">
        <v>2207</v>
      </c>
      <c r="K1" s="9" t="s">
        <v>667</v>
      </c>
      <c r="L1" s="10" t="s">
        <v>668</v>
      </c>
      <c r="M1" s="87" t="s">
        <v>2267</v>
      </c>
      <c r="N1" s="11"/>
      <c r="O1" s="11"/>
      <c r="P1" s="12"/>
      <c r="Q1" s="13"/>
      <c r="R1" s="13"/>
      <c r="S1" s="13"/>
      <c r="T1" s="13"/>
      <c r="U1" s="13"/>
      <c r="V1" s="11"/>
      <c r="W1" s="13"/>
      <c r="X1" s="12"/>
      <c r="Y1" s="13"/>
      <c r="Z1" s="13"/>
      <c r="AA1" s="13"/>
      <c r="AB1" s="13"/>
      <c r="AC1" s="88"/>
      <c r="AD1" s="6"/>
      <c r="AE1" s="6"/>
      <c r="AF1" s="6"/>
    </row>
    <row r="2">
      <c r="A2" s="86" t="s">
        <v>29</v>
      </c>
      <c r="B2" s="58" t="s">
        <v>2111</v>
      </c>
      <c r="C2" s="58" t="s">
        <v>670</v>
      </c>
      <c r="D2" s="89" t="s">
        <v>2268</v>
      </c>
      <c r="E2" s="24" t="str">
        <f>IF(ISNA(MATCH(A2, 'A-Z player stats'!A:A, 0)), "Delete", "Keep")</f>
        <v>Keep</v>
      </c>
      <c r="G2" s="8"/>
      <c r="H2" s="9"/>
      <c r="I2" s="7" t="s">
        <v>29</v>
      </c>
      <c r="J2" s="9" t="s">
        <v>2111</v>
      </c>
      <c r="K2" s="9" t="s">
        <v>670</v>
      </c>
      <c r="L2" s="10" t="s">
        <v>671</v>
      </c>
      <c r="M2" s="87" t="s">
        <v>2267</v>
      </c>
      <c r="N2" s="15"/>
      <c r="O2" s="11"/>
      <c r="P2" s="10"/>
      <c r="Q2" s="11"/>
      <c r="R2" s="11"/>
      <c r="S2" s="11"/>
      <c r="T2" s="13"/>
      <c r="U2" s="13"/>
      <c r="V2" s="11"/>
      <c r="W2" s="13"/>
      <c r="X2" s="10"/>
      <c r="Y2" s="11"/>
      <c r="Z2" s="11"/>
      <c r="AA2" s="11"/>
      <c r="AB2" s="11"/>
      <c r="AC2" s="88"/>
      <c r="AD2" s="6"/>
      <c r="AE2" s="6"/>
      <c r="AF2" s="6"/>
    </row>
    <row r="3">
      <c r="A3" s="86" t="s">
        <v>2269</v>
      </c>
      <c r="B3" s="58" t="s">
        <v>1511</v>
      </c>
      <c r="C3" s="58" t="s">
        <v>727</v>
      </c>
      <c r="D3" s="79" t="s">
        <v>677</v>
      </c>
      <c r="E3" s="24" t="str">
        <f>IF(ISNA(MATCH(A3, 'A-Z player stats'!A:A, 0)), "Delete", "Keep")</f>
        <v>Delete</v>
      </c>
      <c r="G3" s="8"/>
      <c r="H3" s="9"/>
      <c r="I3" s="7" t="s">
        <v>2269</v>
      </c>
      <c r="J3" s="9" t="s">
        <v>1511</v>
      </c>
      <c r="K3" s="9" t="s">
        <v>727</v>
      </c>
      <c r="L3" s="90" t="s">
        <v>677</v>
      </c>
      <c r="M3" s="87" t="s">
        <v>2270</v>
      </c>
      <c r="N3" s="11"/>
      <c r="O3" s="11"/>
      <c r="P3" s="12"/>
      <c r="Q3" s="13"/>
      <c r="R3" s="13"/>
      <c r="S3" s="13"/>
      <c r="T3" s="13"/>
      <c r="U3" s="13"/>
      <c r="V3" s="13"/>
      <c r="W3" s="13"/>
      <c r="X3" s="12"/>
      <c r="Y3" s="13"/>
      <c r="Z3" s="13"/>
      <c r="AA3" s="13"/>
      <c r="AB3" s="13"/>
      <c r="AC3" s="88"/>
      <c r="AD3" s="6"/>
      <c r="AE3" s="6"/>
      <c r="AF3" s="6"/>
    </row>
    <row r="4">
      <c r="A4" s="86" t="s">
        <v>2271</v>
      </c>
      <c r="B4" s="58" t="s">
        <v>1324</v>
      </c>
      <c r="C4" s="58" t="s">
        <v>673</v>
      </c>
      <c r="D4" s="79" t="s">
        <v>702</v>
      </c>
      <c r="E4" s="24" t="str">
        <f>IF(ISNA(MATCH(A4, 'A-Z player stats'!A:A, 0)), "Delete", "Keep")</f>
        <v>Delete</v>
      </c>
      <c r="G4" s="8"/>
      <c r="H4" s="9"/>
      <c r="I4" s="7" t="s">
        <v>2271</v>
      </c>
      <c r="J4" s="9" t="s">
        <v>1324</v>
      </c>
      <c r="K4" s="9" t="s">
        <v>673</v>
      </c>
      <c r="L4" s="90" t="s">
        <v>702</v>
      </c>
      <c r="M4" s="87" t="s">
        <v>2270</v>
      </c>
      <c r="N4" s="11"/>
      <c r="O4" s="11"/>
      <c r="P4" s="12"/>
      <c r="Q4" s="13"/>
      <c r="R4" s="13"/>
      <c r="S4" s="13"/>
      <c r="T4" s="13"/>
      <c r="U4" s="13"/>
      <c r="V4" s="11"/>
      <c r="W4" s="13"/>
      <c r="X4" s="12"/>
      <c r="Y4" s="13"/>
      <c r="Z4" s="13"/>
      <c r="AA4" s="13"/>
      <c r="AB4" s="13"/>
      <c r="AC4" s="88"/>
      <c r="AD4" s="6"/>
      <c r="AE4" s="6"/>
      <c r="AF4" s="6"/>
    </row>
    <row r="5">
      <c r="A5" s="86" t="s">
        <v>2272</v>
      </c>
      <c r="B5" s="58" t="s">
        <v>1979</v>
      </c>
      <c r="C5" s="58" t="s">
        <v>810</v>
      </c>
      <c r="D5" s="79" t="s">
        <v>708</v>
      </c>
      <c r="E5" s="24" t="str">
        <f>IF(ISNA(MATCH(A5, 'A-Z player stats'!A:A, 0)), "Delete", "Keep")</f>
        <v>Delete</v>
      </c>
      <c r="G5" s="8"/>
      <c r="H5" s="9"/>
      <c r="I5" s="7" t="s">
        <v>2272</v>
      </c>
      <c r="J5" s="9" t="s">
        <v>1979</v>
      </c>
      <c r="K5" s="9" t="s">
        <v>810</v>
      </c>
      <c r="L5" s="90" t="s">
        <v>708</v>
      </c>
      <c r="M5" s="87" t="s">
        <v>2270</v>
      </c>
      <c r="N5" s="11"/>
      <c r="O5" s="11"/>
      <c r="P5" s="10"/>
      <c r="Q5" s="13"/>
      <c r="R5" s="11"/>
      <c r="S5" s="11"/>
      <c r="T5" s="13"/>
      <c r="U5" s="13"/>
      <c r="V5" s="11"/>
      <c r="W5" s="13"/>
      <c r="X5" s="10"/>
      <c r="Y5" s="13"/>
      <c r="Z5" s="11"/>
      <c r="AA5" s="11"/>
      <c r="AB5" s="11"/>
      <c r="AC5" s="88"/>
      <c r="AD5" s="6"/>
      <c r="AE5" s="6"/>
      <c r="AF5" s="6"/>
    </row>
    <row r="6">
      <c r="A6" s="86" t="s">
        <v>38</v>
      </c>
      <c r="B6" s="58" t="s">
        <v>1960</v>
      </c>
      <c r="C6" s="58" t="s">
        <v>673</v>
      </c>
      <c r="D6" s="89" t="s">
        <v>2273</v>
      </c>
      <c r="E6" s="24" t="str">
        <f>IF(ISNA(MATCH(A6, 'A-Z player stats'!A:A, 0)), "Delete", "Keep")</f>
        <v>Keep</v>
      </c>
      <c r="G6" s="8"/>
      <c r="H6" s="9"/>
      <c r="I6" s="7" t="s">
        <v>38</v>
      </c>
      <c r="J6" s="9" t="s">
        <v>1960</v>
      </c>
      <c r="K6" s="9" t="s">
        <v>673</v>
      </c>
      <c r="L6" s="10" t="s">
        <v>674</v>
      </c>
      <c r="M6" s="87" t="s">
        <v>2267</v>
      </c>
      <c r="N6" s="15"/>
      <c r="O6" s="11"/>
      <c r="P6" s="10"/>
      <c r="Q6" s="13"/>
      <c r="R6" s="11"/>
      <c r="S6" s="11"/>
      <c r="T6" s="13"/>
      <c r="U6" s="13"/>
      <c r="V6" s="11"/>
      <c r="W6" s="13"/>
      <c r="X6" s="10"/>
      <c r="Y6" s="13"/>
      <c r="Z6" s="11"/>
      <c r="AA6" s="11"/>
      <c r="AB6" s="11"/>
      <c r="AC6" s="88"/>
      <c r="AD6" s="6"/>
      <c r="AE6" s="6"/>
      <c r="AF6" s="6"/>
    </row>
    <row r="7">
      <c r="A7" s="86" t="s">
        <v>40</v>
      </c>
      <c r="B7" s="58" t="s">
        <v>1557</v>
      </c>
      <c r="C7" s="58" t="s">
        <v>676</v>
      </c>
      <c r="D7" s="91" t="s">
        <v>677</v>
      </c>
      <c r="E7" s="24" t="str">
        <f>IF(ISNA(MATCH(A7, 'A-Z player stats'!A:A, 0)), "Delete", "Keep")</f>
        <v>Keep</v>
      </c>
      <c r="G7" s="8"/>
      <c r="H7" s="9"/>
      <c r="I7" s="7" t="s">
        <v>40</v>
      </c>
      <c r="J7" s="9" t="s">
        <v>1557</v>
      </c>
      <c r="K7" s="9" t="s">
        <v>676</v>
      </c>
      <c r="L7" s="90" t="s">
        <v>677</v>
      </c>
      <c r="M7" s="87" t="s">
        <v>2267</v>
      </c>
      <c r="N7" s="15"/>
      <c r="O7" s="11"/>
      <c r="P7" s="10"/>
      <c r="Q7" s="11"/>
      <c r="R7" s="11"/>
      <c r="S7" s="11"/>
      <c r="T7" s="13"/>
      <c r="U7" s="13"/>
      <c r="V7" s="11"/>
      <c r="W7" s="13"/>
      <c r="X7" s="10"/>
      <c r="Y7" s="11"/>
      <c r="Z7" s="11"/>
      <c r="AA7" s="11"/>
      <c r="AB7" s="11"/>
      <c r="AC7" s="88"/>
      <c r="AD7" s="6"/>
      <c r="AE7" s="6"/>
      <c r="AF7" s="6"/>
    </row>
    <row r="8">
      <c r="A8" s="86" t="s">
        <v>42</v>
      </c>
      <c r="B8" s="58" t="s">
        <v>1149</v>
      </c>
      <c r="C8" s="58" t="s">
        <v>678</v>
      </c>
      <c r="D8" s="78" t="s">
        <v>2274</v>
      </c>
      <c r="E8" s="24" t="str">
        <f>IF(ISNA(MATCH(A8, 'A-Z player stats'!A:A, 0)), "Delete", "Keep")</f>
        <v>Keep</v>
      </c>
      <c r="G8" s="8"/>
      <c r="H8" s="9"/>
      <c r="I8" s="7" t="s">
        <v>42</v>
      </c>
      <c r="J8" s="9" t="s">
        <v>1149</v>
      </c>
      <c r="K8" s="9" t="s">
        <v>678</v>
      </c>
      <c r="L8" s="10" t="s">
        <v>679</v>
      </c>
      <c r="M8" s="87" t="s">
        <v>2267</v>
      </c>
      <c r="N8" s="15"/>
      <c r="O8" s="11"/>
      <c r="P8" s="12"/>
      <c r="Q8" s="11"/>
      <c r="R8" s="11"/>
      <c r="S8" s="13"/>
      <c r="T8" s="13"/>
      <c r="U8" s="13"/>
      <c r="V8" s="11"/>
      <c r="W8" s="13"/>
      <c r="X8" s="12"/>
      <c r="Y8" s="11"/>
      <c r="Z8" s="11"/>
      <c r="AA8" s="13"/>
      <c r="AB8" s="11"/>
      <c r="AC8" s="88"/>
      <c r="AD8" s="6"/>
      <c r="AE8" s="6"/>
      <c r="AF8" s="6"/>
    </row>
    <row r="9">
      <c r="A9" s="86" t="s">
        <v>2275</v>
      </c>
      <c r="B9" s="58" t="s">
        <v>2137</v>
      </c>
      <c r="C9" s="58" t="s">
        <v>690</v>
      </c>
      <c r="D9" s="91" t="s">
        <v>691</v>
      </c>
      <c r="E9" s="24" t="str">
        <f>IF(ISNA(MATCH(A9, 'A-Z player stats'!A:A, 0)), "Delete", "Keep")</f>
        <v>Delete</v>
      </c>
      <c r="G9" s="8"/>
      <c r="H9" s="9"/>
      <c r="I9" s="7" t="s">
        <v>2275</v>
      </c>
      <c r="J9" s="9" t="s">
        <v>2137</v>
      </c>
      <c r="K9" s="9" t="s">
        <v>690</v>
      </c>
      <c r="L9" s="90" t="s">
        <v>691</v>
      </c>
      <c r="M9" s="87" t="s">
        <v>2270</v>
      </c>
      <c r="N9" s="15"/>
      <c r="O9" s="11"/>
      <c r="P9" s="10"/>
      <c r="Q9" s="13"/>
      <c r="R9" s="11"/>
      <c r="S9" s="11"/>
      <c r="T9" s="13"/>
      <c r="U9" s="13"/>
      <c r="V9" s="11"/>
      <c r="W9" s="13"/>
      <c r="X9" s="10"/>
      <c r="Y9" s="13"/>
      <c r="Z9" s="11"/>
      <c r="AA9" s="11"/>
      <c r="AB9" s="11"/>
      <c r="AC9" s="88"/>
      <c r="AD9" s="6"/>
      <c r="AE9" s="6"/>
      <c r="AF9" s="6"/>
    </row>
    <row r="10">
      <c r="A10" s="86" t="s">
        <v>2276</v>
      </c>
      <c r="B10" s="58" t="s">
        <v>1139</v>
      </c>
      <c r="C10" s="58" t="s">
        <v>810</v>
      </c>
      <c r="D10" s="79" t="s">
        <v>697</v>
      </c>
      <c r="E10" s="24" t="str">
        <f>IF(ISNA(MATCH(A10, 'A-Z player stats'!A:A, 0)), "Delete", "Keep")</f>
        <v>Delete</v>
      </c>
      <c r="G10" s="8"/>
      <c r="H10" s="9"/>
      <c r="I10" s="7" t="s">
        <v>2276</v>
      </c>
      <c r="J10" s="9" t="s">
        <v>1139</v>
      </c>
      <c r="K10" s="9" t="s">
        <v>810</v>
      </c>
      <c r="L10" s="90" t="s">
        <v>697</v>
      </c>
      <c r="M10" s="87" t="s">
        <v>2270</v>
      </c>
      <c r="N10" s="11"/>
      <c r="O10" s="11"/>
      <c r="P10" s="10"/>
      <c r="Q10" s="13"/>
      <c r="R10" s="11"/>
      <c r="S10" s="11"/>
      <c r="T10" s="11"/>
      <c r="U10" s="11"/>
      <c r="V10" s="13"/>
      <c r="W10" s="13"/>
      <c r="X10" s="10"/>
      <c r="Y10" s="13"/>
      <c r="Z10" s="11"/>
      <c r="AA10" s="11"/>
      <c r="AB10" s="11"/>
      <c r="AC10" s="88"/>
      <c r="AD10" s="6"/>
      <c r="AE10" s="6"/>
      <c r="AF10" s="6"/>
    </row>
    <row r="11">
      <c r="A11" s="86" t="s">
        <v>2277</v>
      </c>
      <c r="B11" s="58" t="s">
        <v>2192</v>
      </c>
      <c r="C11" s="58" t="s">
        <v>673</v>
      </c>
      <c r="D11" s="79" t="s">
        <v>691</v>
      </c>
      <c r="E11" s="24" t="str">
        <f>IF(ISNA(MATCH(A11, 'A-Z player stats'!A:A, 0)), "Delete", "Keep")</f>
        <v>Delete</v>
      </c>
      <c r="G11" s="8"/>
      <c r="H11" s="9"/>
      <c r="I11" s="7" t="s">
        <v>2277</v>
      </c>
      <c r="J11" s="9" t="s">
        <v>2192</v>
      </c>
      <c r="K11" s="9" t="s">
        <v>673</v>
      </c>
      <c r="L11" s="90" t="s">
        <v>691</v>
      </c>
      <c r="M11" s="87" t="s">
        <v>2270</v>
      </c>
      <c r="N11" s="11"/>
      <c r="O11" s="11"/>
      <c r="P11" s="10"/>
      <c r="Q11" s="13"/>
      <c r="R11" s="11"/>
      <c r="S11" s="11"/>
      <c r="T11" s="13"/>
      <c r="U11" s="13"/>
      <c r="V11" s="13"/>
      <c r="W11" s="13"/>
      <c r="X11" s="10"/>
      <c r="Y11" s="13"/>
      <c r="Z11" s="11"/>
      <c r="AA11" s="11"/>
      <c r="AB11" s="11"/>
      <c r="AC11" s="88"/>
      <c r="AD11" s="6"/>
      <c r="AE11" s="6"/>
      <c r="AF11" s="6"/>
    </row>
    <row r="12">
      <c r="A12" s="86" t="s">
        <v>46</v>
      </c>
      <c r="B12" s="58" t="s">
        <v>1651</v>
      </c>
      <c r="C12" s="58" t="s">
        <v>678</v>
      </c>
      <c r="D12" s="89" t="s">
        <v>2278</v>
      </c>
      <c r="E12" s="24" t="str">
        <f>IF(ISNA(MATCH(A12, 'A-Z player stats'!A:A, 0)), "Delete", "Keep")</f>
        <v>Keep</v>
      </c>
      <c r="G12" s="8"/>
      <c r="H12" s="9"/>
      <c r="I12" s="7" t="s">
        <v>46</v>
      </c>
      <c r="J12" s="9" t="s">
        <v>1651</v>
      </c>
      <c r="K12" s="9" t="s">
        <v>678</v>
      </c>
      <c r="L12" s="10" t="s">
        <v>671</v>
      </c>
      <c r="M12" s="87" t="s">
        <v>2267</v>
      </c>
      <c r="N12" s="11"/>
      <c r="O12" s="11"/>
      <c r="P12" s="10"/>
      <c r="Q12" s="13"/>
      <c r="R12" s="11"/>
      <c r="S12" s="11"/>
      <c r="T12" s="13"/>
      <c r="U12" s="13"/>
      <c r="V12" s="11"/>
      <c r="W12" s="13"/>
      <c r="X12" s="10"/>
      <c r="Y12" s="13"/>
      <c r="Z12" s="11"/>
      <c r="AA12" s="11"/>
      <c r="AB12" s="11"/>
      <c r="AC12" s="88"/>
      <c r="AD12" s="6"/>
      <c r="AE12" s="6"/>
      <c r="AF12" s="6"/>
    </row>
    <row r="13">
      <c r="A13" s="86" t="s">
        <v>49</v>
      </c>
      <c r="B13" s="58" t="s">
        <v>1304</v>
      </c>
      <c r="C13" s="58" t="s">
        <v>682</v>
      </c>
      <c r="D13" s="89" t="s">
        <v>2279</v>
      </c>
      <c r="E13" s="24" t="str">
        <f>IF(ISNA(MATCH(A13, 'A-Z player stats'!A:A, 0)), "Delete", "Keep")</f>
        <v>Keep</v>
      </c>
      <c r="G13" s="8"/>
      <c r="H13" s="9"/>
      <c r="I13" s="7" t="s">
        <v>49</v>
      </c>
      <c r="J13" s="9" t="s">
        <v>1304</v>
      </c>
      <c r="K13" s="9" t="s">
        <v>682</v>
      </c>
      <c r="L13" s="10" t="s">
        <v>668</v>
      </c>
      <c r="M13" s="87" t="s">
        <v>2267</v>
      </c>
      <c r="N13" s="15"/>
      <c r="O13" s="11"/>
      <c r="P13" s="12"/>
      <c r="Q13" s="13"/>
      <c r="R13" s="13"/>
      <c r="S13" s="13"/>
      <c r="T13" s="13"/>
      <c r="U13" s="13"/>
      <c r="V13" s="11"/>
      <c r="W13" s="13"/>
      <c r="X13" s="12"/>
      <c r="Y13" s="13"/>
      <c r="Z13" s="13"/>
      <c r="AA13" s="13"/>
      <c r="AB13" s="13"/>
      <c r="AC13" s="88"/>
      <c r="AD13" s="6"/>
      <c r="AE13" s="6"/>
      <c r="AF13" s="6"/>
    </row>
    <row r="14">
      <c r="A14" s="86" t="s">
        <v>2280</v>
      </c>
      <c r="B14" s="58" t="s">
        <v>2212</v>
      </c>
      <c r="C14" s="58" t="s">
        <v>688</v>
      </c>
      <c r="D14" s="89" t="s">
        <v>2281</v>
      </c>
      <c r="E14" s="24" t="str">
        <f>IF(ISNA(MATCH(A14, 'A-Z player stats'!A:A, 0)), "Delete", "Keep")</f>
        <v>Delete</v>
      </c>
      <c r="G14" s="8"/>
      <c r="H14" s="9"/>
      <c r="I14" s="7" t="s">
        <v>2280</v>
      </c>
      <c r="J14" s="9" t="s">
        <v>2212</v>
      </c>
      <c r="K14" s="9" t="s">
        <v>688</v>
      </c>
      <c r="L14" s="10" t="s">
        <v>671</v>
      </c>
      <c r="M14" s="87" t="s">
        <v>2270</v>
      </c>
      <c r="N14" s="11"/>
      <c r="O14" s="11"/>
      <c r="P14" s="12"/>
      <c r="Q14" s="13"/>
      <c r="R14" s="13"/>
      <c r="S14" s="13"/>
      <c r="T14" s="13"/>
      <c r="U14" s="13"/>
      <c r="V14" s="13"/>
      <c r="W14" s="13"/>
      <c r="X14" s="12"/>
      <c r="Y14" s="13"/>
      <c r="Z14" s="13"/>
      <c r="AA14" s="13"/>
      <c r="AB14" s="13"/>
      <c r="AC14" s="88"/>
      <c r="AD14" s="6"/>
      <c r="AE14" s="6"/>
      <c r="AF14" s="6"/>
    </row>
    <row r="15">
      <c r="A15" s="86" t="s">
        <v>51</v>
      </c>
      <c r="B15" s="58" t="s">
        <v>1249</v>
      </c>
      <c r="C15" s="58" t="s">
        <v>683</v>
      </c>
      <c r="D15" s="81" t="s">
        <v>2282</v>
      </c>
      <c r="E15" s="24" t="str">
        <f>IF(ISNA(MATCH(A15, 'A-Z player stats'!A:A, 0)), "Delete", "Keep")</f>
        <v>Keep</v>
      </c>
      <c r="G15" s="8"/>
      <c r="H15" s="9"/>
      <c r="I15" s="7" t="s">
        <v>51</v>
      </c>
      <c r="J15" s="9" t="s">
        <v>1249</v>
      </c>
      <c r="K15" s="9" t="s">
        <v>683</v>
      </c>
      <c r="L15" s="10" t="s">
        <v>674</v>
      </c>
      <c r="M15" s="87" t="s">
        <v>2267</v>
      </c>
      <c r="N15" s="11"/>
      <c r="O15" s="11"/>
      <c r="P15" s="10"/>
      <c r="Q15" s="13"/>
      <c r="R15" s="11"/>
      <c r="S15" s="11"/>
      <c r="T15" s="13"/>
      <c r="U15" s="13"/>
      <c r="V15" s="11"/>
      <c r="W15" s="13"/>
      <c r="X15" s="10"/>
      <c r="Y15" s="13"/>
      <c r="Z15" s="11"/>
      <c r="AA15" s="11"/>
      <c r="AB15" s="11"/>
      <c r="AC15" s="88"/>
      <c r="AD15" s="6"/>
      <c r="AE15" s="6"/>
      <c r="AF15" s="6"/>
    </row>
    <row r="16">
      <c r="A16" s="86" t="s">
        <v>2283</v>
      </c>
      <c r="B16" s="58" t="s">
        <v>1196</v>
      </c>
      <c r="C16" s="58" t="s">
        <v>698</v>
      </c>
      <c r="D16" s="91" t="s">
        <v>700</v>
      </c>
      <c r="E16" s="24" t="str">
        <f>IF(ISNA(MATCH(A16, 'A-Z player stats'!A:A, 0)), "Delete", "Keep")</f>
        <v>Delete</v>
      </c>
      <c r="G16" s="8"/>
      <c r="H16" s="9"/>
      <c r="I16" s="7" t="s">
        <v>2283</v>
      </c>
      <c r="J16" s="9" t="s">
        <v>1196</v>
      </c>
      <c r="K16" s="9" t="s">
        <v>698</v>
      </c>
      <c r="L16" s="90" t="s">
        <v>700</v>
      </c>
      <c r="M16" s="87" t="s">
        <v>2270</v>
      </c>
      <c r="N16" s="11"/>
      <c r="O16" s="11"/>
      <c r="P16" s="10"/>
      <c r="Q16" s="13"/>
      <c r="R16" s="11"/>
      <c r="S16" s="11"/>
      <c r="T16" s="13"/>
      <c r="U16" s="13"/>
      <c r="V16" s="11"/>
      <c r="W16" s="13"/>
      <c r="X16" s="10"/>
      <c r="Y16" s="13"/>
      <c r="Z16" s="11"/>
      <c r="AA16" s="11"/>
      <c r="AB16" s="11"/>
      <c r="AC16" s="88"/>
      <c r="AD16" s="6"/>
      <c r="AE16" s="6"/>
      <c r="AF16" s="6"/>
    </row>
    <row r="17">
      <c r="A17" s="86" t="s">
        <v>2284</v>
      </c>
      <c r="B17" s="58" t="s">
        <v>1873</v>
      </c>
      <c r="C17" s="58" t="s">
        <v>685</v>
      </c>
      <c r="D17" s="91" t="s">
        <v>706</v>
      </c>
      <c r="E17" s="24" t="str">
        <f>IF(ISNA(MATCH(A17, 'A-Z player stats'!A:A, 0)), "Delete", "Keep")</f>
        <v>Delete</v>
      </c>
      <c r="G17" s="8"/>
      <c r="H17" s="9"/>
      <c r="I17" s="7" t="s">
        <v>2284</v>
      </c>
      <c r="J17" s="9" t="s">
        <v>1873</v>
      </c>
      <c r="K17" s="9" t="s">
        <v>685</v>
      </c>
      <c r="L17" s="90" t="s">
        <v>706</v>
      </c>
      <c r="M17" s="87" t="s">
        <v>2270</v>
      </c>
      <c r="N17" s="15"/>
      <c r="O17" s="11"/>
      <c r="P17" s="10"/>
      <c r="Q17" s="11"/>
      <c r="R17" s="11"/>
      <c r="S17" s="11"/>
      <c r="T17" s="13"/>
      <c r="U17" s="11"/>
      <c r="V17" s="11"/>
      <c r="W17" s="11"/>
      <c r="X17" s="10"/>
      <c r="Y17" s="11"/>
      <c r="Z17" s="11"/>
      <c r="AA17" s="11"/>
      <c r="AB17" s="11"/>
      <c r="AC17" s="88"/>
      <c r="AD17" s="6"/>
      <c r="AE17" s="6"/>
      <c r="AF17" s="6"/>
    </row>
    <row r="18">
      <c r="A18" s="86" t="s">
        <v>54</v>
      </c>
      <c r="B18" s="58" t="s">
        <v>2249</v>
      </c>
      <c r="C18" s="58" t="s">
        <v>670</v>
      </c>
      <c r="D18" s="89" t="s">
        <v>2285</v>
      </c>
      <c r="E18" s="24" t="str">
        <f>IF(ISNA(MATCH(A18, 'A-Z player stats'!A:A, 0)), "Delete", "Keep")</f>
        <v>Keep</v>
      </c>
      <c r="G18" s="8"/>
      <c r="H18" s="9"/>
      <c r="I18" s="7" t="s">
        <v>54</v>
      </c>
      <c r="J18" s="9" t="s">
        <v>2249</v>
      </c>
      <c r="K18" s="9" t="s">
        <v>670</v>
      </c>
      <c r="L18" s="10" t="s">
        <v>684</v>
      </c>
      <c r="M18" s="87" t="s">
        <v>2267</v>
      </c>
      <c r="N18" s="15"/>
      <c r="O18" s="11"/>
      <c r="P18" s="10"/>
      <c r="Q18" s="11"/>
      <c r="R18" s="11"/>
      <c r="S18" s="11"/>
      <c r="T18" s="13"/>
      <c r="U18" s="13"/>
      <c r="V18" s="11"/>
      <c r="W18" s="13"/>
      <c r="X18" s="10"/>
      <c r="Y18" s="11"/>
      <c r="Z18" s="11"/>
      <c r="AA18" s="11"/>
      <c r="AB18" s="11"/>
      <c r="AC18" s="88"/>
      <c r="AD18" s="6"/>
      <c r="AE18" s="6"/>
      <c r="AF18" s="6"/>
    </row>
    <row r="19">
      <c r="A19" s="86" t="s">
        <v>2286</v>
      </c>
      <c r="B19" s="58" t="s">
        <v>1723</v>
      </c>
      <c r="C19" s="58" t="s">
        <v>704</v>
      </c>
      <c r="D19" s="79" t="s">
        <v>697</v>
      </c>
      <c r="E19" s="24" t="str">
        <f>IF(ISNA(MATCH(A19, 'A-Z player stats'!A:A, 0)), "Delete", "Keep")</f>
        <v>Delete</v>
      </c>
      <c r="G19" s="8"/>
      <c r="H19" s="9"/>
      <c r="I19" s="7" t="s">
        <v>2286</v>
      </c>
      <c r="J19" s="9" t="s">
        <v>1723</v>
      </c>
      <c r="K19" s="9" t="s">
        <v>704</v>
      </c>
      <c r="L19" s="90" t="s">
        <v>697</v>
      </c>
      <c r="M19" s="87" t="s">
        <v>2270</v>
      </c>
      <c r="N19" s="15"/>
      <c r="O19" s="11"/>
      <c r="P19" s="12"/>
      <c r="Q19" s="11"/>
      <c r="R19" s="11"/>
      <c r="S19" s="13"/>
      <c r="T19" s="13"/>
      <c r="U19" s="13"/>
      <c r="V19" s="11"/>
      <c r="W19" s="13"/>
      <c r="X19" s="12"/>
      <c r="Y19" s="11"/>
      <c r="Z19" s="11"/>
      <c r="AA19" s="13"/>
      <c r="AB19" s="11"/>
      <c r="AC19" s="88"/>
      <c r="AD19" s="6"/>
      <c r="AE19" s="6"/>
      <c r="AF19" s="6"/>
    </row>
    <row r="20">
      <c r="A20" s="86" t="s">
        <v>57</v>
      </c>
      <c r="B20" s="58" t="s">
        <v>2045</v>
      </c>
      <c r="C20" s="58" t="s">
        <v>685</v>
      </c>
      <c r="D20" s="81" t="s">
        <v>2287</v>
      </c>
      <c r="E20" s="24" t="str">
        <f>IF(ISNA(MATCH(A20, 'A-Z player stats'!A:A, 0)), "Delete", "Keep")</f>
        <v>Keep</v>
      </c>
      <c r="G20" s="8"/>
      <c r="H20" s="9"/>
      <c r="I20" s="7" t="s">
        <v>57</v>
      </c>
      <c r="J20" s="9" t="s">
        <v>2045</v>
      </c>
      <c r="K20" s="9" t="s">
        <v>685</v>
      </c>
      <c r="L20" s="10" t="s">
        <v>686</v>
      </c>
      <c r="M20" s="87" t="s">
        <v>2267</v>
      </c>
      <c r="N20" s="15"/>
      <c r="O20" s="11"/>
      <c r="P20" s="12"/>
      <c r="Q20" s="13"/>
      <c r="R20" s="13"/>
      <c r="S20" s="13"/>
      <c r="T20" s="13"/>
      <c r="U20" s="13"/>
      <c r="V20" s="11"/>
      <c r="W20" s="13"/>
      <c r="X20" s="12"/>
      <c r="Y20" s="13"/>
      <c r="Z20" s="13"/>
      <c r="AA20" s="13"/>
      <c r="AB20" s="13"/>
      <c r="AC20" s="88"/>
      <c r="AD20" s="6"/>
      <c r="AE20" s="6"/>
      <c r="AF20" s="6"/>
    </row>
    <row r="21">
      <c r="A21" s="86" t="s">
        <v>2288</v>
      </c>
      <c r="B21" s="58" t="s">
        <v>1537</v>
      </c>
      <c r="C21" s="58" t="s">
        <v>685</v>
      </c>
      <c r="D21" s="91" t="s">
        <v>691</v>
      </c>
      <c r="E21" s="24" t="str">
        <f>IF(ISNA(MATCH(A21, 'A-Z player stats'!A:A, 0)), "Delete", "Keep")</f>
        <v>Delete</v>
      </c>
      <c r="G21" s="8"/>
      <c r="H21" s="9"/>
      <c r="I21" s="7" t="s">
        <v>2288</v>
      </c>
      <c r="J21" s="9" t="s">
        <v>1537</v>
      </c>
      <c r="K21" s="9" t="s">
        <v>685</v>
      </c>
      <c r="L21" s="90" t="s">
        <v>691</v>
      </c>
      <c r="M21" s="87" t="s">
        <v>2270</v>
      </c>
      <c r="N21" s="15"/>
      <c r="O21" s="11"/>
      <c r="P21" s="10"/>
      <c r="Q21" s="11"/>
      <c r="R21" s="11"/>
      <c r="S21" s="11"/>
      <c r="T21" s="13"/>
      <c r="U21" s="13"/>
      <c r="V21" s="11"/>
      <c r="W21" s="13"/>
      <c r="X21" s="10"/>
      <c r="Y21" s="11"/>
      <c r="Z21" s="11"/>
      <c r="AA21" s="11"/>
      <c r="AB21" s="11"/>
      <c r="AC21" s="88"/>
      <c r="AD21" s="6"/>
      <c r="AE21" s="6"/>
      <c r="AF21" s="6"/>
    </row>
    <row r="22">
      <c r="A22" s="86" t="s">
        <v>2289</v>
      </c>
      <c r="B22" s="58" t="s">
        <v>1537</v>
      </c>
      <c r="C22" s="58" t="s">
        <v>685</v>
      </c>
      <c r="D22" s="91" t="s">
        <v>703</v>
      </c>
      <c r="E22" s="24" t="str">
        <f>IF(ISNA(MATCH(A22, 'A-Z player stats'!A:A, 0)), "Delete", "Keep")</f>
        <v>Delete</v>
      </c>
      <c r="G22" s="8"/>
      <c r="H22" s="9"/>
      <c r="I22" s="7" t="s">
        <v>2289</v>
      </c>
      <c r="J22" s="9" t="s">
        <v>1537</v>
      </c>
      <c r="K22" s="9" t="s">
        <v>685</v>
      </c>
      <c r="L22" s="90" t="s">
        <v>703</v>
      </c>
      <c r="M22" s="87" t="s">
        <v>2270</v>
      </c>
      <c r="N22" s="11"/>
      <c r="O22" s="11"/>
      <c r="P22" s="10"/>
      <c r="Q22" s="11"/>
      <c r="R22" s="11"/>
      <c r="S22" s="11"/>
      <c r="T22" s="13"/>
      <c r="U22" s="13"/>
      <c r="V22" s="11"/>
      <c r="W22" s="11"/>
      <c r="X22" s="10"/>
      <c r="Y22" s="11"/>
      <c r="Z22" s="11"/>
      <c r="AA22" s="11"/>
      <c r="AB22" s="11"/>
      <c r="AC22" s="88"/>
      <c r="AD22" s="6"/>
      <c r="AE22" s="6"/>
      <c r="AF22" s="6"/>
    </row>
    <row r="23">
      <c r="A23" s="86" t="s">
        <v>64</v>
      </c>
      <c r="B23" s="58" t="s">
        <v>1787</v>
      </c>
      <c r="C23" s="58" t="s">
        <v>678</v>
      </c>
      <c r="D23" s="89" t="s">
        <v>2290</v>
      </c>
      <c r="E23" s="24" t="str">
        <f>IF(ISNA(MATCH(A23, 'A-Z player stats'!A:A, 0)), "Delete", "Keep")</f>
        <v>Keep</v>
      </c>
      <c r="G23" s="8"/>
      <c r="H23" s="9"/>
      <c r="I23" s="7" t="s">
        <v>64</v>
      </c>
      <c r="J23" s="9" t="s">
        <v>1787</v>
      </c>
      <c r="K23" s="9" t="s">
        <v>678</v>
      </c>
      <c r="L23" s="10" t="s">
        <v>687</v>
      </c>
      <c r="M23" s="87" t="s">
        <v>2267</v>
      </c>
      <c r="N23" s="15"/>
      <c r="O23" s="11"/>
      <c r="P23" s="12"/>
      <c r="Q23" s="13"/>
      <c r="R23" s="13"/>
      <c r="S23" s="13"/>
      <c r="T23" s="13"/>
      <c r="U23" s="13"/>
      <c r="V23" s="11"/>
      <c r="W23" s="13"/>
      <c r="X23" s="12"/>
      <c r="Y23" s="13"/>
      <c r="Z23" s="13"/>
      <c r="AA23" s="13"/>
      <c r="AB23" s="13"/>
      <c r="AC23" s="88"/>
      <c r="AD23" s="6"/>
      <c r="AE23" s="6"/>
      <c r="AF23" s="6"/>
    </row>
    <row r="24">
      <c r="A24" s="86" t="s">
        <v>67</v>
      </c>
      <c r="B24" s="58" t="s">
        <v>1432</v>
      </c>
      <c r="C24" s="58" t="s">
        <v>688</v>
      </c>
      <c r="D24" s="89" t="s">
        <v>2291</v>
      </c>
      <c r="E24" s="24" t="str">
        <f>IF(ISNA(MATCH(A24, 'A-Z player stats'!A:A, 0)), "Delete", "Keep")</f>
        <v>Keep</v>
      </c>
      <c r="G24" s="8"/>
      <c r="H24" s="9"/>
      <c r="I24" s="7" t="s">
        <v>67</v>
      </c>
      <c r="J24" s="9" t="s">
        <v>1432</v>
      </c>
      <c r="K24" s="9" t="s">
        <v>688</v>
      </c>
      <c r="L24" s="10" t="s">
        <v>689</v>
      </c>
      <c r="M24" s="87" t="s">
        <v>2267</v>
      </c>
      <c r="N24" s="15"/>
      <c r="O24" s="11"/>
      <c r="P24" s="12"/>
      <c r="Q24" s="11"/>
      <c r="R24" s="11"/>
      <c r="S24" s="13"/>
      <c r="T24" s="13"/>
      <c r="U24" s="13"/>
      <c r="V24" s="11"/>
      <c r="W24" s="11"/>
      <c r="X24" s="12"/>
      <c r="Y24" s="11"/>
      <c r="Z24" s="11"/>
      <c r="AA24" s="13"/>
      <c r="AB24" s="11"/>
      <c r="AC24" s="88"/>
      <c r="AD24" s="6"/>
      <c r="AE24" s="6"/>
      <c r="AF24" s="6"/>
    </row>
    <row r="25">
      <c r="A25" s="86" t="s">
        <v>2292</v>
      </c>
      <c r="B25" s="58" t="s">
        <v>2234</v>
      </c>
      <c r="C25" s="58" t="s">
        <v>720</v>
      </c>
      <c r="D25" s="89" t="s">
        <v>2293</v>
      </c>
      <c r="E25" s="24" t="str">
        <f>IF(ISNA(MATCH(A25, 'A-Z player stats'!A:A, 0)), "Delete", "Keep")</f>
        <v>Delete</v>
      </c>
      <c r="G25" s="8"/>
      <c r="H25" s="9"/>
      <c r="I25" s="7" t="s">
        <v>2292</v>
      </c>
      <c r="J25" s="9" t="s">
        <v>2234</v>
      </c>
      <c r="K25" s="9" t="s">
        <v>720</v>
      </c>
      <c r="L25" s="10" t="s">
        <v>695</v>
      </c>
      <c r="M25" s="87" t="s">
        <v>2270</v>
      </c>
      <c r="N25" s="11"/>
      <c r="O25" s="11"/>
      <c r="P25" s="10"/>
      <c r="Q25" s="13"/>
      <c r="R25" s="11"/>
      <c r="S25" s="11"/>
      <c r="T25" s="13"/>
      <c r="U25" s="13"/>
      <c r="V25" s="11"/>
      <c r="W25" s="13"/>
      <c r="X25" s="10"/>
      <c r="Y25" s="13"/>
      <c r="Z25" s="11"/>
      <c r="AA25" s="11"/>
      <c r="AB25" s="11"/>
      <c r="AC25" s="88"/>
      <c r="AD25" s="6"/>
      <c r="AE25" s="6"/>
      <c r="AF25" s="6"/>
    </row>
    <row r="26">
      <c r="A26" s="86" t="s">
        <v>2294</v>
      </c>
      <c r="B26" s="58" t="s">
        <v>1814</v>
      </c>
      <c r="C26" s="58" t="s">
        <v>810</v>
      </c>
      <c r="D26" s="91" t="s">
        <v>701</v>
      </c>
      <c r="E26" s="24" t="str">
        <f>IF(ISNA(MATCH(A26, 'A-Z player stats'!A:A, 0)), "Delete", "Keep")</f>
        <v>Delete</v>
      </c>
      <c r="G26" s="8"/>
      <c r="H26" s="9"/>
      <c r="I26" s="7" t="s">
        <v>2294</v>
      </c>
      <c r="J26" s="9" t="s">
        <v>1814</v>
      </c>
      <c r="K26" s="9" t="s">
        <v>810</v>
      </c>
      <c r="L26" s="90" t="s">
        <v>701</v>
      </c>
      <c r="M26" s="87" t="s">
        <v>2270</v>
      </c>
      <c r="N26" s="15"/>
      <c r="O26" s="11"/>
      <c r="P26" s="12"/>
      <c r="Q26" s="11"/>
      <c r="R26" s="11"/>
      <c r="S26" s="13"/>
      <c r="T26" s="13"/>
      <c r="U26" s="13"/>
      <c r="V26" s="11"/>
      <c r="W26" s="13"/>
      <c r="X26" s="12"/>
      <c r="Y26" s="11"/>
      <c r="Z26" s="11"/>
      <c r="AA26" s="13"/>
      <c r="AB26" s="11"/>
      <c r="AC26" s="88"/>
      <c r="AD26" s="6"/>
      <c r="AE26" s="6"/>
      <c r="AF26" s="6"/>
    </row>
    <row r="27">
      <c r="A27" s="86" t="s">
        <v>2295</v>
      </c>
      <c r="B27" s="58" t="s">
        <v>1711</v>
      </c>
      <c r="C27" s="58" t="s">
        <v>1712</v>
      </c>
      <c r="D27" s="81" t="s">
        <v>2296</v>
      </c>
      <c r="E27" s="24" t="str">
        <f>IF(ISNA(MATCH(A27, 'A-Z player stats'!A:A, 0)), "Delete", "Keep")</f>
        <v>Delete</v>
      </c>
      <c r="G27" s="8"/>
      <c r="H27" s="9"/>
      <c r="I27" s="7" t="s">
        <v>2295</v>
      </c>
      <c r="J27" s="9" t="s">
        <v>1711</v>
      </c>
      <c r="K27" s="9" t="s">
        <v>1712</v>
      </c>
      <c r="L27" s="10" t="s">
        <v>695</v>
      </c>
      <c r="M27" s="87" t="s">
        <v>2270</v>
      </c>
      <c r="N27" s="15"/>
      <c r="O27" s="11"/>
      <c r="P27" s="12"/>
      <c r="Q27" s="11"/>
      <c r="R27" s="11"/>
      <c r="S27" s="13"/>
      <c r="T27" s="13"/>
      <c r="U27" s="13"/>
      <c r="V27" s="13"/>
      <c r="W27" s="13"/>
      <c r="X27" s="12"/>
      <c r="Y27" s="11"/>
      <c r="Z27" s="11"/>
      <c r="AA27" s="13"/>
      <c r="AB27" s="11"/>
      <c r="AC27" s="88"/>
      <c r="AD27" s="6"/>
      <c r="AE27" s="6"/>
      <c r="AF27" s="6"/>
    </row>
    <row r="28">
      <c r="A28" s="86" t="s">
        <v>69</v>
      </c>
      <c r="B28" s="58" t="s">
        <v>2164</v>
      </c>
      <c r="C28" s="58" t="s">
        <v>690</v>
      </c>
      <c r="D28" s="91" t="s">
        <v>691</v>
      </c>
      <c r="E28" s="24" t="str">
        <f>IF(ISNA(MATCH(A28, 'A-Z player stats'!A:A, 0)), "Delete", "Keep")</f>
        <v>Keep</v>
      </c>
      <c r="G28" s="8"/>
      <c r="H28" s="9"/>
      <c r="I28" s="7" t="s">
        <v>69</v>
      </c>
      <c r="J28" s="9" t="s">
        <v>2164</v>
      </c>
      <c r="K28" s="9" t="s">
        <v>690</v>
      </c>
      <c r="L28" s="90" t="s">
        <v>691</v>
      </c>
      <c r="M28" s="87" t="s">
        <v>2267</v>
      </c>
      <c r="N28" s="11"/>
      <c r="O28" s="11"/>
      <c r="P28" s="12"/>
      <c r="Q28" s="13"/>
      <c r="R28" s="13"/>
      <c r="S28" s="13"/>
      <c r="T28" s="13"/>
      <c r="U28" s="13"/>
      <c r="V28" s="13"/>
      <c r="W28" s="13"/>
      <c r="X28" s="12"/>
      <c r="Y28" s="13"/>
      <c r="Z28" s="13"/>
      <c r="AA28" s="13"/>
      <c r="AB28" s="13"/>
      <c r="AC28" s="88"/>
      <c r="AD28" s="6"/>
      <c r="AE28" s="6"/>
      <c r="AF28" s="6"/>
    </row>
    <row r="29">
      <c r="A29" s="86" t="s">
        <v>2297</v>
      </c>
      <c r="B29" s="58" t="s">
        <v>2024</v>
      </c>
      <c r="C29" s="58" t="s">
        <v>667</v>
      </c>
      <c r="D29" s="81" t="s">
        <v>2298</v>
      </c>
      <c r="E29" s="24" t="str">
        <f>IF(ISNA(MATCH(A29, 'A-Z player stats'!A:A, 0)), "Delete", "Keep")</f>
        <v>Delete</v>
      </c>
      <c r="G29" s="8"/>
      <c r="H29" s="9"/>
      <c r="I29" s="7" t="s">
        <v>2297</v>
      </c>
      <c r="J29" s="9" t="s">
        <v>2024</v>
      </c>
      <c r="K29" s="9" t="s">
        <v>667</v>
      </c>
      <c r="L29" s="10" t="s">
        <v>711</v>
      </c>
      <c r="M29" s="87" t="s">
        <v>2270</v>
      </c>
      <c r="N29" s="15"/>
      <c r="O29" s="11"/>
      <c r="P29" s="10"/>
      <c r="Q29" s="11"/>
      <c r="R29" s="11"/>
      <c r="S29" s="11"/>
      <c r="T29" s="13"/>
      <c r="U29" s="13"/>
      <c r="V29" s="11"/>
      <c r="W29" s="13"/>
      <c r="X29" s="10"/>
      <c r="Y29" s="11"/>
      <c r="Z29" s="11"/>
      <c r="AA29" s="11"/>
      <c r="AB29" s="11"/>
      <c r="AC29" s="88"/>
      <c r="AD29" s="6"/>
      <c r="AE29" s="6"/>
      <c r="AF29" s="6"/>
    </row>
    <row r="30">
      <c r="A30" s="86" t="s">
        <v>2299</v>
      </c>
      <c r="B30" s="58" t="s">
        <v>1816</v>
      </c>
      <c r="C30" s="58" t="s">
        <v>688</v>
      </c>
      <c r="D30" s="91" t="s">
        <v>708</v>
      </c>
      <c r="E30" s="24" t="str">
        <f>IF(ISNA(MATCH(A30, 'A-Z player stats'!A:A, 0)), "Delete", "Keep")</f>
        <v>Delete</v>
      </c>
      <c r="G30" s="8"/>
      <c r="H30" s="9"/>
      <c r="I30" s="7" t="s">
        <v>2299</v>
      </c>
      <c r="J30" s="9" t="s">
        <v>1816</v>
      </c>
      <c r="K30" s="9" t="s">
        <v>688</v>
      </c>
      <c r="L30" s="90" t="s">
        <v>708</v>
      </c>
      <c r="M30" s="87" t="s">
        <v>2270</v>
      </c>
      <c r="N30" s="15"/>
      <c r="O30" s="11"/>
      <c r="P30" s="10"/>
      <c r="Q30" s="11"/>
      <c r="R30" s="11"/>
      <c r="S30" s="11"/>
      <c r="T30" s="13"/>
      <c r="U30" s="13"/>
      <c r="V30" s="11"/>
      <c r="W30" s="13"/>
      <c r="X30" s="10"/>
      <c r="Y30" s="11"/>
      <c r="Z30" s="11"/>
      <c r="AA30" s="11"/>
      <c r="AB30" s="11"/>
      <c r="AC30" s="88"/>
      <c r="AD30" s="6"/>
      <c r="AE30" s="6"/>
      <c r="AF30" s="6"/>
    </row>
    <row r="31">
      <c r="A31" s="86" t="s">
        <v>72</v>
      </c>
      <c r="B31" s="58" t="s">
        <v>1139</v>
      </c>
      <c r="C31" s="58" t="s">
        <v>810</v>
      </c>
      <c r="D31" s="91" t="s">
        <v>677</v>
      </c>
      <c r="E31" s="24" t="str">
        <f>IF(ISNA(MATCH(A31, 'A-Z player stats'!A:A, 0)), "Delete", "Keep")</f>
        <v>Keep</v>
      </c>
      <c r="G31" s="8"/>
      <c r="H31" s="9"/>
      <c r="I31" s="7" t="s">
        <v>72</v>
      </c>
      <c r="J31" s="9" t="s">
        <v>1139</v>
      </c>
      <c r="K31" s="9" t="s">
        <v>810</v>
      </c>
      <c r="L31" s="90" t="s">
        <v>677</v>
      </c>
      <c r="M31" s="87" t="s">
        <v>2267</v>
      </c>
      <c r="N31" s="11"/>
      <c r="O31" s="11"/>
      <c r="P31" s="12"/>
      <c r="Q31" s="13"/>
      <c r="R31" s="13"/>
      <c r="S31" s="13"/>
      <c r="T31" s="13"/>
      <c r="U31" s="13"/>
      <c r="V31" s="11"/>
      <c r="W31" s="13"/>
      <c r="X31" s="12"/>
      <c r="Y31" s="13"/>
      <c r="Z31" s="13"/>
      <c r="AA31" s="13"/>
      <c r="AB31" s="13"/>
      <c r="AC31" s="88"/>
      <c r="AD31" s="6"/>
      <c r="AE31" s="6"/>
      <c r="AF31" s="6"/>
    </row>
    <row r="32">
      <c r="A32" s="86" t="s">
        <v>74</v>
      </c>
      <c r="B32" s="58" t="s">
        <v>1191</v>
      </c>
      <c r="C32" s="58" t="s">
        <v>693</v>
      </c>
      <c r="D32" s="92" t="s">
        <v>2300</v>
      </c>
      <c r="E32" s="24" t="str">
        <f>IF(ISNA(MATCH(A32, 'A-Z player stats'!A:A, 0)), "Delete", "Keep")</f>
        <v>Keep</v>
      </c>
      <c r="G32" s="8"/>
      <c r="H32" s="9"/>
      <c r="I32" s="7" t="s">
        <v>74</v>
      </c>
      <c r="J32" s="9" t="s">
        <v>1191</v>
      </c>
      <c r="K32" s="9" t="s">
        <v>693</v>
      </c>
      <c r="L32" s="10" t="s">
        <v>694</v>
      </c>
      <c r="M32" s="87" t="s">
        <v>2267</v>
      </c>
      <c r="N32" s="11"/>
      <c r="O32" s="11"/>
      <c r="P32" s="12"/>
      <c r="Q32" s="13"/>
      <c r="R32" s="13"/>
      <c r="S32" s="13"/>
      <c r="T32" s="13"/>
      <c r="U32" s="13"/>
      <c r="V32" s="11"/>
      <c r="W32" s="13"/>
      <c r="X32" s="12"/>
      <c r="Y32" s="13"/>
      <c r="Z32" s="13"/>
      <c r="AA32" s="13"/>
      <c r="AB32" s="13"/>
      <c r="AC32" s="88"/>
      <c r="AD32" s="6"/>
      <c r="AE32" s="6"/>
      <c r="AF32" s="6"/>
    </row>
    <row r="33">
      <c r="A33" s="86" t="s">
        <v>76</v>
      </c>
      <c r="B33" s="58" t="s">
        <v>1482</v>
      </c>
      <c r="C33" s="58" t="s">
        <v>678</v>
      </c>
      <c r="D33" s="89" t="s">
        <v>2301</v>
      </c>
      <c r="E33" s="24" t="str">
        <f>IF(ISNA(MATCH(A33, 'A-Z player stats'!A:A, 0)), "Delete", "Keep")</f>
        <v>Keep</v>
      </c>
      <c r="G33" s="8"/>
      <c r="H33" s="9"/>
      <c r="I33" s="7" t="s">
        <v>76</v>
      </c>
      <c r="J33" s="9" t="s">
        <v>1482</v>
      </c>
      <c r="K33" s="9" t="s">
        <v>678</v>
      </c>
      <c r="L33" s="10" t="s">
        <v>695</v>
      </c>
      <c r="M33" s="87" t="s">
        <v>2267</v>
      </c>
      <c r="N33" s="15"/>
      <c r="O33" s="11"/>
      <c r="P33" s="10"/>
      <c r="Q33" s="11"/>
      <c r="R33" s="11"/>
      <c r="S33" s="11"/>
      <c r="T33" s="11"/>
      <c r="U33" s="11"/>
      <c r="V33" s="11"/>
      <c r="W33" s="13"/>
      <c r="X33" s="10"/>
      <c r="Y33" s="11"/>
      <c r="Z33" s="11"/>
      <c r="AA33" s="11"/>
      <c r="AB33" s="11"/>
      <c r="AC33" s="88"/>
      <c r="AD33" s="6"/>
      <c r="AE33" s="6"/>
      <c r="AF33" s="6"/>
    </row>
    <row r="34">
      <c r="A34" s="86" t="s">
        <v>79</v>
      </c>
      <c r="B34" s="58" t="s">
        <v>1457</v>
      </c>
      <c r="C34" s="58" t="s">
        <v>696</v>
      </c>
      <c r="D34" s="79" t="s">
        <v>677</v>
      </c>
      <c r="E34" s="24" t="str">
        <f>IF(ISNA(MATCH(A34, 'A-Z player stats'!A:A, 0)), "Delete", "Keep")</f>
        <v>Keep</v>
      </c>
      <c r="G34" s="8"/>
      <c r="H34" s="9"/>
      <c r="I34" s="7" t="s">
        <v>79</v>
      </c>
      <c r="J34" s="9" t="s">
        <v>1457</v>
      </c>
      <c r="K34" s="9" t="s">
        <v>696</v>
      </c>
      <c r="L34" s="90" t="s">
        <v>677</v>
      </c>
      <c r="M34" s="87" t="s">
        <v>2267</v>
      </c>
      <c r="N34" s="15"/>
      <c r="O34" s="11"/>
      <c r="P34" s="12"/>
      <c r="Q34" s="13"/>
      <c r="R34" s="13"/>
      <c r="S34" s="13"/>
      <c r="T34" s="13"/>
      <c r="U34" s="13"/>
      <c r="V34" s="11"/>
      <c r="W34" s="13"/>
      <c r="X34" s="12"/>
      <c r="Y34" s="13"/>
      <c r="Z34" s="13"/>
      <c r="AA34" s="13"/>
      <c r="AB34" s="13"/>
      <c r="AC34" s="88"/>
      <c r="AD34" s="6"/>
      <c r="AE34" s="6"/>
      <c r="AF34" s="6"/>
    </row>
    <row r="35">
      <c r="A35" s="86" t="s">
        <v>2302</v>
      </c>
      <c r="B35" s="58" t="s">
        <v>1527</v>
      </c>
      <c r="C35" s="58" t="s">
        <v>690</v>
      </c>
      <c r="D35" s="81" t="s">
        <v>2303</v>
      </c>
      <c r="E35" s="24" t="str">
        <f>IF(ISNA(MATCH(A35, 'A-Z player stats'!A:A, 0)), "Delete", "Keep")</f>
        <v>Delete</v>
      </c>
      <c r="G35" s="8"/>
      <c r="H35" s="9"/>
      <c r="I35" s="7" t="s">
        <v>2302</v>
      </c>
      <c r="J35" s="9" t="s">
        <v>1527</v>
      </c>
      <c r="K35" s="9" t="s">
        <v>690</v>
      </c>
      <c r="L35" s="10" t="s">
        <v>711</v>
      </c>
      <c r="M35" s="87" t="s">
        <v>2270</v>
      </c>
      <c r="N35" s="15"/>
      <c r="O35" s="11"/>
      <c r="P35" s="12"/>
      <c r="Q35" s="13"/>
      <c r="R35" s="13"/>
      <c r="S35" s="13"/>
      <c r="T35" s="13"/>
      <c r="U35" s="13"/>
      <c r="V35" s="11"/>
      <c r="W35" s="13"/>
      <c r="X35" s="12"/>
      <c r="Y35" s="13"/>
      <c r="Z35" s="13"/>
      <c r="AA35" s="13"/>
      <c r="AB35" s="13"/>
      <c r="AC35" s="88"/>
      <c r="AD35" s="6"/>
      <c r="AE35" s="6"/>
      <c r="AF35" s="6"/>
    </row>
    <row r="36">
      <c r="A36" s="86" t="s">
        <v>2304</v>
      </c>
      <c r="B36" s="58" t="s">
        <v>1388</v>
      </c>
      <c r="C36" s="58" t="s">
        <v>690</v>
      </c>
      <c r="D36" s="91" t="s">
        <v>700</v>
      </c>
      <c r="E36" s="24" t="str">
        <f>IF(ISNA(MATCH(A36, 'A-Z player stats'!A:A, 0)), "Delete", "Keep")</f>
        <v>Delete</v>
      </c>
      <c r="G36" s="8"/>
      <c r="H36" s="9"/>
      <c r="I36" s="7" t="s">
        <v>2304</v>
      </c>
      <c r="J36" s="9" t="s">
        <v>1388</v>
      </c>
      <c r="K36" s="9" t="s">
        <v>690</v>
      </c>
      <c r="L36" s="90" t="s">
        <v>700</v>
      </c>
      <c r="M36" s="87" t="s">
        <v>2270</v>
      </c>
      <c r="N36" s="11"/>
      <c r="O36" s="11"/>
      <c r="P36" s="12"/>
      <c r="Q36" s="13"/>
      <c r="R36" s="13"/>
      <c r="S36" s="13"/>
      <c r="T36" s="13"/>
      <c r="U36" s="13"/>
      <c r="V36" s="11"/>
      <c r="W36" s="13"/>
      <c r="X36" s="12"/>
      <c r="Y36" s="13"/>
      <c r="Z36" s="13"/>
      <c r="AA36" s="13"/>
      <c r="AB36" s="13"/>
      <c r="AC36" s="88"/>
      <c r="AD36" s="6"/>
      <c r="AE36" s="6"/>
      <c r="AF36" s="6"/>
    </row>
    <row r="37">
      <c r="A37" s="86" t="s">
        <v>2305</v>
      </c>
      <c r="B37" s="58" t="s">
        <v>2220</v>
      </c>
      <c r="C37" s="58" t="s">
        <v>810</v>
      </c>
      <c r="D37" s="79" t="s">
        <v>691</v>
      </c>
      <c r="E37" s="24" t="str">
        <f>IF(ISNA(MATCH(A37, 'A-Z player stats'!A:A, 0)), "Delete", "Keep")</f>
        <v>Delete</v>
      </c>
      <c r="G37" s="8"/>
      <c r="H37" s="9"/>
      <c r="I37" s="7" t="s">
        <v>2305</v>
      </c>
      <c r="J37" s="9" t="s">
        <v>2220</v>
      </c>
      <c r="K37" s="9" t="s">
        <v>810</v>
      </c>
      <c r="L37" s="90" t="s">
        <v>691</v>
      </c>
      <c r="M37" s="93" t="s">
        <v>2270</v>
      </c>
      <c r="N37" s="11"/>
      <c r="O37" s="11"/>
      <c r="P37" s="10"/>
      <c r="Q37" s="13"/>
      <c r="R37" s="11"/>
      <c r="S37" s="11"/>
      <c r="T37" s="13"/>
      <c r="U37" s="13"/>
      <c r="V37" s="13"/>
      <c r="W37" s="13"/>
      <c r="X37" s="10"/>
      <c r="Y37" s="13"/>
      <c r="Z37" s="11"/>
      <c r="AA37" s="11"/>
      <c r="AB37" s="11"/>
      <c r="AC37" s="88"/>
      <c r="AD37" s="6"/>
      <c r="AE37" s="6"/>
      <c r="AF37" s="6"/>
    </row>
    <row r="38">
      <c r="A38" s="86" t="s">
        <v>2306</v>
      </c>
      <c r="B38" s="58" t="s">
        <v>1139</v>
      </c>
      <c r="C38" s="58" t="s">
        <v>810</v>
      </c>
      <c r="D38" s="79" t="s">
        <v>700</v>
      </c>
      <c r="E38" s="24" t="str">
        <f>IF(ISNA(MATCH(A38, 'A-Z player stats'!A:A, 0)), "Delete", "Keep")</f>
        <v>Delete</v>
      </c>
      <c r="G38" s="8"/>
      <c r="H38" s="9"/>
      <c r="I38" s="7" t="s">
        <v>2306</v>
      </c>
      <c r="J38" s="9" t="s">
        <v>1139</v>
      </c>
      <c r="K38" s="9" t="s">
        <v>810</v>
      </c>
      <c r="L38" s="90" t="s">
        <v>700</v>
      </c>
      <c r="M38" s="87" t="s">
        <v>2270</v>
      </c>
      <c r="N38" s="15"/>
      <c r="O38" s="11"/>
      <c r="P38" s="10"/>
      <c r="Q38" s="13"/>
      <c r="R38" s="11"/>
      <c r="S38" s="11"/>
      <c r="T38" s="13"/>
      <c r="U38" s="13"/>
      <c r="V38" s="13"/>
      <c r="W38" s="13"/>
      <c r="X38" s="10"/>
      <c r="Y38" s="13"/>
      <c r="Z38" s="11"/>
      <c r="AA38" s="11"/>
      <c r="AB38" s="11"/>
      <c r="AC38" s="88"/>
      <c r="AD38" s="6"/>
      <c r="AE38" s="6"/>
      <c r="AF38" s="6"/>
    </row>
    <row r="39">
      <c r="A39" s="86" t="s">
        <v>82</v>
      </c>
      <c r="B39" s="58" t="s">
        <v>1679</v>
      </c>
      <c r="C39" s="58" t="s">
        <v>676</v>
      </c>
      <c r="D39" s="79" t="s">
        <v>677</v>
      </c>
      <c r="E39" s="24" t="str">
        <f>IF(ISNA(MATCH(A39, 'A-Z player stats'!A:A, 0)), "Delete", "Keep")</f>
        <v>Keep</v>
      </c>
      <c r="G39" s="8"/>
      <c r="H39" s="9"/>
      <c r="I39" s="7" t="s">
        <v>82</v>
      </c>
      <c r="J39" s="9" t="s">
        <v>1679</v>
      </c>
      <c r="K39" s="9" t="s">
        <v>676</v>
      </c>
      <c r="L39" s="90" t="s">
        <v>677</v>
      </c>
      <c r="M39" s="87" t="s">
        <v>2267</v>
      </c>
      <c r="N39" s="11"/>
      <c r="O39" s="11"/>
      <c r="P39" s="12"/>
      <c r="Q39" s="13"/>
      <c r="R39" s="13"/>
      <c r="S39" s="13"/>
      <c r="T39" s="13"/>
      <c r="U39" s="13"/>
      <c r="V39" s="11"/>
      <c r="W39" s="13"/>
      <c r="X39" s="12"/>
      <c r="Y39" s="13"/>
      <c r="Z39" s="13"/>
      <c r="AA39" s="13"/>
      <c r="AB39" s="13"/>
      <c r="AC39" s="88"/>
      <c r="AD39" s="6"/>
      <c r="AE39" s="6"/>
      <c r="AF39" s="6"/>
    </row>
    <row r="40">
      <c r="A40" s="86" t="s">
        <v>85</v>
      </c>
      <c r="B40" s="58" t="s">
        <v>1679</v>
      </c>
      <c r="C40" s="58" t="s">
        <v>676</v>
      </c>
      <c r="D40" s="91" t="s">
        <v>697</v>
      </c>
      <c r="E40" s="24" t="str">
        <f>IF(ISNA(MATCH(A40, 'A-Z player stats'!A:A, 0)), "Delete", "Keep")</f>
        <v>Keep</v>
      </c>
      <c r="G40" s="8"/>
      <c r="H40" s="9"/>
      <c r="I40" s="7" t="s">
        <v>85</v>
      </c>
      <c r="J40" s="9" t="s">
        <v>1679</v>
      </c>
      <c r="K40" s="9" t="s">
        <v>676</v>
      </c>
      <c r="L40" s="90" t="s">
        <v>697</v>
      </c>
      <c r="M40" s="87" t="s">
        <v>2267</v>
      </c>
      <c r="N40" s="15"/>
      <c r="O40" s="11"/>
      <c r="P40" s="12"/>
      <c r="Q40" s="11"/>
      <c r="R40" s="11"/>
      <c r="S40" s="13"/>
      <c r="T40" s="13"/>
      <c r="U40" s="13"/>
      <c r="V40" s="11"/>
      <c r="W40" s="13"/>
      <c r="X40" s="12"/>
      <c r="Y40" s="11"/>
      <c r="Z40" s="11"/>
      <c r="AA40" s="13"/>
      <c r="AB40" s="11"/>
      <c r="AC40" s="88"/>
      <c r="AD40" s="6"/>
      <c r="AE40" s="6"/>
      <c r="AF40" s="6"/>
    </row>
    <row r="41">
      <c r="A41" s="86" t="s">
        <v>89</v>
      </c>
      <c r="B41" s="58" t="s">
        <v>1970</v>
      </c>
      <c r="C41" s="58" t="s">
        <v>676</v>
      </c>
      <c r="D41" s="78" t="s">
        <v>2307</v>
      </c>
      <c r="E41" s="24" t="str">
        <f>IF(ISNA(MATCH(A41, 'A-Z player stats'!A:A, 0)), "Delete", "Keep")</f>
        <v>Keep</v>
      </c>
      <c r="G41" s="8"/>
      <c r="H41" s="9"/>
      <c r="I41" s="7" t="s">
        <v>89</v>
      </c>
      <c r="J41" s="9" t="s">
        <v>1970</v>
      </c>
      <c r="K41" s="9" t="s">
        <v>676</v>
      </c>
      <c r="L41" s="10" t="s">
        <v>668</v>
      </c>
      <c r="M41" s="87" t="s">
        <v>2267</v>
      </c>
      <c r="N41" s="15"/>
      <c r="O41" s="11"/>
      <c r="P41" s="12"/>
      <c r="Q41" s="11"/>
      <c r="R41" s="11"/>
      <c r="S41" s="13"/>
      <c r="T41" s="13"/>
      <c r="U41" s="13"/>
      <c r="V41" s="11"/>
      <c r="W41" s="13"/>
      <c r="X41" s="12"/>
      <c r="Y41" s="11"/>
      <c r="Z41" s="11"/>
      <c r="AA41" s="13"/>
      <c r="AB41" s="11"/>
      <c r="AC41" s="88"/>
      <c r="AD41" s="6"/>
      <c r="AE41" s="6"/>
      <c r="AF41" s="6"/>
    </row>
    <row r="42">
      <c r="A42" s="86" t="s">
        <v>91</v>
      </c>
      <c r="B42" s="58" t="s">
        <v>1571</v>
      </c>
      <c r="C42" s="58" t="s">
        <v>667</v>
      </c>
      <c r="D42" s="81" t="s">
        <v>2308</v>
      </c>
      <c r="E42" s="24" t="str">
        <f>IF(ISNA(MATCH(A42, 'A-Z player stats'!A:A, 0)), "Delete", "Keep")</f>
        <v>Keep</v>
      </c>
      <c r="G42" s="8"/>
      <c r="H42" s="9"/>
      <c r="I42" s="7" t="s">
        <v>91</v>
      </c>
      <c r="J42" s="9" t="s">
        <v>1571</v>
      </c>
      <c r="K42" s="9" t="s">
        <v>667</v>
      </c>
      <c r="L42" s="10" t="s">
        <v>695</v>
      </c>
      <c r="M42" s="87" t="s">
        <v>2267</v>
      </c>
      <c r="N42" s="15"/>
      <c r="O42" s="11"/>
      <c r="P42" s="10"/>
      <c r="Q42" s="11"/>
      <c r="R42" s="11"/>
      <c r="S42" s="11"/>
      <c r="T42" s="13"/>
      <c r="U42" s="13"/>
      <c r="V42" s="11"/>
      <c r="W42" s="13"/>
      <c r="X42" s="10"/>
      <c r="Y42" s="11"/>
      <c r="Z42" s="11"/>
      <c r="AA42" s="11"/>
      <c r="AB42" s="11"/>
      <c r="AC42" s="88"/>
      <c r="AD42" s="6"/>
      <c r="AE42" s="6"/>
      <c r="AF42" s="6"/>
    </row>
    <row r="43">
      <c r="A43" s="86" t="s">
        <v>2309</v>
      </c>
      <c r="B43" s="58" t="s">
        <v>1571</v>
      </c>
      <c r="C43" s="58" t="s">
        <v>667</v>
      </c>
      <c r="D43" s="81" t="s">
        <v>2310</v>
      </c>
      <c r="E43" s="24" t="str">
        <f>IF(ISNA(MATCH(A43, 'A-Z player stats'!A:A, 0)), "Delete", "Keep")</f>
        <v>Delete</v>
      </c>
      <c r="G43" s="8"/>
      <c r="H43" s="9"/>
      <c r="I43" s="7" t="s">
        <v>2309</v>
      </c>
      <c r="J43" s="9" t="s">
        <v>1571</v>
      </c>
      <c r="K43" s="9" t="s">
        <v>667</v>
      </c>
      <c r="L43" s="10" t="s">
        <v>695</v>
      </c>
      <c r="M43" s="87" t="s">
        <v>2270</v>
      </c>
      <c r="N43" s="15"/>
      <c r="O43" s="11"/>
      <c r="P43" s="10"/>
      <c r="Q43" s="11"/>
      <c r="R43" s="11"/>
      <c r="S43" s="11"/>
      <c r="T43" s="11"/>
      <c r="U43" s="11"/>
      <c r="V43" s="11"/>
      <c r="W43" s="13"/>
      <c r="X43" s="10"/>
      <c r="Y43" s="11"/>
      <c r="Z43" s="11"/>
      <c r="AA43" s="11"/>
      <c r="AB43" s="11"/>
      <c r="AC43" s="88"/>
      <c r="AD43" s="6"/>
      <c r="AE43" s="6"/>
      <c r="AF43" s="6"/>
    </row>
    <row r="44">
      <c r="A44" s="86" t="s">
        <v>93</v>
      </c>
      <c r="B44" s="58" t="s">
        <v>1641</v>
      </c>
      <c r="C44" s="58" t="s">
        <v>698</v>
      </c>
      <c r="D44" s="79" t="s">
        <v>697</v>
      </c>
      <c r="E44" s="24" t="str">
        <f>IF(ISNA(MATCH(A44, 'A-Z player stats'!A:A, 0)), "Delete", "Keep")</f>
        <v>Keep</v>
      </c>
      <c r="G44" s="8"/>
      <c r="H44" s="9"/>
      <c r="I44" s="7" t="s">
        <v>93</v>
      </c>
      <c r="J44" s="9" t="s">
        <v>1641</v>
      </c>
      <c r="K44" s="9" t="s">
        <v>698</v>
      </c>
      <c r="L44" s="90" t="s">
        <v>697</v>
      </c>
      <c r="M44" s="93" t="s">
        <v>2267</v>
      </c>
      <c r="N44" s="11"/>
      <c r="O44" s="11"/>
      <c r="P44" s="12"/>
      <c r="Q44" s="13"/>
      <c r="R44" s="13"/>
      <c r="S44" s="13"/>
      <c r="T44" s="13"/>
      <c r="U44" s="13"/>
      <c r="V44" s="13"/>
      <c r="W44" s="13"/>
      <c r="X44" s="12"/>
      <c r="Y44" s="13"/>
      <c r="Z44" s="13"/>
      <c r="AA44" s="13"/>
      <c r="AB44" s="13"/>
      <c r="AC44" s="88"/>
      <c r="AD44" s="6"/>
      <c r="AE44" s="6"/>
      <c r="AF44" s="6"/>
    </row>
    <row r="45">
      <c r="A45" s="86" t="s">
        <v>2311</v>
      </c>
      <c r="B45" s="58" t="s">
        <v>1402</v>
      </c>
      <c r="C45" s="58" t="s">
        <v>685</v>
      </c>
      <c r="D45" s="89" t="s">
        <v>2312</v>
      </c>
      <c r="E45" s="24" t="str">
        <f>IF(ISNA(MATCH(A45, 'A-Z player stats'!A:A, 0)), "Delete", "Keep")</f>
        <v>Delete</v>
      </c>
      <c r="G45" s="8"/>
      <c r="H45" s="9"/>
      <c r="I45" s="7" t="s">
        <v>2311</v>
      </c>
      <c r="J45" s="9" t="s">
        <v>1402</v>
      </c>
      <c r="K45" s="9" t="s">
        <v>685</v>
      </c>
      <c r="L45" s="10" t="s">
        <v>721</v>
      </c>
      <c r="M45" s="87" t="s">
        <v>2270</v>
      </c>
      <c r="N45" s="15"/>
      <c r="O45" s="11"/>
      <c r="P45" s="12"/>
      <c r="Q45" s="13"/>
      <c r="R45" s="13"/>
      <c r="S45" s="13"/>
      <c r="T45" s="13"/>
      <c r="U45" s="13"/>
      <c r="V45" s="11"/>
      <c r="W45" s="13"/>
      <c r="X45" s="12"/>
      <c r="Y45" s="13"/>
      <c r="Z45" s="13"/>
      <c r="AA45" s="13"/>
      <c r="AB45" s="13"/>
      <c r="AC45" s="88"/>
      <c r="AD45" s="6"/>
      <c r="AE45" s="6"/>
      <c r="AF45" s="6"/>
    </row>
    <row r="46">
      <c r="A46" s="86" t="s">
        <v>2313</v>
      </c>
      <c r="B46" s="58" t="s">
        <v>1505</v>
      </c>
      <c r="C46" s="58" t="s">
        <v>720</v>
      </c>
      <c r="D46" s="91" t="s">
        <v>691</v>
      </c>
      <c r="E46" s="24" t="str">
        <f>IF(ISNA(MATCH(A46, 'A-Z player stats'!A:A, 0)), "Delete", "Keep")</f>
        <v>Delete</v>
      </c>
      <c r="G46" s="8"/>
      <c r="H46" s="9"/>
      <c r="I46" s="7" t="s">
        <v>2313</v>
      </c>
      <c r="J46" s="9" t="s">
        <v>1505</v>
      </c>
      <c r="K46" s="9" t="s">
        <v>720</v>
      </c>
      <c r="L46" s="90" t="s">
        <v>691</v>
      </c>
      <c r="M46" s="93" t="s">
        <v>2270</v>
      </c>
      <c r="N46" s="11"/>
      <c r="O46" s="11"/>
      <c r="P46" s="12"/>
      <c r="Q46" s="13"/>
      <c r="R46" s="13"/>
      <c r="S46" s="13"/>
      <c r="T46" s="13"/>
      <c r="U46" s="13"/>
      <c r="V46" s="13"/>
      <c r="W46" s="13"/>
      <c r="X46" s="12"/>
      <c r="Y46" s="13"/>
      <c r="Z46" s="13"/>
      <c r="AA46" s="13"/>
      <c r="AB46" s="13"/>
      <c r="AC46" s="88"/>
      <c r="AD46" s="6"/>
      <c r="AE46" s="6"/>
      <c r="AF46" s="6"/>
    </row>
    <row r="47">
      <c r="A47" s="86" t="s">
        <v>2314</v>
      </c>
      <c r="B47" s="58" t="s">
        <v>2190</v>
      </c>
      <c r="C47" s="58" t="s">
        <v>715</v>
      </c>
      <c r="D47" s="79" t="s">
        <v>691</v>
      </c>
      <c r="E47" s="24" t="str">
        <f>IF(ISNA(MATCH(A47, 'A-Z player stats'!A:A, 0)), "Delete", "Keep")</f>
        <v>Delete</v>
      </c>
      <c r="G47" s="8"/>
      <c r="H47" s="9"/>
      <c r="I47" s="7" t="s">
        <v>2314</v>
      </c>
      <c r="J47" s="9" t="s">
        <v>2190</v>
      </c>
      <c r="K47" s="9" t="s">
        <v>715</v>
      </c>
      <c r="L47" s="90" t="s">
        <v>691</v>
      </c>
      <c r="M47" s="87" t="s">
        <v>2270</v>
      </c>
      <c r="N47" s="11"/>
      <c r="O47" s="11"/>
      <c r="P47" s="10"/>
      <c r="Q47" s="11"/>
      <c r="R47" s="11"/>
      <c r="S47" s="11"/>
      <c r="T47" s="13"/>
      <c r="U47" s="13"/>
      <c r="V47" s="11"/>
      <c r="W47" s="13"/>
      <c r="X47" s="10"/>
      <c r="Y47" s="11"/>
      <c r="Z47" s="11"/>
      <c r="AA47" s="11"/>
      <c r="AB47" s="11"/>
      <c r="AC47" s="88"/>
      <c r="AD47" s="6"/>
      <c r="AE47" s="6"/>
      <c r="AF47" s="6"/>
    </row>
    <row r="48">
      <c r="A48" s="86" t="s">
        <v>2315</v>
      </c>
      <c r="B48" s="58" t="s">
        <v>1322</v>
      </c>
      <c r="C48" s="58" t="s">
        <v>676</v>
      </c>
      <c r="D48" s="79" t="s">
        <v>700</v>
      </c>
      <c r="E48" s="24" t="str">
        <f>IF(ISNA(MATCH(A48, 'A-Z player stats'!A:A, 0)), "Delete", "Keep")</f>
        <v>Delete</v>
      </c>
      <c r="G48" s="8"/>
      <c r="H48" s="9"/>
      <c r="I48" s="7" t="s">
        <v>2315</v>
      </c>
      <c r="J48" s="9" t="s">
        <v>1322</v>
      </c>
      <c r="K48" s="9" t="s">
        <v>676</v>
      </c>
      <c r="L48" s="90" t="s">
        <v>700</v>
      </c>
      <c r="M48" s="87" t="s">
        <v>2270</v>
      </c>
      <c r="N48" s="15"/>
      <c r="O48" s="11"/>
      <c r="P48" s="10"/>
      <c r="Q48" s="11"/>
      <c r="R48" s="11"/>
      <c r="S48" s="11"/>
      <c r="T48" s="13"/>
      <c r="U48" s="13"/>
      <c r="V48" s="11"/>
      <c r="W48" s="13"/>
      <c r="X48" s="10"/>
      <c r="Y48" s="11"/>
      <c r="Z48" s="11"/>
      <c r="AA48" s="11"/>
      <c r="AB48" s="11"/>
      <c r="AC48" s="88"/>
      <c r="AD48" s="6"/>
      <c r="AE48" s="6"/>
      <c r="AF48" s="6"/>
    </row>
    <row r="49">
      <c r="A49" s="86" t="s">
        <v>103</v>
      </c>
      <c r="B49" s="58" t="s">
        <v>1315</v>
      </c>
      <c r="C49" s="58" t="s">
        <v>699</v>
      </c>
      <c r="D49" s="91" t="s">
        <v>700</v>
      </c>
      <c r="E49" s="24" t="str">
        <f>IF(ISNA(MATCH(A49, 'A-Z player stats'!A:A, 0)), "Delete", "Keep")</f>
        <v>Keep</v>
      </c>
      <c r="G49" s="8"/>
      <c r="H49" s="9"/>
      <c r="I49" s="7" t="s">
        <v>103</v>
      </c>
      <c r="J49" s="9" t="s">
        <v>1315</v>
      </c>
      <c r="K49" s="9" t="s">
        <v>699</v>
      </c>
      <c r="L49" s="90" t="s">
        <v>700</v>
      </c>
      <c r="M49" s="87" t="s">
        <v>2267</v>
      </c>
      <c r="N49" s="11"/>
      <c r="O49" s="11"/>
      <c r="P49" s="12"/>
      <c r="Q49" s="13"/>
      <c r="R49" s="13"/>
      <c r="S49" s="13"/>
      <c r="T49" s="13"/>
      <c r="U49" s="13"/>
      <c r="V49" s="13"/>
      <c r="W49" s="13"/>
      <c r="X49" s="12"/>
      <c r="Y49" s="13"/>
      <c r="Z49" s="13"/>
      <c r="AA49" s="13"/>
      <c r="AB49" s="13"/>
      <c r="AC49" s="88"/>
      <c r="AD49" s="6"/>
      <c r="AE49" s="6"/>
      <c r="AF49" s="6"/>
    </row>
    <row r="50">
      <c r="A50" s="86" t="s">
        <v>105</v>
      </c>
      <c r="B50" s="58" t="s">
        <v>1139</v>
      </c>
      <c r="C50" s="58" t="s">
        <v>810</v>
      </c>
      <c r="D50" s="91" t="s">
        <v>701</v>
      </c>
      <c r="E50" s="24" t="str">
        <f>IF(ISNA(MATCH(A50, 'A-Z player stats'!A:A, 0)), "Delete", "Keep")</f>
        <v>Keep</v>
      </c>
      <c r="G50" s="8"/>
      <c r="H50" s="9"/>
      <c r="I50" s="7" t="s">
        <v>105</v>
      </c>
      <c r="J50" s="9" t="s">
        <v>1139</v>
      </c>
      <c r="K50" s="9" t="s">
        <v>810</v>
      </c>
      <c r="L50" s="90" t="s">
        <v>701</v>
      </c>
      <c r="M50" s="93" t="s">
        <v>2267</v>
      </c>
      <c r="N50" s="11"/>
      <c r="O50" s="11"/>
      <c r="P50" s="12"/>
      <c r="Q50" s="13"/>
      <c r="R50" s="13"/>
      <c r="S50" s="13"/>
      <c r="T50" s="13"/>
      <c r="U50" s="13"/>
      <c r="V50" s="13"/>
      <c r="W50" s="13"/>
      <c r="X50" s="12"/>
      <c r="Y50" s="13"/>
      <c r="Z50" s="13"/>
      <c r="AA50" s="13"/>
      <c r="AB50" s="13"/>
      <c r="AC50" s="88"/>
      <c r="AD50" s="6"/>
      <c r="AE50" s="6"/>
      <c r="AF50" s="6"/>
    </row>
    <row r="51">
      <c r="A51" s="86" t="s">
        <v>2316</v>
      </c>
      <c r="B51" s="58" t="s">
        <v>1362</v>
      </c>
      <c r="C51" s="58" t="s">
        <v>670</v>
      </c>
      <c r="D51" s="78" t="s">
        <v>2317</v>
      </c>
      <c r="E51" s="24" t="str">
        <f>IF(ISNA(MATCH(A51, 'A-Z player stats'!A:A, 0)), "Delete", "Keep")</f>
        <v>Delete</v>
      </c>
      <c r="G51" s="8"/>
      <c r="H51" s="9"/>
      <c r="I51" s="7" t="s">
        <v>2316</v>
      </c>
      <c r="J51" s="9" t="s">
        <v>1362</v>
      </c>
      <c r="K51" s="9" t="s">
        <v>670</v>
      </c>
      <c r="L51" s="10" t="s">
        <v>668</v>
      </c>
      <c r="M51" s="93" t="s">
        <v>2270</v>
      </c>
      <c r="N51" s="11"/>
      <c r="O51" s="11"/>
      <c r="P51" s="12"/>
      <c r="Q51" s="13"/>
      <c r="R51" s="13"/>
      <c r="S51" s="13"/>
      <c r="T51" s="13"/>
      <c r="U51" s="13"/>
      <c r="V51" s="13"/>
      <c r="W51" s="13"/>
      <c r="X51" s="12"/>
      <c r="Y51" s="13"/>
      <c r="Z51" s="13"/>
      <c r="AA51" s="13"/>
      <c r="AB51" s="13"/>
      <c r="AC51" s="88"/>
      <c r="AD51" s="6"/>
      <c r="AE51" s="6"/>
      <c r="AF51" s="6"/>
    </row>
    <row r="52">
      <c r="A52" s="86" t="s">
        <v>2318</v>
      </c>
      <c r="B52" s="58" t="s">
        <v>1178</v>
      </c>
      <c r="C52" s="58" t="s">
        <v>673</v>
      </c>
      <c r="D52" s="81" t="s">
        <v>2319</v>
      </c>
      <c r="E52" s="24" t="str">
        <f>IF(ISNA(MATCH(A52, 'A-Z player stats'!A:A, 0)), "Delete", "Keep")</f>
        <v>Delete</v>
      </c>
      <c r="G52" s="8"/>
      <c r="H52" s="9"/>
      <c r="I52" s="7" t="s">
        <v>2318</v>
      </c>
      <c r="J52" s="9" t="s">
        <v>1178</v>
      </c>
      <c r="K52" s="9" t="s">
        <v>673</v>
      </c>
      <c r="L52" s="10" t="s">
        <v>711</v>
      </c>
      <c r="M52" s="87" t="s">
        <v>2270</v>
      </c>
      <c r="N52" s="11"/>
      <c r="O52" s="11"/>
      <c r="P52" s="12"/>
      <c r="Q52" s="11"/>
      <c r="R52" s="11"/>
      <c r="S52" s="13"/>
      <c r="T52" s="13"/>
      <c r="U52" s="13"/>
      <c r="V52" s="11"/>
      <c r="W52" s="13"/>
      <c r="X52" s="12"/>
      <c r="Y52" s="11"/>
      <c r="Z52" s="11"/>
      <c r="AA52" s="13"/>
      <c r="AB52" s="11"/>
      <c r="AC52" s="88"/>
      <c r="AD52" s="6"/>
      <c r="AE52" s="6"/>
      <c r="AF52" s="6"/>
    </row>
    <row r="53">
      <c r="A53" s="86" t="s">
        <v>2320</v>
      </c>
      <c r="B53" s="58" t="s">
        <v>1290</v>
      </c>
      <c r="C53" s="58" t="s">
        <v>685</v>
      </c>
      <c r="D53" s="78" t="s">
        <v>2321</v>
      </c>
      <c r="E53" s="24" t="str">
        <f>IF(ISNA(MATCH(A53, 'A-Z player stats'!A:A, 0)), "Delete", "Keep")</f>
        <v>Delete</v>
      </c>
      <c r="G53" s="8"/>
      <c r="H53" s="9"/>
      <c r="I53" s="7" t="s">
        <v>2320</v>
      </c>
      <c r="J53" s="9" t="s">
        <v>1290</v>
      </c>
      <c r="K53" s="9" t="s">
        <v>685</v>
      </c>
      <c r="L53" s="10" t="s">
        <v>695</v>
      </c>
      <c r="M53" s="87" t="s">
        <v>2270</v>
      </c>
      <c r="N53" s="11"/>
      <c r="O53" s="11"/>
      <c r="P53" s="10"/>
      <c r="Q53" s="13"/>
      <c r="R53" s="11"/>
      <c r="S53" s="11"/>
      <c r="T53" s="13"/>
      <c r="U53" s="13"/>
      <c r="V53" s="13"/>
      <c r="W53" s="13"/>
      <c r="X53" s="10"/>
      <c r="Y53" s="13"/>
      <c r="Z53" s="11"/>
      <c r="AA53" s="11"/>
      <c r="AB53" s="11"/>
      <c r="AC53" s="88"/>
      <c r="AD53" s="6"/>
      <c r="AE53" s="6"/>
      <c r="AF53" s="6"/>
    </row>
    <row r="54">
      <c r="A54" s="86" t="s">
        <v>2322</v>
      </c>
      <c r="B54" s="58" t="s">
        <v>1290</v>
      </c>
      <c r="C54" s="58" t="s">
        <v>685</v>
      </c>
      <c r="D54" s="92" t="s">
        <v>2323</v>
      </c>
      <c r="E54" s="24" t="str">
        <f>IF(ISNA(MATCH(A54, 'A-Z player stats'!A:A, 0)), "Delete", "Keep")</f>
        <v>Delete</v>
      </c>
      <c r="G54" s="8"/>
      <c r="H54" s="9"/>
      <c r="I54" s="7" t="s">
        <v>2322</v>
      </c>
      <c r="J54" s="9" t="s">
        <v>1290</v>
      </c>
      <c r="K54" s="9" t="s">
        <v>685</v>
      </c>
      <c r="L54" s="10" t="s">
        <v>695</v>
      </c>
      <c r="M54" s="87" t="s">
        <v>2270</v>
      </c>
      <c r="N54" s="11"/>
      <c r="O54" s="11"/>
      <c r="P54" s="12"/>
      <c r="Q54" s="11"/>
      <c r="R54" s="11"/>
      <c r="S54" s="13"/>
      <c r="T54" s="13"/>
      <c r="U54" s="13"/>
      <c r="V54" s="11"/>
      <c r="W54" s="13"/>
      <c r="X54" s="12"/>
      <c r="Y54" s="11"/>
      <c r="Z54" s="11"/>
      <c r="AA54" s="13"/>
      <c r="AB54" s="11"/>
      <c r="AC54" s="88"/>
      <c r="AD54" s="6"/>
      <c r="AE54" s="6"/>
      <c r="AF54" s="6"/>
    </row>
    <row r="55">
      <c r="A55" s="86" t="s">
        <v>2324</v>
      </c>
      <c r="B55" s="58" t="s">
        <v>1139</v>
      </c>
      <c r="C55" s="58" t="s">
        <v>810</v>
      </c>
      <c r="D55" s="79" t="s">
        <v>697</v>
      </c>
      <c r="E55" s="24" t="str">
        <f>IF(ISNA(MATCH(A55, 'A-Z player stats'!A:A, 0)), "Delete", "Keep")</f>
        <v>Delete</v>
      </c>
      <c r="G55" s="8"/>
      <c r="H55" s="9"/>
      <c r="I55" s="7" t="s">
        <v>2324</v>
      </c>
      <c r="J55" s="9" t="s">
        <v>1139</v>
      </c>
      <c r="K55" s="9" t="s">
        <v>810</v>
      </c>
      <c r="L55" s="90" t="s">
        <v>697</v>
      </c>
      <c r="M55" s="87" t="s">
        <v>2270</v>
      </c>
      <c r="N55" s="11"/>
      <c r="O55" s="11"/>
      <c r="P55" s="12"/>
      <c r="Q55" s="13"/>
      <c r="R55" s="13"/>
      <c r="S55" s="13"/>
      <c r="T55" s="13"/>
      <c r="U55" s="13"/>
      <c r="V55" s="11"/>
      <c r="W55" s="13"/>
      <c r="X55" s="12"/>
      <c r="Y55" s="13"/>
      <c r="Z55" s="13"/>
      <c r="AA55" s="13"/>
      <c r="AB55" s="13"/>
      <c r="AC55" s="88"/>
      <c r="AD55" s="6"/>
      <c r="AE55" s="6"/>
      <c r="AF55" s="6"/>
    </row>
    <row r="56">
      <c r="A56" s="86" t="s">
        <v>107</v>
      </c>
      <c r="B56" s="58" t="s">
        <v>2141</v>
      </c>
      <c r="C56" s="58" t="s">
        <v>810</v>
      </c>
      <c r="D56" s="79" t="s">
        <v>691</v>
      </c>
      <c r="E56" s="24" t="str">
        <f>IF(ISNA(MATCH(A56, 'A-Z player stats'!A:A, 0)), "Delete", "Keep")</f>
        <v>Keep</v>
      </c>
      <c r="G56" s="8"/>
      <c r="H56" s="9"/>
      <c r="I56" s="7" t="s">
        <v>107</v>
      </c>
      <c r="J56" s="9" t="s">
        <v>2141</v>
      </c>
      <c r="K56" s="9" t="s">
        <v>810</v>
      </c>
      <c r="L56" s="90" t="s">
        <v>691</v>
      </c>
      <c r="M56" s="87" t="s">
        <v>2267</v>
      </c>
      <c r="N56" s="15"/>
      <c r="O56" s="11"/>
      <c r="P56" s="10"/>
      <c r="Q56" s="13"/>
      <c r="R56" s="11"/>
      <c r="S56" s="11"/>
      <c r="T56" s="13"/>
      <c r="U56" s="13"/>
      <c r="V56" s="11"/>
      <c r="W56" s="13"/>
      <c r="X56" s="10"/>
      <c r="Y56" s="13"/>
      <c r="Z56" s="11"/>
      <c r="AA56" s="11"/>
      <c r="AB56" s="11"/>
      <c r="AC56" s="88"/>
      <c r="AD56" s="6"/>
      <c r="AE56" s="6"/>
      <c r="AF56" s="6"/>
    </row>
    <row r="57">
      <c r="A57" s="86" t="s">
        <v>109</v>
      </c>
      <c r="B57" s="58" t="s">
        <v>1346</v>
      </c>
      <c r="C57" s="58" t="s">
        <v>676</v>
      </c>
      <c r="D57" s="83" t="s">
        <v>702</v>
      </c>
      <c r="E57" s="24" t="str">
        <f>IF(ISNA(MATCH(A57, 'A-Z player stats'!A:A, 0)), "Delete", "Keep")</f>
        <v>Keep</v>
      </c>
      <c r="G57" s="8"/>
      <c r="H57" s="9"/>
      <c r="I57" s="7" t="s">
        <v>109</v>
      </c>
      <c r="J57" s="9" t="s">
        <v>1346</v>
      </c>
      <c r="K57" s="9" t="s">
        <v>676</v>
      </c>
      <c r="L57" s="90" t="s">
        <v>702</v>
      </c>
      <c r="M57" s="87" t="s">
        <v>2267</v>
      </c>
      <c r="N57" s="15"/>
      <c r="O57" s="11"/>
      <c r="P57" s="10"/>
      <c r="Q57" s="11"/>
      <c r="R57" s="11"/>
      <c r="S57" s="11"/>
      <c r="T57" s="13"/>
      <c r="U57" s="13"/>
      <c r="V57" s="11"/>
      <c r="W57" s="13"/>
      <c r="X57" s="10"/>
      <c r="Y57" s="11"/>
      <c r="Z57" s="11"/>
      <c r="AA57" s="11"/>
      <c r="AB57" s="11"/>
      <c r="AC57" s="88"/>
      <c r="AD57" s="6"/>
      <c r="AE57" s="6"/>
      <c r="AF57" s="6"/>
    </row>
    <row r="58">
      <c r="A58" s="86" t="s">
        <v>111</v>
      </c>
      <c r="B58" s="58" t="s">
        <v>2114</v>
      </c>
      <c r="C58" s="58" t="s">
        <v>810</v>
      </c>
      <c r="D58" s="79" t="s">
        <v>691</v>
      </c>
      <c r="E58" s="24" t="str">
        <f>IF(ISNA(MATCH(A58, 'A-Z player stats'!A:A, 0)), "Delete", "Keep")</f>
        <v>Keep</v>
      </c>
      <c r="G58" s="8"/>
      <c r="H58" s="9"/>
      <c r="I58" s="7" t="s">
        <v>111</v>
      </c>
      <c r="J58" s="9" t="s">
        <v>2114</v>
      </c>
      <c r="K58" s="9" t="s">
        <v>810</v>
      </c>
      <c r="L58" s="90" t="s">
        <v>691</v>
      </c>
      <c r="M58" s="87" t="s">
        <v>2267</v>
      </c>
      <c r="N58" s="15"/>
      <c r="O58" s="11"/>
      <c r="P58" s="10"/>
      <c r="Q58" s="11"/>
      <c r="R58" s="11"/>
      <c r="S58" s="11"/>
      <c r="T58" s="13"/>
      <c r="U58" s="13"/>
      <c r="V58" s="13"/>
      <c r="W58" s="13"/>
      <c r="X58" s="10"/>
      <c r="Y58" s="11"/>
      <c r="Z58" s="11"/>
      <c r="AA58" s="11"/>
      <c r="AB58" s="11"/>
      <c r="AC58" s="88"/>
      <c r="AD58" s="6"/>
      <c r="AE58" s="6"/>
      <c r="AF58" s="6"/>
    </row>
    <row r="59">
      <c r="A59" s="86" t="s">
        <v>113</v>
      </c>
      <c r="B59" s="58" t="s">
        <v>1139</v>
      </c>
      <c r="C59" s="58" t="s">
        <v>810</v>
      </c>
      <c r="D59" s="79" t="s">
        <v>703</v>
      </c>
      <c r="E59" s="24" t="str">
        <f>IF(ISNA(MATCH(A59, 'A-Z player stats'!A:A, 0)), "Delete", "Keep")</f>
        <v>Keep</v>
      </c>
      <c r="G59" s="8"/>
      <c r="H59" s="9"/>
      <c r="I59" s="7" t="s">
        <v>113</v>
      </c>
      <c r="J59" s="9" t="s">
        <v>1139</v>
      </c>
      <c r="K59" s="9" t="s">
        <v>810</v>
      </c>
      <c r="L59" s="90" t="s">
        <v>703</v>
      </c>
      <c r="M59" s="87" t="s">
        <v>2267</v>
      </c>
      <c r="N59" s="15"/>
      <c r="O59" s="11"/>
      <c r="P59" s="12"/>
      <c r="Q59" s="11"/>
      <c r="R59" s="11"/>
      <c r="S59" s="13"/>
      <c r="T59" s="13"/>
      <c r="U59" s="13"/>
      <c r="V59" s="11"/>
      <c r="W59" s="13"/>
      <c r="X59" s="12"/>
      <c r="Y59" s="11"/>
      <c r="Z59" s="11"/>
      <c r="AA59" s="13"/>
      <c r="AB59" s="11"/>
      <c r="AC59" s="88"/>
      <c r="AD59" s="6"/>
      <c r="AE59" s="6"/>
      <c r="AF59" s="6"/>
    </row>
    <row r="60">
      <c r="A60" s="86" t="s">
        <v>2325</v>
      </c>
      <c r="B60" s="58" t="s">
        <v>1522</v>
      </c>
      <c r="C60" s="58" t="s">
        <v>673</v>
      </c>
      <c r="D60" s="81" t="s">
        <v>2326</v>
      </c>
      <c r="E60" s="24" t="str">
        <f>IF(ISNA(MATCH(A60, 'A-Z player stats'!A:A, 0)), "Delete", "Keep")</f>
        <v>Delete</v>
      </c>
      <c r="G60" s="8"/>
      <c r="H60" s="9"/>
      <c r="I60" s="7" t="s">
        <v>2325</v>
      </c>
      <c r="J60" s="9" t="s">
        <v>1522</v>
      </c>
      <c r="K60" s="9" t="s">
        <v>673</v>
      </c>
      <c r="L60" s="10" t="s">
        <v>716</v>
      </c>
      <c r="M60" s="87" t="s">
        <v>2270</v>
      </c>
      <c r="N60" s="15"/>
      <c r="O60" s="11"/>
      <c r="P60" s="10"/>
      <c r="Q60" s="11"/>
      <c r="R60" s="11"/>
      <c r="S60" s="11"/>
      <c r="T60" s="13"/>
      <c r="U60" s="13"/>
      <c r="V60" s="11"/>
      <c r="W60" s="13"/>
      <c r="X60" s="10"/>
      <c r="Y60" s="11"/>
      <c r="Z60" s="11"/>
      <c r="AA60" s="11"/>
      <c r="AB60" s="11"/>
      <c r="AC60" s="88"/>
      <c r="AD60" s="6"/>
      <c r="AE60" s="6"/>
      <c r="AF60" s="6"/>
    </row>
    <row r="61">
      <c r="A61" s="86" t="s">
        <v>115</v>
      </c>
      <c r="B61" s="58" t="s">
        <v>1575</v>
      </c>
      <c r="C61" s="58" t="s">
        <v>810</v>
      </c>
      <c r="D61" s="91" t="s">
        <v>697</v>
      </c>
      <c r="E61" s="24" t="str">
        <f>IF(ISNA(MATCH(A61, 'A-Z player stats'!A:A, 0)), "Delete", "Keep")</f>
        <v>Keep</v>
      </c>
      <c r="G61" s="8"/>
      <c r="H61" s="9"/>
      <c r="I61" s="7" t="s">
        <v>115</v>
      </c>
      <c r="J61" s="9" t="s">
        <v>1575</v>
      </c>
      <c r="K61" s="9" t="s">
        <v>810</v>
      </c>
      <c r="L61" s="90" t="s">
        <v>697</v>
      </c>
      <c r="M61" s="87" t="s">
        <v>2267</v>
      </c>
      <c r="N61" s="15"/>
      <c r="O61" s="11"/>
      <c r="P61" s="10"/>
      <c r="Q61" s="11"/>
      <c r="R61" s="11"/>
      <c r="S61" s="13"/>
      <c r="T61" s="11"/>
      <c r="U61" s="11"/>
      <c r="V61" s="11"/>
      <c r="W61" s="13"/>
      <c r="X61" s="10"/>
      <c r="Y61" s="11"/>
      <c r="Z61" s="11"/>
      <c r="AA61" s="13"/>
      <c r="AB61" s="11"/>
      <c r="AC61" s="88"/>
      <c r="AD61" s="6"/>
      <c r="AE61" s="6"/>
      <c r="AF61" s="6"/>
    </row>
    <row r="62">
      <c r="A62" s="86" t="s">
        <v>117</v>
      </c>
      <c r="B62" s="58" t="s">
        <v>1309</v>
      </c>
      <c r="C62" s="58" t="s">
        <v>704</v>
      </c>
      <c r="D62" s="78" t="s">
        <v>2327</v>
      </c>
      <c r="E62" s="24" t="str">
        <f>IF(ISNA(MATCH(A62, 'A-Z player stats'!A:A, 0)), "Delete", "Keep")</f>
        <v>Keep</v>
      </c>
      <c r="G62" s="8"/>
      <c r="H62" s="9"/>
      <c r="I62" s="7" t="s">
        <v>117</v>
      </c>
      <c r="J62" s="9" t="s">
        <v>1309</v>
      </c>
      <c r="K62" s="9" t="s">
        <v>704</v>
      </c>
      <c r="L62" s="10" t="s">
        <v>668</v>
      </c>
      <c r="M62" s="87" t="s">
        <v>2267</v>
      </c>
      <c r="N62" s="11"/>
      <c r="O62" s="11"/>
      <c r="P62" s="10"/>
      <c r="Q62" s="13"/>
      <c r="R62" s="11"/>
      <c r="S62" s="11"/>
      <c r="T62" s="13"/>
      <c r="U62" s="13"/>
      <c r="V62" s="11"/>
      <c r="W62" s="13"/>
      <c r="X62" s="10"/>
      <c r="Y62" s="13"/>
      <c r="Z62" s="11"/>
      <c r="AA62" s="11"/>
      <c r="AB62" s="11"/>
      <c r="AC62" s="88"/>
      <c r="AD62" s="6"/>
      <c r="AE62" s="6"/>
      <c r="AF62" s="6"/>
    </row>
    <row r="63">
      <c r="A63" s="86" t="s">
        <v>119</v>
      </c>
      <c r="B63" s="58" t="s">
        <v>1309</v>
      </c>
      <c r="C63" s="58" t="s">
        <v>704</v>
      </c>
      <c r="D63" s="92" t="s">
        <v>2328</v>
      </c>
      <c r="E63" s="24" t="str">
        <f>IF(ISNA(MATCH(A63, 'A-Z player stats'!A:A, 0)), "Delete", "Keep")</f>
        <v>Keep</v>
      </c>
      <c r="G63" s="8"/>
      <c r="H63" s="9"/>
      <c r="I63" s="7" t="s">
        <v>119</v>
      </c>
      <c r="J63" s="9" t="s">
        <v>1309</v>
      </c>
      <c r="K63" s="9" t="s">
        <v>704</v>
      </c>
      <c r="L63" s="10" t="s">
        <v>668</v>
      </c>
      <c r="M63" s="87" t="s">
        <v>2267</v>
      </c>
      <c r="N63" s="11"/>
      <c r="O63" s="11"/>
      <c r="P63" s="12"/>
      <c r="Q63" s="13"/>
      <c r="R63" s="13"/>
      <c r="S63" s="13"/>
      <c r="T63" s="13"/>
      <c r="U63" s="13"/>
      <c r="V63" s="11"/>
      <c r="W63" s="13"/>
      <c r="X63" s="12"/>
      <c r="Y63" s="13"/>
      <c r="Z63" s="13"/>
      <c r="AA63" s="13"/>
      <c r="AB63" s="13"/>
      <c r="AC63" s="88"/>
      <c r="AD63" s="6"/>
      <c r="AE63" s="6"/>
      <c r="AF63" s="6"/>
    </row>
    <row r="64">
      <c r="A64" s="86" t="s">
        <v>2329</v>
      </c>
      <c r="B64" s="58" t="s">
        <v>1454</v>
      </c>
      <c r="C64" s="58" t="s">
        <v>690</v>
      </c>
      <c r="D64" s="92" t="s">
        <v>2330</v>
      </c>
      <c r="E64" s="24" t="str">
        <f>IF(ISNA(MATCH(A64, 'A-Z player stats'!A:A, 0)), "Delete", "Keep")</f>
        <v>Delete</v>
      </c>
      <c r="G64" s="8"/>
      <c r="H64" s="9"/>
      <c r="I64" s="7" t="s">
        <v>2329</v>
      </c>
      <c r="J64" s="9" t="s">
        <v>1454</v>
      </c>
      <c r="K64" s="9" t="s">
        <v>690</v>
      </c>
      <c r="L64" s="10" t="s">
        <v>687</v>
      </c>
      <c r="M64" s="87" t="s">
        <v>2270</v>
      </c>
      <c r="N64" s="11"/>
      <c r="O64" s="11"/>
      <c r="P64" s="10"/>
      <c r="Q64" s="13"/>
      <c r="R64" s="11"/>
      <c r="S64" s="11"/>
      <c r="T64" s="13"/>
      <c r="U64" s="13"/>
      <c r="V64" s="13"/>
      <c r="W64" s="13"/>
      <c r="X64" s="10"/>
      <c r="Y64" s="13"/>
      <c r="Z64" s="11"/>
      <c r="AA64" s="11"/>
      <c r="AB64" s="11"/>
      <c r="AC64" s="88"/>
      <c r="AD64" s="6"/>
      <c r="AE64" s="6"/>
      <c r="AF64" s="6"/>
    </row>
    <row r="65">
      <c r="A65" s="86" t="s">
        <v>2331</v>
      </c>
      <c r="B65" s="58" t="s">
        <v>1673</v>
      </c>
      <c r="C65" s="58" t="s">
        <v>670</v>
      </c>
      <c r="D65" s="79" t="s">
        <v>703</v>
      </c>
      <c r="E65" s="24" t="str">
        <f>IF(ISNA(MATCH(A65, 'A-Z player stats'!A:A, 0)), "Delete", "Keep")</f>
        <v>Delete</v>
      </c>
      <c r="G65" s="8"/>
      <c r="H65" s="9"/>
      <c r="I65" s="7" t="s">
        <v>2331</v>
      </c>
      <c r="J65" s="9" t="s">
        <v>1673</v>
      </c>
      <c r="K65" s="9" t="s">
        <v>670</v>
      </c>
      <c r="L65" s="90" t="s">
        <v>703</v>
      </c>
      <c r="M65" s="93" t="s">
        <v>2270</v>
      </c>
      <c r="N65" s="11"/>
      <c r="O65" s="11"/>
      <c r="P65" s="12"/>
      <c r="Q65" s="13"/>
      <c r="R65" s="13"/>
      <c r="S65" s="13"/>
      <c r="T65" s="13"/>
      <c r="U65" s="13"/>
      <c r="V65" s="13"/>
      <c r="W65" s="13"/>
      <c r="X65" s="12"/>
      <c r="Y65" s="13"/>
      <c r="Z65" s="13"/>
      <c r="AA65" s="13"/>
      <c r="AB65" s="13"/>
      <c r="AC65" s="88"/>
      <c r="AD65" s="6"/>
      <c r="AE65" s="6"/>
      <c r="AF65" s="6"/>
    </row>
    <row r="66">
      <c r="A66" s="86" t="s">
        <v>2332</v>
      </c>
      <c r="B66" s="58" t="s">
        <v>1115</v>
      </c>
      <c r="C66" s="58" t="s">
        <v>690</v>
      </c>
      <c r="D66" s="92" t="s">
        <v>2333</v>
      </c>
      <c r="E66" s="24" t="str">
        <f>IF(ISNA(MATCH(A66, 'A-Z player stats'!A:A, 0)), "Delete", "Keep")</f>
        <v>Delete</v>
      </c>
      <c r="G66" s="8"/>
      <c r="H66" s="9"/>
      <c r="I66" s="7" t="s">
        <v>2332</v>
      </c>
      <c r="J66" s="9" t="s">
        <v>1115</v>
      </c>
      <c r="K66" s="9" t="s">
        <v>690</v>
      </c>
      <c r="L66" s="10" t="s">
        <v>707</v>
      </c>
      <c r="M66" s="87" t="s">
        <v>2270</v>
      </c>
      <c r="N66" s="11"/>
      <c r="O66" s="11"/>
      <c r="P66" s="12"/>
      <c r="Q66" s="13"/>
      <c r="R66" s="13"/>
      <c r="S66" s="13"/>
      <c r="T66" s="13"/>
      <c r="U66" s="13"/>
      <c r="V66" s="11"/>
      <c r="W66" s="13"/>
      <c r="X66" s="12"/>
      <c r="Y66" s="13"/>
      <c r="Z66" s="13"/>
      <c r="AA66" s="13"/>
      <c r="AB66" s="13"/>
      <c r="AC66" s="88"/>
      <c r="AD66" s="6"/>
      <c r="AE66" s="6"/>
      <c r="AF66" s="6"/>
    </row>
    <row r="67">
      <c r="A67" s="86" t="s">
        <v>2334</v>
      </c>
      <c r="B67" s="58" t="s">
        <v>1326</v>
      </c>
      <c r="C67" s="58" t="s">
        <v>699</v>
      </c>
      <c r="D67" s="89" t="s">
        <v>2335</v>
      </c>
      <c r="E67" s="24" t="str">
        <f>IF(ISNA(MATCH(A67, 'A-Z player stats'!A:A, 0)), "Delete", "Keep")</f>
        <v>Delete</v>
      </c>
      <c r="G67" s="8"/>
      <c r="H67" s="9"/>
      <c r="I67" s="7" t="s">
        <v>2334</v>
      </c>
      <c r="J67" s="9" t="s">
        <v>1326</v>
      </c>
      <c r="K67" s="9" t="s">
        <v>699</v>
      </c>
      <c r="L67" s="10" t="s">
        <v>671</v>
      </c>
      <c r="M67" s="87" t="s">
        <v>2270</v>
      </c>
      <c r="N67" s="15"/>
      <c r="O67" s="11"/>
      <c r="P67" s="10"/>
      <c r="Q67" s="11"/>
      <c r="R67" s="11"/>
      <c r="S67" s="11"/>
      <c r="T67" s="13"/>
      <c r="U67" s="13"/>
      <c r="V67" s="11"/>
      <c r="W67" s="13"/>
      <c r="X67" s="10"/>
      <c r="Y67" s="11"/>
      <c r="Z67" s="11"/>
      <c r="AA67" s="11"/>
      <c r="AB67" s="11"/>
      <c r="AC67" s="88"/>
      <c r="AD67" s="6"/>
      <c r="AE67" s="6"/>
      <c r="AF67" s="6"/>
    </row>
    <row r="68">
      <c r="A68" s="86" t="s">
        <v>2336</v>
      </c>
      <c r="B68" s="58" t="s">
        <v>1704</v>
      </c>
      <c r="C68" s="58" t="s">
        <v>676</v>
      </c>
      <c r="D68" s="91" t="s">
        <v>677</v>
      </c>
      <c r="E68" s="24" t="str">
        <f>IF(ISNA(MATCH(A68, 'A-Z player stats'!A:A, 0)), "Delete", "Keep")</f>
        <v>Delete</v>
      </c>
      <c r="G68" s="8"/>
      <c r="H68" s="9"/>
      <c r="I68" s="7" t="s">
        <v>2336</v>
      </c>
      <c r="J68" s="9" t="s">
        <v>1704</v>
      </c>
      <c r="K68" s="9" t="s">
        <v>676</v>
      </c>
      <c r="L68" s="90" t="s">
        <v>677</v>
      </c>
      <c r="M68" s="87" t="s">
        <v>2270</v>
      </c>
      <c r="N68" s="15"/>
      <c r="O68" s="11"/>
      <c r="P68" s="10"/>
      <c r="Q68" s="11"/>
      <c r="R68" s="11"/>
      <c r="S68" s="11"/>
      <c r="T68" s="13"/>
      <c r="U68" s="13"/>
      <c r="V68" s="11"/>
      <c r="W68" s="13"/>
      <c r="X68" s="10"/>
      <c r="Y68" s="11"/>
      <c r="Z68" s="11"/>
      <c r="AA68" s="11"/>
      <c r="AB68" s="11"/>
      <c r="AC68" s="88"/>
      <c r="AD68" s="6"/>
      <c r="AE68" s="6"/>
      <c r="AF68" s="6"/>
    </row>
    <row r="69">
      <c r="A69" s="86" t="s">
        <v>2337</v>
      </c>
      <c r="B69" s="58" t="s">
        <v>2088</v>
      </c>
      <c r="C69" s="58" t="s">
        <v>673</v>
      </c>
      <c r="D69" s="91" t="s">
        <v>701</v>
      </c>
      <c r="E69" s="24" t="str">
        <f>IF(ISNA(MATCH(A69, 'A-Z player stats'!A:A, 0)), "Delete", "Keep")</f>
        <v>Delete</v>
      </c>
      <c r="G69" s="8"/>
      <c r="H69" s="9"/>
      <c r="I69" s="7" t="s">
        <v>2337</v>
      </c>
      <c r="J69" s="9" t="s">
        <v>2088</v>
      </c>
      <c r="K69" s="9" t="s">
        <v>673</v>
      </c>
      <c r="L69" s="90" t="s">
        <v>701</v>
      </c>
      <c r="M69" s="87" t="s">
        <v>2270</v>
      </c>
      <c r="N69" s="11"/>
      <c r="O69" s="11"/>
      <c r="P69" s="10"/>
      <c r="Q69" s="11"/>
      <c r="R69" s="11"/>
      <c r="S69" s="11"/>
      <c r="T69" s="13"/>
      <c r="U69" s="13"/>
      <c r="V69" s="11"/>
      <c r="W69" s="13"/>
      <c r="X69" s="10"/>
      <c r="Y69" s="11"/>
      <c r="Z69" s="11"/>
      <c r="AA69" s="11"/>
      <c r="AB69" s="11"/>
      <c r="AC69" s="88"/>
      <c r="AD69" s="6"/>
      <c r="AE69" s="6"/>
      <c r="AF69" s="6"/>
    </row>
    <row r="70">
      <c r="A70" s="86" t="s">
        <v>2338</v>
      </c>
      <c r="B70" s="58" t="s">
        <v>1768</v>
      </c>
      <c r="C70" s="58" t="s">
        <v>810</v>
      </c>
      <c r="D70" s="79" t="s">
        <v>697</v>
      </c>
      <c r="E70" s="24" t="str">
        <f>IF(ISNA(MATCH(A70, 'A-Z player stats'!A:A, 0)), "Delete", "Keep")</f>
        <v>Delete</v>
      </c>
      <c r="G70" s="8"/>
      <c r="H70" s="9"/>
      <c r="I70" s="7" t="s">
        <v>2338</v>
      </c>
      <c r="J70" s="9" t="s">
        <v>1768</v>
      </c>
      <c r="K70" s="9" t="s">
        <v>810</v>
      </c>
      <c r="L70" s="90" t="s">
        <v>697</v>
      </c>
      <c r="M70" s="93" t="s">
        <v>2270</v>
      </c>
      <c r="N70" s="11"/>
      <c r="O70" s="13"/>
      <c r="P70" s="12"/>
      <c r="Q70" s="13"/>
      <c r="R70" s="13"/>
      <c r="S70" s="13"/>
      <c r="T70" s="13"/>
      <c r="U70" s="13"/>
      <c r="V70" s="13"/>
      <c r="W70" s="13"/>
      <c r="X70" s="12"/>
      <c r="Y70" s="13"/>
      <c r="Z70" s="13"/>
      <c r="AA70" s="13"/>
      <c r="AB70" s="13"/>
      <c r="AC70" s="88"/>
      <c r="AD70" s="6"/>
      <c r="AE70" s="6"/>
      <c r="AF70" s="6"/>
    </row>
    <row r="71">
      <c r="A71" s="86" t="s">
        <v>2339</v>
      </c>
      <c r="B71" s="58" t="s">
        <v>1331</v>
      </c>
      <c r="C71" s="58" t="s">
        <v>673</v>
      </c>
      <c r="D71" s="79" t="s">
        <v>702</v>
      </c>
      <c r="E71" s="24" t="str">
        <f>IF(ISNA(MATCH(A71, 'A-Z player stats'!A:A, 0)), "Delete", "Keep")</f>
        <v>Delete</v>
      </c>
      <c r="G71" s="8"/>
      <c r="H71" s="9"/>
      <c r="I71" s="7" t="s">
        <v>2339</v>
      </c>
      <c r="J71" s="9" t="s">
        <v>1331</v>
      </c>
      <c r="K71" s="9" t="s">
        <v>673</v>
      </c>
      <c r="L71" s="90" t="s">
        <v>702</v>
      </c>
      <c r="M71" s="87" t="s">
        <v>2270</v>
      </c>
      <c r="N71" s="15"/>
      <c r="O71" s="11"/>
      <c r="P71" s="10"/>
      <c r="Q71" s="11"/>
      <c r="R71" s="11"/>
      <c r="S71" s="11"/>
      <c r="T71" s="13"/>
      <c r="U71" s="13"/>
      <c r="V71" s="11"/>
      <c r="W71" s="13"/>
      <c r="X71" s="10"/>
      <c r="Y71" s="11"/>
      <c r="Z71" s="11"/>
      <c r="AA71" s="11"/>
      <c r="AB71" s="11"/>
      <c r="AC71" s="88"/>
      <c r="AD71" s="6"/>
      <c r="AE71" s="6"/>
      <c r="AF71" s="6"/>
    </row>
    <row r="72">
      <c r="A72" s="86" t="s">
        <v>2340</v>
      </c>
      <c r="B72" s="58" t="s">
        <v>1139</v>
      </c>
      <c r="C72" s="58" t="s">
        <v>810</v>
      </c>
      <c r="D72" s="83" t="s">
        <v>702</v>
      </c>
      <c r="E72" s="24" t="str">
        <f>IF(ISNA(MATCH(A72, 'A-Z player stats'!A:A, 0)), "Delete", "Keep")</f>
        <v>Delete</v>
      </c>
      <c r="G72" s="8"/>
      <c r="H72" s="9"/>
      <c r="I72" s="7" t="s">
        <v>2340</v>
      </c>
      <c r="J72" s="9" t="s">
        <v>1139</v>
      </c>
      <c r="K72" s="9" t="s">
        <v>810</v>
      </c>
      <c r="L72" s="90" t="s">
        <v>702</v>
      </c>
      <c r="M72" s="87" t="s">
        <v>2270</v>
      </c>
      <c r="N72" s="15"/>
      <c r="O72" s="11"/>
      <c r="P72" s="10"/>
      <c r="Q72" s="11"/>
      <c r="R72" s="11"/>
      <c r="S72" s="11"/>
      <c r="T72" s="13"/>
      <c r="U72" s="13"/>
      <c r="V72" s="11"/>
      <c r="W72" s="13"/>
      <c r="X72" s="10"/>
      <c r="Y72" s="11"/>
      <c r="Z72" s="11"/>
      <c r="AA72" s="11"/>
      <c r="AB72" s="11"/>
      <c r="AC72" s="88"/>
      <c r="AD72" s="6"/>
      <c r="AE72" s="6"/>
      <c r="AF72" s="6"/>
    </row>
    <row r="73">
      <c r="A73" s="86" t="s">
        <v>121</v>
      </c>
      <c r="B73" s="58" t="s">
        <v>1242</v>
      </c>
      <c r="C73" s="58" t="s">
        <v>705</v>
      </c>
      <c r="D73" s="79" t="s">
        <v>702</v>
      </c>
      <c r="E73" s="24" t="str">
        <f>IF(ISNA(MATCH(A73, 'A-Z player stats'!A:A, 0)), "Delete", "Keep")</f>
        <v>Keep</v>
      </c>
      <c r="G73" s="8"/>
      <c r="H73" s="9"/>
      <c r="I73" s="7" t="s">
        <v>121</v>
      </c>
      <c r="J73" s="9" t="s">
        <v>1242</v>
      </c>
      <c r="K73" s="9" t="s">
        <v>705</v>
      </c>
      <c r="L73" s="90" t="s">
        <v>702</v>
      </c>
      <c r="M73" s="87" t="s">
        <v>2267</v>
      </c>
      <c r="N73" s="15"/>
      <c r="O73" s="11"/>
      <c r="P73" s="12"/>
      <c r="Q73" s="13"/>
      <c r="R73" s="13"/>
      <c r="S73" s="13"/>
      <c r="T73" s="13"/>
      <c r="U73" s="13"/>
      <c r="V73" s="11"/>
      <c r="W73" s="13"/>
      <c r="X73" s="12"/>
      <c r="Y73" s="13"/>
      <c r="Z73" s="13"/>
      <c r="AA73" s="13"/>
      <c r="AB73" s="13"/>
      <c r="AC73" s="88"/>
      <c r="AD73" s="6"/>
      <c r="AE73" s="6"/>
      <c r="AF73" s="6"/>
    </row>
    <row r="74">
      <c r="A74" s="86" t="s">
        <v>123</v>
      </c>
      <c r="B74" s="58" t="s">
        <v>1319</v>
      </c>
      <c r="C74" s="58" t="s">
        <v>810</v>
      </c>
      <c r="D74" s="79" t="s">
        <v>677</v>
      </c>
      <c r="E74" s="24" t="str">
        <f>IF(ISNA(MATCH(A74, 'A-Z player stats'!A:A, 0)), "Delete", "Keep")</f>
        <v>Keep</v>
      </c>
      <c r="G74" s="8"/>
      <c r="H74" s="9"/>
      <c r="I74" s="7" t="s">
        <v>123</v>
      </c>
      <c r="J74" s="9" t="s">
        <v>1319</v>
      </c>
      <c r="K74" s="9" t="s">
        <v>810</v>
      </c>
      <c r="L74" s="90" t="s">
        <v>677</v>
      </c>
      <c r="M74" s="87" t="s">
        <v>2267</v>
      </c>
      <c r="N74" s="11"/>
      <c r="O74" s="11"/>
      <c r="P74" s="12"/>
      <c r="Q74" s="13"/>
      <c r="R74" s="13"/>
      <c r="S74" s="13"/>
      <c r="T74" s="13"/>
      <c r="U74" s="13"/>
      <c r="V74" s="13"/>
      <c r="W74" s="13"/>
      <c r="X74" s="12"/>
      <c r="Y74" s="13"/>
      <c r="Z74" s="13"/>
      <c r="AA74" s="13"/>
      <c r="AB74" s="13"/>
      <c r="AC74" s="88"/>
      <c r="AD74" s="6"/>
      <c r="AE74" s="6"/>
      <c r="AF74" s="6"/>
    </row>
    <row r="75">
      <c r="A75" s="86" t="s">
        <v>2341</v>
      </c>
      <c r="B75" s="58" t="s">
        <v>1425</v>
      </c>
      <c r="C75" s="58" t="s">
        <v>673</v>
      </c>
      <c r="D75" s="91" t="s">
        <v>700</v>
      </c>
      <c r="E75" s="24" t="str">
        <f>IF(ISNA(MATCH(A75, 'A-Z player stats'!A:A, 0)), "Delete", "Keep")</f>
        <v>Delete</v>
      </c>
      <c r="G75" s="8"/>
      <c r="H75" s="9"/>
      <c r="I75" s="7" t="s">
        <v>2341</v>
      </c>
      <c r="J75" s="9" t="s">
        <v>1425</v>
      </c>
      <c r="K75" s="9" t="s">
        <v>673</v>
      </c>
      <c r="L75" s="90" t="s">
        <v>700</v>
      </c>
      <c r="M75" s="87" t="s">
        <v>2270</v>
      </c>
      <c r="N75" s="15"/>
      <c r="O75" s="11"/>
      <c r="P75" s="10"/>
      <c r="Q75" s="11"/>
      <c r="R75" s="11"/>
      <c r="S75" s="11"/>
      <c r="T75" s="13"/>
      <c r="U75" s="13"/>
      <c r="V75" s="11"/>
      <c r="W75" s="13"/>
      <c r="X75" s="10"/>
      <c r="Y75" s="11"/>
      <c r="Z75" s="11"/>
      <c r="AA75" s="11"/>
      <c r="AB75" s="11"/>
      <c r="AC75" s="88"/>
      <c r="AD75" s="6"/>
      <c r="AE75" s="6"/>
      <c r="AF75" s="6"/>
    </row>
    <row r="76">
      <c r="A76" s="86" t="s">
        <v>125</v>
      </c>
      <c r="B76" s="58" t="s">
        <v>1334</v>
      </c>
      <c r="C76" s="58" t="s">
        <v>810</v>
      </c>
      <c r="D76" s="91" t="s">
        <v>700</v>
      </c>
      <c r="E76" s="24" t="str">
        <f>IF(ISNA(MATCH(A76, 'A-Z player stats'!A:A, 0)), "Delete", "Keep")</f>
        <v>Keep</v>
      </c>
      <c r="G76" s="8"/>
      <c r="H76" s="9"/>
      <c r="I76" s="7" t="s">
        <v>125</v>
      </c>
      <c r="J76" s="9" t="s">
        <v>1334</v>
      </c>
      <c r="K76" s="9" t="s">
        <v>810</v>
      </c>
      <c r="L76" s="90" t="s">
        <v>700</v>
      </c>
      <c r="M76" s="87" t="s">
        <v>2267</v>
      </c>
      <c r="N76" s="15"/>
      <c r="O76" s="11"/>
      <c r="P76" s="10"/>
      <c r="Q76" s="11"/>
      <c r="R76" s="11"/>
      <c r="S76" s="11"/>
      <c r="T76" s="13"/>
      <c r="U76" s="13"/>
      <c r="V76" s="11"/>
      <c r="W76" s="11"/>
      <c r="X76" s="10"/>
      <c r="Y76" s="11"/>
      <c r="Z76" s="11"/>
      <c r="AA76" s="11"/>
      <c r="AB76" s="11"/>
      <c r="AC76" s="88"/>
      <c r="AD76" s="6"/>
      <c r="AE76" s="6"/>
      <c r="AF76" s="6"/>
    </row>
    <row r="77">
      <c r="A77" s="86" t="s">
        <v>2342</v>
      </c>
      <c r="B77" s="58" t="s">
        <v>1373</v>
      </c>
      <c r="C77" s="58" t="s">
        <v>688</v>
      </c>
      <c r="D77" s="81" t="s">
        <v>2343</v>
      </c>
      <c r="E77" s="24" t="str">
        <f>IF(ISNA(MATCH(A77, 'A-Z player stats'!A:A, 0)), "Delete", "Keep")</f>
        <v>Delete</v>
      </c>
      <c r="G77" s="8"/>
      <c r="H77" s="9"/>
      <c r="I77" s="7" t="s">
        <v>2342</v>
      </c>
      <c r="J77" s="9" t="s">
        <v>1373</v>
      </c>
      <c r="K77" s="9" t="s">
        <v>688</v>
      </c>
      <c r="L77" s="10" t="s">
        <v>668</v>
      </c>
      <c r="M77" s="87" t="s">
        <v>2270</v>
      </c>
      <c r="N77" s="15"/>
      <c r="O77" s="11"/>
      <c r="P77" s="10"/>
      <c r="Q77" s="11"/>
      <c r="R77" s="11"/>
      <c r="S77" s="11"/>
      <c r="T77" s="13"/>
      <c r="U77" s="13"/>
      <c r="V77" s="11"/>
      <c r="W77" s="13"/>
      <c r="X77" s="10"/>
      <c r="Y77" s="11"/>
      <c r="Z77" s="11"/>
      <c r="AA77" s="11"/>
      <c r="AB77" s="11"/>
      <c r="AC77" s="88"/>
      <c r="AD77" s="6"/>
      <c r="AE77" s="6"/>
      <c r="AF77" s="6"/>
    </row>
    <row r="78">
      <c r="A78" s="86" t="s">
        <v>2344</v>
      </c>
      <c r="B78" s="58" t="s">
        <v>1198</v>
      </c>
      <c r="C78" s="58" t="s">
        <v>685</v>
      </c>
      <c r="D78" s="81" t="s">
        <v>2345</v>
      </c>
      <c r="E78" s="24" t="str">
        <f>IF(ISNA(MATCH(A78, 'A-Z player stats'!A:A, 0)), "Delete", "Keep")</f>
        <v>Delete</v>
      </c>
      <c r="G78" s="8"/>
      <c r="H78" s="9"/>
      <c r="I78" s="7" t="s">
        <v>2344</v>
      </c>
      <c r="J78" s="9" t="s">
        <v>1198</v>
      </c>
      <c r="K78" s="9" t="s">
        <v>685</v>
      </c>
      <c r="L78" s="10" t="s">
        <v>711</v>
      </c>
      <c r="M78" s="87" t="s">
        <v>2270</v>
      </c>
      <c r="N78" s="15"/>
      <c r="O78" s="11"/>
      <c r="P78" s="10"/>
      <c r="Q78" s="11"/>
      <c r="R78" s="11"/>
      <c r="S78" s="11"/>
      <c r="T78" s="13"/>
      <c r="U78" s="13"/>
      <c r="V78" s="11"/>
      <c r="W78" s="13"/>
      <c r="X78" s="10"/>
      <c r="Y78" s="11"/>
      <c r="Z78" s="11"/>
      <c r="AA78" s="11"/>
      <c r="AB78" s="11"/>
      <c r="AC78" s="88"/>
      <c r="AD78" s="6"/>
      <c r="AE78" s="6"/>
      <c r="AF78" s="6"/>
    </row>
    <row r="79">
      <c r="A79" s="86" t="s">
        <v>2346</v>
      </c>
      <c r="B79" s="58" t="s">
        <v>1770</v>
      </c>
      <c r="C79" s="58" t="s">
        <v>698</v>
      </c>
      <c r="D79" s="91" t="s">
        <v>697</v>
      </c>
      <c r="E79" s="24" t="str">
        <f>IF(ISNA(MATCH(A79, 'A-Z player stats'!A:A, 0)), "Delete", "Keep")</f>
        <v>Delete</v>
      </c>
      <c r="G79" s="8"/>
      <c r="H79" s="9"/>
      <c r="I79" s="7" t="s">
        <v>2346</v>
      </c>
      <c r="J79" s="9" t="s">
        <v>1770</v>
      </c>
      <c r="K79" s="9" t="s">
        <v>698</v>
      </c>
      <c r="L79" s="90" t="s">
        <v>697</v>
      </c>
      <c r="M79" s="87" t="s">
        <v>2270</v>
      </c>
      <c r="N79" s="15"/>
      <c r="O79" s="11"/>
      <c r="P79" s="10"/>
      <c r="Q79" s="11"/>
      <c r="R79" s="11"/>
      <c r="S79" s="11"/>
      <c r="T79" s="13"/>
      <c r="U79" s="13"/>
      <c r="V79" s="11"/>
      <c r="W79" s="13"/>
      <c r="X79" s="10"/>
      <c r="Y79" s="11"/>
      <c r="Z79" s="11"/>
      <c r="AA79" s="11"/>
      <c r="AB79" s="11"/>
      <c r="AC79" s="88"/>
      <c r="AD79" s="6"/>
      <c r="AE79" s="6"/>
      <c r="AF79" s="6"/>
    </row>
    <row r="80">
      <c r="A80" s="86" t="s">
        <v>127</v>
      </c>
      <c r="B80" s="58" t="s">
        <v>1633</v>
      </c>
      <c r="C80" s="58" t="s">
        <v>810</v>
      </c>
      <c r="D80" s="79" t="s">
        <v>677</v>
      </c>
      <c r="E80" s="24" t="str">
        <f>IF(ISNA(MATCH(A80, 'A-Z player stats'!A:A, 0)), "Delete", "Keep")</f>
        <v>Keep</v>
      </c>
      <c r="G80" s="8"/>
      <c r="H80" s="9"/>
      <c r="I80" s="7" t="s">
        <v>127</v>
      </c>
      <c r="J80" s="9" t="s">
        <v>1633</v>
      </c>
      <c r="K80" s="9" t="s">
        <v>810</v>
      </c>
      <c r="L80" s="90" t="s">
        <v>677</v>
      </c>
      <c r="M80" s="87" t="s">
        <v>2267</v>
      </c>
      <c r="N80" s="15"/>
      <c r="O80" s="11"/>
      <c r="P80" s="10"/>
      <c r="Q80" s="11"/>
      <c r="R80" s="11"/>
      <c r="S80" s="11"/>
      <c r="T80" s="13"/>
      <c r="U80" s="13"/>
      <c r="V80" s="11"/>
      <c r="W80" s="13"/>
      <c r="X80" s="10"/>
      <c r="Y80" s="11"/>
      <c r="Z80" s="11"/>
      <c r="AA80" s="11"/>
      <c r="AB80" s="11"/>
      <c r="AC80" s="88"/>
      <c r="AD80" s="6"/>
      <c r="AE80" s="6"/>
      <c r="AF80" s="6"/>
    </row>
    <row r="81">
      <c r="A81" s="86" t="s">
        <v>2347</v>
      </c>
      <c r="B81" s="58" t="s">
        <v>1146</v>
      </c>
      <c r="C81" s="58" t="s">
        <v>676</v>
      </c>
      <c r="D81" s="92" t="s">
        <v>2348</v>
      </c>
      <c r="E81" s="24" t="str">
        <f>IF(ISNA(MATCH(A81, 'A-Z player stats'!A:A, 0)), "Delete", "Keep")</f>
        <v>Delete</v>
      </c>
      <c r="G81" s="8"/>
      <c r="H81" s="9"/>
      <c r="I81" s="7" t="s">
        <v>2347</v>
      </c>
      <c r="J81" s="9" t="s">
        <v>1146</v>
      </c>
      <c r="K81" s="9" t="s">
        <v>676</v>
      </c>
      <c r="L81" s="10" t="s">
        <v>711</v>
      </c>
      <c r="M81" s="87" t="s">
        <v>2270</v>
      </c>
      <c r="N81" s="15"/>
      <c r="O81" s="11"/>
      <c r="P81" s="10"/>
      <c r="Q81" s="11"/>
      <c r="R81" s="11"/>
      <c r="S81" s="11"/>
      <c r="T81" s="13"/>
      <c r="U81" s="13"/>
      <c r="V81" s="11"/>
      <c r="W81" s="13"/>
      <c r="X81" s="10"/>
      <c r="Y81" s="11"/>
      <c r="Z81" s="11"/>
      <c r="AA81" s="11"/>
      <c r="AB81" s="11"/>
      <c r="AC81" s="88"/>
      <c r="AD81" s="6"/>
      <c r="AE81" s="6"/>
      <c r="AF81" s="6"/>
    </row>
    <row r="82">
      <c r="A82" s="86" t="s">
        <v>2349</v>
      </c>
      <c r="B82" s="58" t="s">
        <v>1863</v>
      </c>
      <c r="C82" s="58" t="s">
        <v>810</v>
      </c>
      <c r="D82" s="79" t="s">
        <v>701</v>
      </c>
      <c r="E82" s="24" t="str">
        <f>IF(ISNA(MATCH(A82, 'A-Z player stats'!A:A, 0)), "Delete", "Keep")</f>
        <v>Delete</v>
      </c>
      <c r="G82" s="8"/>
      <c r="H82" s="9"/>
      <c r="I82" s="7" t="s">
        <v>2349</v>
      </c>
      <c r="J82" s="9" t="s">
        <v>1863</v>
      </c>
      <c r="K82" s="9" t="s">
        <v>810</v>
      </c>
      <c r="L82" s="90" t="s">
        <v>701</v>
      </c>
      <c r="M82" s="87" t="s">
        <v>2270</v>
      </c>
      <c r="N82" s="15"/>
      <c r="O82" s="11"/>
      <c r="P82" s="12"/>
      <c r="Q82" s="13"/>
      <c r="R82" s="13"/>
      <c r="S82" s="13"/>
      <c r="T82" s="13"/>
      <c r="U82" s="13"/>
      <c r="V82" s="11"/>
      <c r="W82" s="13"/>
      <c r="X82" s="12"/>
      <c r="Y82" s="13"/>
      <c r="Z82" s="13"/>
      <c r="AA82" s="13"/>
      <c r="AB82" s="13"/>
      <c r="AC82" s="88"/>
      <c r="AD82" s="6"/>
      <c r="AE82" s="6"/>
      <c r="AF82" s="6"/>
    </row>
    <row r="83">
      <c r="A83" s="86" t="s">
        <v>2350</v>
      </c>
      <c r="B83" s="58" t="s">
        <v>2114</v>
      </c>
      <c r="C83" s="58" t="s">
        <v>810</v>
      </c>
      <c r="D83" s="79" t="s">
        <v>701</v>
      </c>
      <c r="E83" s="24" t="str">
        <f>IF(ISNA(MATCH(A83, 'A-Z player stats'!A:A, 0)), "Delete", "Keep")</f>
        <v>Delete</v>
      </c>
      <c r="G83" s="8"/>
      <c r="H83" s="9"/>
      <c r="I83" s="7" t="s">
        <v>2350</v>
      </c>
      <c r="J83" s="9" t="s">
        <v>2114</v>
      </c>
      <c r="K83" s="9" t="s">
        <v>810</v>
      </c>
      <c r="L83" s="90" t="s">
        <v>701</v>
      </c>
      <c r="M83" s="87" t="s">
        <v>2270</v>
      </c>
      <c r="N83" s="15"/>
      <c r="O83" s="11"/>
      <c r="P83" s="10"/>
      <c r="Q83" s="11"/>
      <c r="R83" s="11"/>
      <c r="S83" s="11"/>
      <c r="T83" s="13"/>
      <c r="U83" s="11"/>
      <c r="V83" s="11"/>
      <c r="W83" s="13"/>
      <c r="X83" s="10"/>
      <c r="Y83" s="11"/>
      <c r="Z83" s="11"/>
      <c r="AA83" s="11"/>
      <c r="AB83" s="11"/>
      <c r="AC83" s="88"/>
      <c r="AD83" s="6"/>
      <c r="AE83" s="6"/>
      <c r="AF83" s="6"/>
    </row>
    <row r="84">
      <c r="A84" s="86" t="s">
        <v>2351</v>
      </c>
      <c r="B84" s="58" t="s">
        <v>1871</v>
      </c>
      <c r="C84" s="58" t="s">
        <v>810</v>
      </c>
      <c r="D84" s="79" t="s">
        <v>708</v>
      </c>
      <c r="E84" s="24" t="str">
        <f>IF(ISNA(MATCH(A84, 'A-Z player stats'!A:A, 0)), "Delete", "Keep")</f>
        <v>Delete</v>
      </c>
      <c r="G84" s="8"/>
      <c r="H84" s="9"/>
      <c r="I84" s="7" t="s">
        <v>2351</v>
      </c>
      <c r="J84" s="9" t="s">
        <v>1871</v>
      </c>
      <c r="K84" s="9" t="s">
        <v>810</v>
      </c>
      <c r="L84" s="90" t="s">
        <v>708</v>
      </c>
      <c r="M84" s="87" t="s">
        <v>2270</v>
      </c>
      <c r="N84" s="15"/>
      <c r="O84" s="11"/>
      <c r="P84" s="10"/>
      <c r="Q84" s="11"/>
      <c r="R84" s="11"/>
      <c r="S84" s="11"/>
      <c r="T84" s="11"/>
      <c r="U84" s="11"/>
      <c r="V84" s="11"/>
      <c r="W84" s="13"/>
      <c r="X84" s="10"/>
      <c r="Y84" s="11"/>
      <c r="Z84" s="11"/>
      <c r="AA84" s="11"/>
      <c r="AB84" s="11"/>
      <c r="AC84" s="88"/>
      <c r="AD84" s="6"/>
      <c r="AE84" s="6"/>
      <c r="AF84" s="6"/>
    </row>
    <row r="85">
      <c r="A85" s="86" t="s">
        <v>134</v>
      </c>
      <c r="B85" s="58" t="s">
        <v>1828</v>
      </c>
      <c r="C85" s="58" t="s">
        <v>810</v>
      </c>
      <c r="D85" s="91" t="s">
        <v>706</v>
      </c>
      <c r="E85" s="24" t="str">
        <f>IF(ISNA(MATCH(A85, 'A-Z player stats'!A:A, 0)), "Delete", "Keep")</f>
        <v>Keep</v>
      </c>
      <c r="G85" s="8"/>
      <c r="H85" s="9"/>
      <c r="I85" s="7" t="s">
        <v>134</v>
      </c>
      <c r="J85" s="9" t="s">
        <v>1828</v>
      </c>
      <c r="K85" s="9" t="s">
        <v>810</v>
      </c>
      <c r="L85" s="90" t="s">
        <v>706</v>
      </c>
      <c r="M85" s="87" t="s">
        <v>2267</v>
      </c>
      <c r="N85" s="15"/>
      <c r="O85" s="11"/>
      <c r="P85" s="10"/>
      <c r="Q85" s="11"/>
      <c r="R85" s="11"/>
      <c r="S85" s="11"/>
      <c r="T85" s="13"/>
      <c r="U85" s="13"/>
      <c r="V85" s="11"/>
      <c r="W85" s="13"/>
      <c r="X85" s="10"/>
      <c r="Y85" s="11"/>
      <c r="Z85" s="11"/>
      <c r="AA85" s="11"/>
      <c r="AB85" s="11"/>
      <c r="AC85" s="88"/>
      <c r="AD85" s="6"/>
      <c r="AE85" s="6"/>
      <c r="AF85" s="6"/>
    </row>
    <row r="86">
      <c r="A86" s="86" t="s">
        <v>136</v>
      </c>
      <c r="B86" s="58" t="s">
        <v>2201</v>
      </c>
      <c r="C86" s="58" t="s">
        <v>685</v>
      </c>
      <c r="D86" s="89" t="s">
        <v>2352</v>
      </c>
      <c r="E86" s="24" t="str">
        <f>IF(ISNA(MATCH(A86, 'A-Z player stats'!A:A, 0)), "Delete", "Keep")</f>
        <v>Keep</v>
      </c>
      <c r="G86" s="8"/>
      <c r="H86" s="9"/>
      <c r="I86" s="7" t="s">
        <v>136</v>
      </c>
      <c r="J86" s="9" t="s">
        <v>2201</v>
      </c>
      <c r="K86" s="9" t="s">
        <v>685</v>
      </c>
      <c r="L86" s="10" t="s">
        <v>707</v>
      </c>
      <c r="M86" s="87" t="s">
        <v>2267</v>
      </c>
      <c r="N86" s="11"/>
      <c r="O86" s="11"/>
      <c r="P86" s="12"/>
      <c r="Q86" s="13"/>
      <c r="R86" s="13"/>
      <c r="S86" s="13"/>
      <c r="T86" s="13"/>
      <c r="U86" s="13"/>
      <c r="V86" s="11"/>
      <c r="W86" s="13"/>
      <c r="X86" s="12"/>
      <c r="Y86" s="13"/>
      <c r="Z86" s="13"/>
      <c r="AA86" s="13"/>
      <c r="AB86" s="13"/>
      <c r="AC86" s="88"/>
      <c r="AD86" s="6"/>
      <c r="AE86" s="6"/>
      <c r="AF86" s="6"/>
    </row>
    <row r="87">
      <c r="A87" s="86" t="s">
        <v>138</v>
      </c>
      <c r="B87" s="58" t="s">
        <v>1423</v>
      </c>
      <c r="C87" s="58" t="s">
        <v>810</v>
      </c>
      <c r="D87" s="83" t="s">
        <v>702</v>
      </c>
      <c r="E87" s="24" t="str">
        <f>IF(ISNA(MATCH(A87, 'A-Z player stats'!A:A, 0)), "Delete", "Keep")</f>
        <v>Keep</v>
      </c>
      <c r="G87" s="8"/>
      <c r="H87" s="9"/>
      <c r="I87" s="7" t="s">
        <v>138</v>
      </c>
      <c r="J87" s="9" t="s">
        <v>1423</v>
      </c>
      <c r="K87" s="9" t="s">
        <v>810</v>
      </c>
      <c r="L87" s="90" t="s">
        <v>702</v>
      </c>
      <c r="M87" s="87" t="s">
        <v>2267</v>
      </c>
      <c r="N87" s="11"/>
      <c r="O87" s="11"/>
      <c r="P87" s="10"/>
      <c r="Q87" s="11"/>
      <c r="R87" s="11"/>
      <c r="S87" s="11"/>
      <c r="T87" s="13"/>
      <c r="U87" s="13"/>
      <c r="V87" s="11"/>
      <c r="W87" s="13"/>
      <c r="X87" s="10"/>
      <c r="Y87" s="11"/>
      <c r="Z87" s="11"/>
      <c r="AA87" s="11"/>
      <c r="AB87" s="11"/>
      <c r="AC87" s="88"/>
      <c r="AD87" s="6"/>
      <c r="AE87" s="6"/>
      <c r="AF87" s="6"/>
    </row>
    <row r="88">
      <c r="A88" s="86" t="s">
        <v>2353</v>
      </c>
      <c r="B88" s="58" t="s">
        <v>1395</v>
      </c>
      <c r="C88" s="58" t="s">
        <v>810</v>
      </c>
      <c r="D88" s="91" t="s">
        <v>700</v>
      </c>
      <c r="E88" s="24" t="str">
        <f>IF(ISNA(MATCH(A88, 'A-Z player stats'!A:A, 0)), "Delete", "Keep")</f>
        <v>Delete</v>
      </c>
      <c r="G88" s="8"/>
      <c r="H88" s="9"/>
      <c r="I88" s="7" t="s">
        <v>2353</v>
      </c>
      <c r="J88" s="9" t="s">
        <v>1395</v>
      </c>
      <c r="K88" s="9" t="s">
        <v>810</v>
      </c>
      <c r="L88" s="90" t="s">
        <v>700</v>
      </c>
      <c r="M88" s="87" t="s">
        <v>2270</v>
      </c>
      <c r="N88" s="15"/>
      <c r="O88" s="11"/>
      <c r="P88" s="10"/>
      <c r="Q88" s="11"/>
      <c r="R88" s="11"/>
      <c r="S88" s="11"/>
      <c r="T88" s="11"/>
      <c r="U88" s="11"/>
      <c r="V88" s="11"/>
      <c r="W88" s="13"/>
      <c r="X88" s="10"/>
      <c r="Y88" s="11"/>
      <c r="Z88" s="11"/>
      <c r="AA88" s="11"/>
      <c r="AB88" s="11"/>
      <c r="AC88" s="88"/>
      <c r="AD88" s="6"/>
      <c r="AE88" s="6"/>
      <c r="AF88" s="6"/>
    </row>
    <row r="89">
      <c r="A89" s="86" t="s">
        <v>140</v>
      </c>
      <c r="B89" s="58" t="s">
        <v>1414</v>
      </c>
      <c r="C89" s="58" t="s">
        <v>810</v>
      </c>
      <c r="D89" s="83" t="s">
        <v>702</v>
      </c>
      <c r="E89" s="24" t="str">
        <f>IF(ISNA(MATCH(A89, 'A-Z player stats'!A:A, 0)), "Delete", "Keep")</f>
        <v>Keep</v>
      </c>
      <c r="G89" s="8"/>
      <c r="H89" s="9"/>
      <c r="I89" s="7" t="s">
        <v>140</v>
      </c>
      <c r="J89" s="9" t="s">
        <v>1414</v>
      </c>
      <c r="K89" s="9" t="s">
        <v>810</v>
      </c>
      <c r="L89" s="90" t="s">
        <v>702</v>
      </c>
      <c r="M89" s="87" t="s">
        <v>2267</v>
      </c>
      <c r="N89" s="11"/>
      <c r="O89" s="11"/>
      <c r="P89" s="12"/>
      <c r="Q89" s="13"/>
      <c r="R89" s="13"/>
      <c r="S89" s="13"/>
      <c r="T89" s="13"/>
      <c r="U89" s="13"/>
      <c r="V89" s="11"/>
      <c r="W89" s="13"/>
      <c r="X89" s="12"/>
      <c r="Y89" s="13"/>
      <c r="Z89" s="13"/>
      <c r="AA89" s="13"/>
      <c r="AB89" s="13"/>
      <c r="AC89" s="88"/>
      <c r="AD89" s="6"/>
      <c r="AE89" s="6"/>
      <c r="AF89" s="6"/>
    </row>
    <row r="90">
      <c r="A90" s="86" t="s">
        <v>2354</v>
      </c>
      <c r="B90" s="58" t="s">
        <v>1879</v>
      </c>
      <c r="C90" s="58" t="s">
        <v>810</v>
      </c>
      <c r="D90" s="79" t="s">
        <v>701</v>
      </c>
      <c r="E90" s="24" t="str">
        <f>IF(ISNA(MATCH(A90, 'A-Z player stats'!A:A, 0)), "Delete", "Keep")</f>
        <v>Delete</v>
      </c>
      <c r="G90" s="8"/>
      <c r="H90" s="9"/>
      <c r="I90" s="7" t="s">
        <v>2354</v>
      </c>
      <c r="J90" s="9" t="s">
        <v>1879</v>
      </c>
      <c r="K90" s="9" t="s">
        <v>810</v>
      </c>
      <c r="L90" s="90" t="s">
        <v>701</v>
      </c>
      <c r="M90" s="87" t="s">
        <v>2270</v>
      </c>
      <c r="N90" s="11"/>
      <c r="O90" s="11"/>
      <c r="P90" s="12"/>
      <c r="Q90" s="11"/>
      <c r="R90" s="11"/>
      <c r="S90" s="13"/>
      <c r="T90" s="13"/>
      <c r="U90" s="13"/>
      <c r="V90" s="11"/>
      <c r="W90" s="13"/>
      <c r="X90" s="12"/>
      <c r="Y90" s="11"/>
      <c r="Z90" s="11"/>
      <c r="AA90" s="13"/>
      <c r="AB90" s="11"/>
      <c r="AC90" s="88"/>
      <c r="AD90" s="6"/>
      <c r="AE90" s="6"/>
      <c r="AF90" s="6"/>
    </row>
    <row r="91">
      <c r="A91" s="86" t="s">
        <v>2355</v>
      </c>
      <c r="B91" s="58" t="s">
        <v>1167</v>
      </c>
      <c r="C91" s="58" t="s">
        <v>693</v>
      </c>
      <c r="D91" s="89" t="s">
        <v>2356</v>
      </c>
      <c r="E91" s="24" t="str">
        <f>IF(ISNA(MATCH(A91, 'A-Z player stats'!A:A, 0)), "Delete", "Keep")</f>
        <v>Delete</v>
      </c>
      <c r="G91" s="8"/>
      <c r="H91" s="9"/>
      <c r="I91" s="7" t="s">
        <v>2355</v>
      </c>
      <c r="J91" s="9" t="s">
        <v>1167</v>
      </c>
      <c r="K91" s="9" t="s">
        <v>693</v>
      </c>
      <c r="L91" s="10" t="s">
        <v>687</v>
      </c>
      <c r="M91" s="87" t="s">
        <v>2270</v>
      </c>
      <c r="N91" s="15"/>
      <c r="O91" s="11"/>
      <c r="P91" s="10"/>
      <c r="Q91" s="11"/>
      <c r="R91" s="11"/>
      <c r="S91" s="11"/>
      <c r="T91" s="13"/>
      <c r="U91" s="11"/>
      <c r="V91" s="11"/>
      <c r="W91" s="13"/>
      <c r="X91" s="10"/>
      <c r="Y91" s="11"/>
      <c r="Z91" s="11"/>
      <c r="AA91" s="11"/>
      <c r="AB91" s="11"/>
      <c r="AC91" s="88"/>
      <c r="AD91" s="6"/>
      <c r="AE91" s="6"/>
      <c r="AF91" s="6"/>
    </row>
    <row r="92">
      <c r="A92" s="86" t="s">
        <v>142</v>
      </c>
      <c r="B92" s="58" t="s">
        <v>1339</v>
      </c>
      <c r="C92" s="58" t="s">
        <v>810</v>
      </c>
      <c r="D92" s="79" t="s">
        <v>701</v>
      </c>
      <c r="E92" s="24" t="str">
        <f>IF(ISNA(MATCH(A92, 'A-Z player stats'!A:A, 0)), "Delete", "Keep")</f>
        <v>Keep</v>
      </c>
      <c r="G92" s="8"/>
      <c r="H92" s="9"/>
      <c r="I92" s="7" t="s">
        <v>142</v>
      </c>
      <c r="J92" s="9" t="s">
        <v>1339</v>
      </c>
      <c r="K92" s="9" t="s">
        <v>810</v>
      </c>
      <c r="L92" s="90" t="s">
        <v>701</v>
      </c>
      <c r="M92" s="87" t="s">
        <v>2267</v>
      </c>
      <c r="N92" s="15"/>
      <c r="O92" s="11"/>
      <c r="P92" s="12"/>
      <c r="Q92" s="13"/>
      <c r="R92" s="13"/>
      <c r="S92" s="13"/>
      <c r="T92" s="13"/>
      <c r="U92" s="13"/>
      <c r="V92" s="11"/>
      <c r="W92" s="13"/>
      <c r="X92" s="12"/>
      <c r="Y92" s="13"/>
      <c r="Z92" s="13"/>
      <c r="AA92" s="13"/>
      <c r="AB92" s="13"/>
      <c r="AC92" s="88"/>
      <c r="AD92" s="6"/>
      <c r="AE92" s="6"/>
      <c r="AF92" s="6"/>
    </row>
    <row r="93">
      <c r="A93" s="86" t="s">
        <v>144</v>
      </c>
      <c r="B93" s="58" t="s">
        <v>1987</v>
      </c>
      <c r="C93" s="58" t="s">
        <v>810</v>
      </c>
      <c r="D93" s="79" t="s">
        <v>708</v>
      </c>
      <c r="E93" s="24" t="str">
        <f>IF(ISNA(MATCH(A93, 'A-Z player stats'!A:A, 0)), "Delete", "Keep")</f>
        <v>Keep</v>
      </c>
      <c r="G93" s="8"/>
      <c r="H93" s="9"/>
      <c r="I93" s="7" t="s">
        <v>144</v>
      </c>
      <c r="J93" s="9" t="s">
        <v>1987</v>
      </c>
      <c r="K93" s="9" t="s">
        <v>810</v>
      </c>
      <c r="L93" s="90" t="s">
        <v>708</v>
      </c>
      <c r="M93" s="87" t="s">
        <v>2267</v>
      </c>
      <c r="N93" s="15"/>
      <c r="O93" s="11"/>
      <c r="P93" s="10"/>
      <c r="Q93" s="11"/>
      <c r="R93" s="11"/>
      <c r="S93" s="11"/>
      <c r="T93" s="13"/>
      <c r="U93" s="13"/>
      <c r="V93" s="13"/>
      <c r="W93" s="13"/>
      <c r="X93" s="10"/>
      <c r="Y93" s="11"/>
      <c r="Z93" s="11"/>
      <c r="AA93" s="11"/>
      <c r="AB93" s="11"/>
      <c r="AC93" s="88"/>
      <c r="AD93" s="6"/>
      <c r="AE93" s="6"/>
      <c r="AF93" s="6"/>
    </row>
    <row r="94">
      <c r="A94" s="86" t="s">
        <v>146</v>
      </c>
      <c r="B94" s="58" t="s">
        <v>1383</v>
      </c>
      <c r="C94" s="58" t="s">
        <v>699</v>
      </c>
      <c r="D94" s="89" t="s">
        <v>2357</v>
      </c>
      <c r="E94" s="24" t="str">
        <f>IF(ISNA(MATCH(A94, 'A-Z player stats'!A:A, 0)), "Delete", "Keep")</f>
        <v>Keep</v>
      </c>
      <c r="G94" s="8"/>
      <c r="H94" s="9"/>
      <c r="I94" s="7" t="s">
        <v>146</v>
      </c>
      <c r="J94" s="9" t="s">
        <v>1383</v>
      </c>
      <c r="K94" s="9" t="s">
        <v>699</v>
      </c>
      <c r="L94" s="10" t="s">
        <v>671</v>
      </c>
      <c r="M94" s="87" t="s">
        <v>2267</v>
      </c>
      <c r="N94" s="15"/>
      <c r="O94" s="11"/>
      <c r="P94" s="10"/>
      <c r="Q94" s="13"/>
      <c r="R94" s="11"/>
      <c r="S94" s="11"/>
      <c r="T94" s="13"/>
      <c r="U94" s="13"/>
      <c r="V94" s="11"/>
      <c r="W94" s="13"/>
      <c r="X94" s="10"/>
      <c r="Y94" s="13"/>
      <c r="Z94" s="11"/>
      <c r="AA94" s="11"/>
      <c r="AB94" s="11"/>
      <c r="AC94" s="88"/>
      <c r="AD94" s="6"/>
      <c r="AE94" s="6"/>
      <c r="AF94" s="6"/>
    </row>
    <row r="95">
      <c r="A95" s="86" t="s">
        <v>2358</v>
      </c>
      <c r="B95" s="58" t="s">
        <v>1383</v>
      </c>
      <c r="C95" s="58" t="s">
        <v>699</v>
      </c>
      <c r="D95" s="92" t="s">
        <v>2359</v>
      </c>
      <c r="E95" s="24" t="str">
        <f>IF(ISNA(MATCH(A95, 'A-Z player stats'!A:A, 0)), "Delete", "Keep")</f>
        <v>Delete</v>
      </c>
      <c r="G95" s="8"/>
      <c r="H95" s="9"/>
      <c r="I95" s="7" t="s">
        <v>2358</v>
      </c>
      <c r="J95" s="9" t="s">
        <v>1383</v>
      </c>
      <c r="K95" s="9" t="s">
        <v>699</v>
      </c>
      <c r="L95" s="10" t="s">
        <v>671</v>
      </c>
      <c r="M95" s="87" t="s">
        <v>2270</v>
      </c>
      <c r="N95" s="15"/>
      <c r="O95" s="11"/>
      <c r="P95" s="10"/>
      <c r="Q95" s="11"/>
      <c r="R95" s="11"/>
      <c r="S95" s="11"/>
      <c r="T95" s="11"/>
      <c r="U95" s="11"/>
      <c r="V95" s="11"/>
      <c r="W95" s="13"/>
      <c r="X95" s="10"/>
      <c r="Y95" s="11"/>
      <c r="Z95" s="11"/>
      <c r="AA95" s="11"/>
      <c r="AB95" s="11"/>
      <c r="AC95" s="88"/>
      <c r="AD95" s="6"/>
      <c r="AE95" s="6"/>
      <c r="AF95" s="6"/>
    </row>
    <row r="96">
      <c r="A96" s="86" t="s">
        <v>148</v>
      </c>
      <c r="B96" s="58" t="s">
        <v>1139</v>
      </c>
      <c r="C96" s="58" t="s">
        <v>810</v>
      </c>
      <c r="D96" s="79" t="s">
        <v>701</v>
      </c>
      <c r="E96" s="24" t="str">
        <f>IF(ISNA(MATCH(A96, 'A-Z player stats'!A:A, 0)), "Delete", "Keep")</f>
        <v>Keep</v>
      </c>
      <c r="G96" s="8"/>
      <c r="H96" s="9"/>
      <c r="I96" s="7" t="s">
        <v>148</v>
      </c>
      <c r="J96" s="9" t="s">
        <v>1139</v>
      </c>
      <c r="K96" s="9" t="s">
        <v>810</v>
      </c>
      <c r="L96" s="90" t="s">
        <v>701</v>
      </c>
      <c r="M96" s="93" t="s">
        <v>2267</v>
      </c>
      <c r="N96" s="11"/>
      <c r="O96" s="11"/>
      <c r="P96" s="12"/>
      <c r="Q96" s="13"/>
      <c r="R96" s="13"/>
      <c r="S96" s="13"/>
      <c r="T96" s="13"/>
      <c r="U96" s="13"/>
      <c r="V96" s="13"/>
      <c r="W96" s="13"/>
      <c r="X96" s="12"/>
      <c r="Y96" s="13"/>
      <c r="Z96" s="13"/>
      <c r="AA96" s="13"/>
      <c r="AB96" s="13"/>
      <c r="AC96" s="88"/>
      <c r="AD96" s="6"/>
      <c r="AE96" s="6"/>
      <c r="AF96" s="6"/>
    </row>
    <row r="97">
      <c r="A97" s="86" t="s">
        <v>2360</v>
      </c>
      <c r="B97" s="58" t="s">
        <v>1725</v>
      </c>
      <c r="C97" s="58" t="s">
        <v>688</v>
      </c>
      <c r="D97" s="79" t="s">
        <v>697</v>
      </c>
      <c r="E97" s="24" t="str">
        <f>IF(ISNA(MATCH(A97, 'A-Z player stats'!A:A, 0)), "Delete", "Keep")</f>
        <v>Delete</v>
      </c>
      <c r="G97" s="8"/>
      <c r="H97" s="9"/>
      <c r="I97" s="7" t="s">
        <v>2360</v>
      </c>
      <c r="J97" s="9" t="s">
        <v>1725</v>
      </c>
      <c r="K97" s="9" t="s">
        <v>688</v>
      </c>
      <c r="L97" s="90" t="s">
        <v>697</v>
      </c>
      <c r="M97" s="87" t="s">
        <v>2270</v>
      </c>
      <c r="N97" s="11"/>
      <c r="O97" s="11"/>
      <c r="P97" s="10"/>
      <c r="Q97" s="11"/>
      <c r="R97" s="11"/>
      <c r="S97" s="11"/>
      <c r="T97" s="13"/>
      <c r="U97" s="13"/>
      <c r="V97" s="11"/>
      <c r="W97" s="13"/>
      <c r="X97" s="10"/>
      <c r="Y97" s="11"/>
      <c r="Z97" s="11"/>
      <c r="AA97" s="11"/>
      <c r="AB97" s="11"/>
      <c r="AC97" s="88"/>
      <c r="AD97" s="6"/>
      <c r="AE97" s="6"/>
      <c r="AF97" s="6"/>
    </row>
    <row r="98">
      <c r="A98" s="86" t="s">
        <v>150</v>
      </c>
      <c r="B98" s="58" t="s">
        <v>1184</v>
      </c>
      <c r="C98" s="58" t="s">
        <v>688</v>
      </c>
      <c r="D98" s="81" t="s">
        <v>2361</v>
      </c>
      <c r="E98" s="24" t="str">
        <f>IF(ISNA(MATCH(A98, 'A-Z player stats'!A:A, 0)), "Delete", "Keep")</f>
        <v>Keep</v>
      </c>
      <c r="G98" s="8"/>
      <c r="H98" s="9"/>
      <c r="I98" s="7" t="s">
        <v>150</v>
      </c>
      <c r="J98" s="9" t="s">
        <v>1184</v>
      </c>
      <c r="K98" s="9" t="s">
        <v>688</v>
      </c>
      <c r="L98" s="10" t="s">
        <v>671</v>
      </c>
      <c r="M98" s="87" t="s">
        <v>2267</v>
      </c>
      <c r="N98" s="15"/>
      <c r="O98" s="11"/>
      <c r="P98" s="10"/>
      <c r="Q98" s="11"/>
      <c r="R98" s="11"/>
      <c r="S98" s="11"/>
      <c r="T98" s="13"/>
      <c r="U98" s="13"/>
      <c r="V98" s="11"/>
      <c r="W98" s="13"/>
      <c r="X98" s="10"/>
      <c r="Y98" s="11"/>
      <c r="Z98" s="11"/>
      <c r="AA98" s="11"/>
      <c r="AB98" s="11"/>
      <c r="AC98" s="88"/>
      <c r="AD98" s="6"/>
      <c r="AE98" s="6"/>
      <c r="AF98" s="6"/>
    </row>
    <row r="99">
      <c r="A99" s="86" t="s">
        <v>152</v>
      </c>
      <c r="B99" s="58" t="s">
        <v>1776</v>
      </c>
      <c r="C99" s="58" t="s">
        <v>678</v>
      </c>
      <c r="D99" s="91" t="s">
        <v>697</v>
      </c>
      <c r="E99" s="24" t="str">
        <f>IF(ISNA(MATCH(A99, 'A-Z player stats'!A:A, 0)), "Delete", "Keep")</f>
        <v>Keep</v>
      </c>
      <c r="G99" s="8"/>
      <c r="H99" s="9"/>
      <c r="I99" s="7" t="s">
        <v>152</v>
      </c>
      <c r="J99" s="9" t="s">
        <v>1776</v>
      </c>
      <c r="K99" s="9" t="s">
        <v>678</v>
      </c>
      <c r="L99" s="90" t="s">
        <v>697</v>
      </c>
      <c r="M99" s="93" t="s">
        <v>2267</v>
      </c>
      <c r="N99" s="11"/>
      <c r="O99" s="11"/>
      <c r="P99" s="12"/>
      <c r="Q99" s="13"/>
      <c r="R99" s="13"/>
      <c r="S99" s="13"/>
      <c r="T99" s="13"/>
      <c r="U99" s="13"/>
      <c r="V99" s="13"/>
      <c r="W99" s="13"/>
      <c r="X99" s="12"/>
      <c r="Y99" s="13"/>
      <c r="Z99" s="13"/>
      <c r="AA99" s="13"/>
      <c r="AB99" s="13"/>
      <c r="AC99" s="88"/>
      <c r="AD99" s="6"/>
      <c r="AE99" s="6"/>
      <c r="AF99" s="6"/>
    </row>
    <row r="100">
      <c r="A100" s="86" t="s">
        <v>154</v>
      </c>
      <c r="B100" s="58" t="s">
        <v>1271</v>
      </c>
      <c r="C100" s="58" t="s">
        <v>685</v>
      </c>
      <c r="D100" s="81" t="s">
        <v>2362</v>
      </c>
      <c r="E100" s="24" t="str">
        <f>IF(ISNA(MATCH(A100, 'A-Z player stats'!A:A, 0)), "Delete", "Keep")</f>
        <v>Keep</v>
      </c>
      <c r="G100" s="8"/>
      <c r="H100" s="9"/>
      <c r="I100" s="7" t="s">
        <v>154</v>
      </c>
      <c r="J100" s="9" t="s">
        <v>1271</v>
      </c>
      <c r="K100" s="9" t="s">
        <v>685</v>
      </c>
      <c r="L100" s="10" t="s">
        <v>671</v>
      </c>
      <c r="M100" s="87" t="s">
        <v>2267</v>
      </c>
      <c r="N100" s="15"/>
      <c r="O100" s="11"/>
      <c r="P100" s="10"/>
      <c r="Q100" s="11"/>
      <c r="R100" s="11"/>
      <c r="S100" s="11"/>
      <c r="T100" s="13"/>
      <c r="U100" s="13"/>
      <c r="V100" s="11"/>
      <c r="W100" s="13"/>
      <c r="X100" s="10"/>
      <c r="Y100" s="11"/>
      <c r="Z100" s="11"/>
      <c r="AA100" s="11"/>
      <c r="AB100" s="11"/>
      <c r="AC100" s="88"/>
      <c r="AD100" s="6"/>
      <c r="AE100" s="6"/>
      <c r="AF100" s="6"/>
    </row>
    <row r="101">
      <c r="A101" s="86" t="s">
        <v>156</v>
      </c>
      <c r="B101" s="58" t="s">
        <v>1139</v>
      </c>
      <c r="C101" s="58" t="s">
        <v>810</v>
      </c>
      <c r="D101" s="79" t="s">
        <v>708</v>
      </c>
      <c r="E101" s="24" t="str">
        <f>IF(ISNA(MATCH(A101, 'A-Z player stats'!A:A, 0)), "Delete", "Keep")</f>
        <v>Keep</v>
      </c>
      <c r="G101" s="8"/>
      <c r="H101" s="9"/>
      <c r="I101" s="7" t="s">
        <v>156</v>
      </c>
      <c r="J101" s="9" t="s">
        <v>1139</v>
      </c>
      <c r="K101" s="9" t="s">
        <v>810</v>
      </c>
      <c r="L101" s="90" t="s">
        <v>708</v>
      </c>
      <c r="M101" s="87" t="s">
        <v>2267</v>
      </c>
      <c r="N101" s="15"/>
      <c r="O101" s="11"/>
      <c r="P101" s="10"/>
      <c r="Q101" s="11"/>
      <c r="R101" s="11"/>
      <c r="S101" s="11"/>
      <c r="T101" s="13"/>
      <c r="U101" s="13"/>
      <c r="V101" s="11"/>
      <c r="W101" s="13"/>
      <c r="X101" s="10"/>
      <c r="Y101" s="11"/>
      <c r="Z101" s="11"/>
      <c r="AA101" s="11"/>
      <c r="AB101" s="11"/>
      <c r="AC101" s="88"/>
      <c r="AD101" s="6"/>
      <c r="AE101" s="6"/>
      <c r="AF101" s="6"/>
    </row>
    <row r="102">
      <c r="A102" s="86" t="s">
        <v>159</v>
      </c>
      <c r="B102" s="58" t="s">
        <v>1677</v>
      </c>
      <c r="C102" s="58" t="s">
        <v>690</v>
      </c>
      <c r="D102" s="79" t="s">
        <v>703</v>
      </c>
      <c r="E102" s="24" t="str">
        <f>IF(ISNA(MATCH(A102, 'A-Z player stats'!A:A, 0)), "Delete", "Keep")</f>
        <v>Keep</v>
      </c>
      <c r="G102" s="8"/>
      <c r="H102" s="9"/>
      <c r="I102" s="7" t="s">
        <v>159</v>
      </c>
      <c r="J102" s="9" t="s">
        <v>1677</v>
      </c>
      <c r="K102" s="9" t="s">
        <v>690</v>
      </c>
      <c r="L102" s="90" t="s">
        <v>703</v>
      </c>
      <c r="M102" s="87" t="s">
        <v>2267</v>
      </c>
      <c r="N102" s="11"/>
      <c r="O102" s="11"/>
      <c r="P102" s="12"/>
      <c r="Q102" s="13"/>
      <c r="R102" s="13"/>
      <c r="S102" s="13"/>
      <c r="T102" s="13"/>
      <c r="U102" s="13"/>
      <c r="V102" s="13"/>
      <c r="W102" s="13"/>
      <c r="X102" s="12"/>
      <c r="Y102" s="13"/>
      <c r="Z102" s="13"/>
      <c r="AA102" s="13"/>
      <c r="AB102" s="13"/>
      <c r="AC102" s="88"/>
      <c r="AD102" s="6"/>
      <c r="AE102" s="6"/>
      <c r="AF102" s="6"/>
    </row>
    <row r="103">
      <c r="A103" s="86" t="s">
        <v>161</v>
      </c>
      <c r="B103" s="58" t="s">
        <v>1877</v>
      </c>
      <c r="C103" s="58" t="s">
        <v>810</v>
      </c>
      <c r="D103" s="79" t="s">
        <v>706</v>
      </c>
      <c r="E103" s="24" t="str">
        <f>IF(ISNA(MATCH(A103, 'A-Z player stats'!A:A, 0)), "Delete", "Keep")</f>
        <v>Keep</v>
      </c>
      <c r="G103" s="8"/>
      <c r="H103" s="9"/>
      <c r="I103" s="7" t="s">
        <v>161</v>
      </c>
      <c r="J103" s="9" t="s">
        <v>1877</v>
      </c>
      <c r="K103" s="9" t="s">
        <v>810</v>
      </c>
      <c r="L103" s="90" t="s">
        <v>706</v>
      </c>
      <c r="M103" s="87" t="s">
        <v>2267</v>
      </c>
      <c r="N103" s="11"/>
      <c r="O103" s="11"/>
      <c r="P103" s="10"/>
      <c r="Q103" s="11"/>
      <c r="R103" s="11"/>
      <c r="S103" s="11"/>
      <c r="T103" s="13"/>
      <c r="U103" s="13"/>
      <c r="V103" s="11"/>
      <c r="W103" s="13"/>
      <c r="X103" s="10"/>
      <c r="Y103" s="11"/>
      <c r="Z103" s="11"/>
      <c r="AA103" s="11"/>
      <c r="AB103" s="11"/>
      <c r="AC103" s="88"/>
      <c r="AD103" s="6"/>
      <c r="AE103" s="6"/>
      <c r="AF103" s="6"/>
    </row>
    <row r="104">
      <c r="A104" s="86" t="s">
        <v>2363</v>
      </c>
      <c r="B104" s="58" t="s">
        <v>1554</v>
      </c>
      <c r="C104" s="58" t="s">
        <v>704</v>
      </c>
      <c r="D104" s="92" t="s">
        <v>2364</v>
      </c>
      <c r="E104" s="24" t="str">
        <f>IF(ISNA(MATCH(A104, 'A-Z player stats'!A:A, 0)), "Delete", "Keep")</f>
        <v>Delete</v>
      </c>
      <c r="G104" s="8"/>
      <c r="H104" s="9"/>
      <c r="I104" s="7" t="s">
        <v>2363</v>
      </c>
      <c r="J104" s="9" t="s">
        <v>1554</v>
      </c>
      <c r="K104" s="9" t="s">
        <v>704</v>
      </c>
      <c r="L104" s="10" t="s">
        <v>695</v>
      </c>
      <c r="M104" s="87" t="s">
        <v>2270</v>
      </c>
      <c r="N104" s="11"/>
      <c r="O104" s="11"/>
      <c r="P104" s="10"/>
      <c r="Q104" s="13"/>
      <c r="R104" s="11"/>
      <c r="S104" s="11"/>
      <c r="T104" s="13"/>
      <c r="U104" s="11"/>
      <c r="V104" s="11"/>
      <c r="W104" s="13"/>
      <c r="X104" s="10"/>
      <c r="Y104" s="13"/>
      <c r="Z104" s="11"/>
      <c r="AA104" s="11"/>
      <c r="AB104" s="11"/>
      <c r="AC104" s="88"/>
      <c r="AD104" s="6"/>
      <c r="AE104" s="6"/>
      <c r="AF104" s="6"/>
    </row>
    <row r="105">
      <c r="A105" s="86" t="s">
        <v>2365</v>
      </c>
      <c r="B105" s="58" t="s">
        <v>1376</v>
      </c>
      <c r="C105" s="58" t="s">
        <v>685</v>
      </c>
      <c r="D105" s="92" t="s">
        <v>2366</v>
      </c>
      <c r="E105" s="24" t="str">
        <f>IF(ISNA(MATCH(A105, 'A-Z player stats'!A:A, 0)), "Delete", "Keep")</f>
        <v>Delete</v>
      </c>
      <c r="G105" s="8"/>
      <c r="H105" s="9"/>
      <c r="I105" s="7" t="s">
        <v>2365</v>
      </c>
      <c r="J105" s="9" t="s">
        <v>1376</v>
      </c>
      <c r="K105" s="9" t="s">
        <v>685</v>
      </c>
      <c r="L105" s="10" t="s">
        <v>668</v>
      </c>
      <c r="M105" s="87" t="s">
        <v>2270</v>
      </c>
      <c r="N105" s="15"/>
      <c r="O105" s="11"/>
      <c r="P105" s="10"/>
      <c r="Q105" s="11"/>
      <c r="R105" s="11"/>
      <c r="S105" s="11"/>
      <c r="T105" s="11"/>
      <c r="U105" s="11"/>
      <c r="V105" s="11"/>
      <c r="W105" s="11"/>
      <c r="X105" s="10"/>
      <c r="Y105" s="11"/>
      <c r="Z105" s="11"/>
      <c r="AA105" s="11"/>
      <c r="AB105" s="11"/>
      <c r="AC105" s="88"/>
      <c r="AD105" s="6"/>
      <c r="AE105" s="6"/>
      <c r="AF105" s="6"/>
    </row>
    <row r="106">
      <c r="A106" s="86" t="s">
        <v>2367</v>
      </c>
      <c r="B106" s="58" t="s">
        <v>2069</v>
      </c>
      <c r="C106" s="58" t="s">
        <v>685</v>
      </c>
      <c r="D106" s="78" t="s">
        <v>2368</v>
      </c>
      <c r="E106" s="24" t="str">
        <f>IF(ISNA(MATCH(A106, 'A-Z player stats'!A:A, 0)), "Delete", "Keep")</f>
        <v>Delete</v>
      </c>
      <c r="G106" s="8"/>
      <c r="H106" s="9"/>
      <c r="I106" s="7" t="s">
        <v>2367</v>
      </c>
      <c r="J106" s="9" t="s">
        <v>2069</v>
      </c>
      <c r="K106" s="9" t="s">
        <v>685</v>
      </c>
      <c r="L106" s="10" t="s">
        <v>671</v>
      </c>
      <c r="M106" s="87" t="s">
        <v>2270</v>
      </c>
      <c r="N106" s="11"/>
      <c r="O106" s="11"/>
      <c r="P106" s="12"/>
      <c r="Q106" s="13"/>
      <c r="R106" s="13"/>
      <c r="S106" s="13"/>
      <c r="T106" s="13"/>
      <c r="U106" s="13"/>
      <c r="V106" s="11"/>
      <c r="W106" s="13"/>
      <c r="X106" s="12"/>
      <c r="Y106" s="13"/>
      <c r="Z106" s="13"/>
      <c r="AA106" s="13"/>
      <c r="AB106" s="13"/>
      <c r="AC106" s="88"/>
      <c r="AD106" s="6"/>
      <c r="AE106" s="6"/>
      <c r="AF106" s="6"/>
    </row>
    <row r="107">
      <c r="A107" s="86" t="s">
        <v>163</v>
      </c>
      <c r="B107" s="58" t="s">
        <v>1201</v>
      </c>
      <c r="C107" s="58" t="s">
        <v>698</v>
      </c>
      <c r="D107" s="91" t="s">
        <v>700</v>
      </c>
      <c r="E107" s="24" t="str">
        <f>IF(ISNA(MATCH(A107, 'A-Z player stats'!A:A, 0)), "Delete", "Keep")</f>
        <v>Keep</v>
      </c>
      <c r="G107" s="8"/>
      <c r="H107" s="9"/>
      <c r="I107" s="7" t="s">
        <v>163</v>
      </c>
      <c r="J107" s="9" t="s">
        <v>1201</v>
      </c>
      <c r="K107" s="9" t="s">
        <v>698</v>
      </c>
      <c r="L107" s="90" t="s">
        <v>700</v>
      </c>
      <c r="M107" s="87" t="s">
        <v>2267</v>
      </c>
      <c r="N107" s="15"/>
      <c r="O107" s="11"/>
      <c r="P107" s="12"/>
      <c r="Q107" s="13"/>
      <c r="R107" s="13"/>
      <c r="S107" s="13"/>
      <c r="T107" s="13"/>
      <c r="U107" s="13"/>
      <c r="V107" s="11"/>
      <c r="W107" s="13"/>
      <c r="X107" s="12"/>
      <c r="Y107" s="13"/>
      <c r="Z107" s="13"/>
      <c r="AA107" s="13"/>
      <c r="AB107" s="13"/>
      <c r="AC107" s="88"/>
      <c r="AD107" s="6"/>
      <c r="AE107" s="6"/>
      <c r="AF107" s="6"/>
    </row>
    <row r="108">
      <c r="A108" s="86" t="s">
        <v>165</v>
      </c>
      <c r="B108" s="58" t="s">
        <v>1720</v>
      </c>
      <c r="C108" s="58" t="s">
        <v>690</v>
      </c>
      <c r="D108" s="81" t="s">
        <v>2369</v>
      </c>
      <c r="E108" s="24" t="str">
        <f>IF(ISNA(MATCH(A108, 'A-Z player stats'!A:A, 0)), "Delete", "Keep")</f>
        <v>Keep</v>
      </c>
      <c r="G108" s="8"/>
      <c r="H108" s="9"/>
      <c r="I108" s="7" t="s">
        <v>165</v>
      </c>
      <c r="J108" s="9" t="s">
        <v>1720</v>
      </c>
      <c r="K108" s="9" t="s">
        <v>690</v>
      </c>
      <c r="L108" s="10" t="s">
        <v>671</v>
      </c>
      <c r="M108" s="87" t="s">
        <v>2267</v>
      </c>
      <c r="N108" s="15"/>
      <c r="O108" s="11"/>
      <c r="P108" s="12"/>
      <c r="Q108" s="11"/>
      <c r="R108" s="11"/>
      <c r="S108" s="13"/>
      <c r="T108" s="13"/>
      <c r="U108" s="13"/>
      <c r="V108" s="11"/>
      <c r="W108" s="13"/>
      <c r="X108" s="12"/>
      <c r="Y108" s="11"/>
      <c r="Z108" s="11"/>
      <c r="AA108" s="13"/>
      <c r="AB108" s="11"/>
      <c r="AC108" s="88"/>
      <c r="AD108" s="6"/>
      <c r="AE108" s="6"/>
      <c r="AF108" s="6"/>
    </row>
    <row r="109">
      <c r="A109" s="86" t="s">
        <v>167</v>
      </c>
      <c r="B109" s="58" t="s">
        <v>1720</v>
      </c>
      <c r="C109" s="58" t="s">
        <v>690</v>
      </c>
      <c r="D109" s="81" t="s">
        <v>2370</v>
      </c>
      <c r="E109" s="24" t="str">
        <f>IF(ISNA(MATCH(A109, 'A-Z player stats'!A:A, 0)), "Delete", "Keep")</f>
        <v>Keep</v>
      </c>
      <c r="G109" s="8"/>
      <c r="H109" s="9"/>
      <c r="I109" s="7" t="s">
        <v>167</v>
      </c>
      <c r="J109" s="9" t="s">
        <v>1720</v>
      </c>
      <c r="K109" s="9" t="s">
        <v>690</v>
      </c>
      <c r="L109" s="10" t="s">
        <v>671</v>
      </c>
      <c r="M109" s="87" t="s">
        <v>2267</v>
      </c>
      <c r="N109" s="15"/>
      <c r="O109" s="11"/>
      <c r="P109" s="12"/>
      <c r="Q109" s="11"/>
      <c r="R109" s="11"/>
      <c r="S109" s="13"/>
      <c r="T109" s="13"/>
      <c r="U109" s="13"/>
      <c r="V109" s="11"/>
      <c r="W109" s="13"/>
      <c r="X109" s="12"/>
      <c r="Y109" s="11"/>
      <c r="Z109" s="11"/>
      <c r="AA109" s="13"/>
      <c r="AB109" s="11"/>
      <c r="AC109" s="88"/>
      <c r="AD109" s="6"/>
      <c r="AE109" s="6"/>
      <c r="AF109" s="6"/>
    </row>
    <row r="110">
      <c r="A110" s="86" t="s">
        <v>169</v>
      </c>
      <c r="B110" s="58" t="s">
        <v>1365</v>
      </c>
      <c r="C110" s="58" t="s">
        <v>810</v>
      </c>
      <c r="D110" s="92" t="s">
        <v>2371</v>
      </c>
      <c r="E110" s="24" t="str">
        <f>IF(ISNA(MATCH(A110, 'A-Z player stats'!A:A, 0)), "Delete", "Keep")</f>
        <v>Keep</v>
      </c>
      <c r="G110" s="8"/>
      <c r="H110" s="9"/>
      <c r="I110" s="7" t="s">
        <v>169</v>
      </c>
      <c r="J110" s="9" t="s">
        <v>1365</v>
      </c>
      <c r="K110" s="9" t="s">
        <v>810</v>
      </c>
      <c r="L110" s="10" t="s">
        <v>707</v>
      </c>
      <c r="M110" s="87" t="s">
        <v>2267</v>
      </c>
      <c r="N110" s="15"/>
      <c r="O110" s="11"/>
      <c r="P110" s="10"/>
      <c r="Q110" s="13"/>
      <c r="R110" s="11"/>
      <c r="S110" s="11"/>
      <c r="T110" s="13"/>
      <c r="U110" s="13"/>
      <c r="V110" s="13"/>
      <c r="W110" s="13"/>
      <c r="X110" s="10"/>
      <c r="Y110" s="13"/>
      <c r="Z110" s="11"/>
      <c r="AA110" s="11"/>
      <c r="AB110" s="11"/>
      <c r="AC110" s="88"/>
      <c r="AD110" s="6"/>
      <c r="AE110" s="6"/>
      <c r="AF110" s="6"/>
    </row>
    <row r="111">
      <c r="A111" s="86" t="s">
        <v>2372</v>
      </c>
      <c r="B111" s="58" t="s">
        <v>1214</v>
      </c>
      <c r="C111" s="58" t="s">
        <v>670</v>
      </c>
      <c r="D111" s="79" t="s">
        <v>702</v>
      </c>
      <c r="E111" s="24" t="str">
        <f>IF(ISNA(MATCH(A111, 'A-Z player stats'!A:A, 0)), "Delete", "Keep")</f>
        <v>Delete</v>
      </c>
      <c r="G111" s="8"/>
      <c r="H111" s="9"/>
      <c r="I111" s="7" t="s">
        <v>2372</v>
      </c>
      <c r="J111" s="9" t="s">
        <v>1214</v>
      </c>
      <c r="K111" s="9" t="s">
        <v>670</v>
      </c>
      <c r="L111" s="90" t="s">
        <v>702</v>
      </c>
      <c r="M111" s="93" t="s">
        <v>2270</v>
      </c>
      <c r="N111" s="11"/>
      <c r="O111" s="11"/>
      <c r="P111" s="12"/>
      <c r="Q111" s="13"/>
      <c r="R111" s="13"/>
      <c r="S111" s="13"/>
      <c r="T111" s="13"/>
      <c r="U111" s="13"/>
      <c r="V111" s="13"/>
      <c r="W111" s="13"/>
      <c r="X111" s="12"/>
      <c r="Y111" s="13"/>
      <c r="Z111" s="13"/>
      <c r="AA111" s="13"/>
      <c r="AB111" s="13"/>
      <c r="AC111" s="88"/>
      <c r="AD111" s="6"/>
      <c r="AE111" s="6"/>
      <c r="AF111" s="6"/>
    </row>
    <row r="112">
      <c r="A112" s="86" t="s">
        <v>171</v>
      </c>
      <c r="B112" s="58" t="s">
        <v>1139</v>
      </c>
      <c r="C112" s="58" t="s">
        <v>810</v>
      </c>
      <c r="D112" s="79" t="s">
        <v>706</v>
      </c>
      <c r="E112" s="24" t="str">
        <f>IF(ISNA(MATCH(A112, 'A-Z player stats'!A:A, 0)), "Delete", "Keep")</f>
        <v>Keep</v>
      </c>
      <c r="G112" s="8"/>
      <c r="H112" s="9"/>
      <c r="I112" s="7" t="s">
        <v>171</v>
      </c>
      <c r="J112" s="9" t="s">
        <v>1139</v>
      </c>
      <c r="K112" s="9" t="s">
        <v>810</v>
      </c>
      <c r="L112" s="90" t="s">
        <v>706</v>
      </c>
      <c r="M112" s="87" t="s">
        <v>2267</v>
      </c>
      <c r="N112" s="11"/>
      <c r="O112" s="11"/>
      <c r="P112" s="12"/>
      <c r="Q112" s="13"/>
      <c r="R112" s="13"/>
      <c r="S112" s="13"/>
      <c r="T112" s="13"/>
      <c r="U112" s="13"/>
      <c r="V112" s="13"/>
      <c r="W112" s="11"/>
      <c r="X112" s="12"/>
      <c r="Y112" s="13"/>
      <c r="Z112" s="13"/>
      <c r="AA112" s="13"/>
      <c r="AB112" s="13"/>
      <c r="AC112" s="88"/>
      <c r="AD112" s="6"/>
      <c r="AE112" s="6"/>
      <c r="AF112" s="6"/>
    </row>
    <row r="113">
      <c r="A113" s="86" t="s">
        <v>173</v>
      </c>
      <c r="B113" s="58" t="s">
        <v>2259</v>
      </c>
      <c r="C113" s="58" t="s">
        <v>709</v>
      </c>
      <c r="D113" s="79" t="s">
        <v>691</v>
      </c>
      <c r="E113" s="24" t="str">
        <f>IF(ISNA(MATCH(A113, 'A-Z player stats'!A:A, 0)), "Delete", "Keep")</f>
        <v>Keep</v>
      </c>
      <c r="G113" s="8"/>
      <c r="H113" s="9"/>
      <c r="I113" s="7" t="s">
        <v>173</v>
      </c>
      <c r="J113" s="9" t="s">
        <v>2259</v>
      </c>
      <c r="K113" s="9" t="s">
        <v>709</v>
      </c>
      <c r="L113" s="90" t="s">
        <v>691</v>
      </c>
      <c r="M113" s="93" t="s">
        <v>2267</v>
      </c>
      <c r="N113" s="11"/>
      <c r="O113" s="13"/>
      <c r="P113" s="12"/>
      <c r="Q113" s="13"/>
      <c r="R113" s="13"/>
      <c r="S113" s="13"/>
      <c r="T113" s="13"/>
      <c r="U113" s="13"/>
      <c r="V113" s="13"/>
      <c r="W113" s="13"/>
      <c r="X113" s="12"/>
      <c r="Y113" s="13"/>
      <c r="Z113" s="13"/>
      <c r="AA113" s="13"/>
      <c r="AB113" s="13"/>
      <c r="AC113" s="88"/>
      <c r="AD113" s="6"/>
      <c r="AE113" s="6"/>
      <c r="AF113" s="6"/>
    </row>
    <row r="114">
      <c r="A114" s="86" t="s">
        <v>2373</v>
      </c>
      <c r="B114" s="58" t="s">
        <v>1548</v>
      </c>
      <c r="C114" s="58" t="s">
        <v>688</v>
      </c>
      <c r="D114" s="89" t="s">
        <v>2374</v>
      </c>
      <c r="E114" s="24" t="str">
        <f>IF(ISNA(MATCH(A114, 'A-Z player stats'!A:A, 0)), "Delete", "Keep")</f>
        <v>Delete</v>
      </c>
      <c r="G114" s="8"/>
      <c r="H114" s="9"/>
      <c r="I114" s="7" t="s">
        <v>2373</v>
      </c>
      <c r="J114" s="9" t="s">
        <v>1548</v>
      </c>
      <c r="K114" s="9" t="s">
        <v>688</v>
      </c>
      <c r="L114" s="10" t="s">
        <v>695</v>
      </c>
      <c r="M114" s="87" t="s">
        <v>2270</v>
      </c>
      <c r="N114" s="15"/>
      <c r="O114" s="11"/>
      <c r="P114" s="10"/>
      <c r="Q114" s="11"/>
      <c r="R114" s="11"/>
      <c r="S114" s="11"/>
      <c r="T114" s="13"/>
      <c r="U114" s="11"/>
      <c r="V114" s="11"/>
      <c r="W114" s="13"/>
      <c r="X114" s="10"/>
      <c r="Y114" s="11"/>
      <c r="Z114" s="11"/>
      <c r="AA114" s="11"/>
      <c r="AB114" s="11"/>
      <c r="AC114" s="88"/>
      <c r="AD114" s="6"/>
      <c r="AE114" s="6"/>
      <c r="AF114" s="6"/>
    </row>
    <row r="115">
      <c r="A115" s="86" t="s">
        <v>2375</v>
      </c>
      <c r="B115" s="58" t="s">
        <v>1804</v>
      </c>
      <c r="C115" s="58" t="s">
        <v>678</v>
      </c>
      <c r="D115" s="79" t="s">
        <v>708</v>
      </c>
      <c r="E115" s="24" t="str">
        <f>IF(ISNA(MATCH(A115, 'A-Z player stats'!A:A, 0)), "Delete", "Keep")</f>
        <v>Delete</v>
      </c>
      <c r="G115" s="8"/>
      <c r="H115" s="9"/>
      <c r="I115" s="7" t="s">
        <v>2375</v>
      </c>
      <c r="J115" s="9" t="s">
        <v>1804</v>
      </c>
      <c r="K115" s="9" t="s">
        <v>678</v>
      </c>
      <c r="L115" s="90" t="s">
        <v>708</v>
      </c>
      <c r="M115" s="87" t="s">
        <v>2270</v>
      </c>
      <c r="N115" s="15"/>
      <c r="O115" s="11"/>
      <c r="P115" s="12"/>
      <c r="Q115" s="11"/>
      <c r="R115" s="11"/>
      <c r="S115" s="13"/>
      <c r="T115" s="13"/>
      <c r="U115" s="13"/>
      <c r="V115" s="11"/>
      <c r="W115" s="13"/>
      <c r="X115" s="12"/>
      <c r="Y115" s="11"/>
      <c r="Z115" s="11"/>
      <c r="AA115" s="13"/>
      <c r="AB115" s="11"/>
      <c r="AC115" s="88"/>
      <c r="AD115" s="6"/>
      <c r="AE115" s="6"/>
      <c r="AF115" s="6"/>
    </row>
    <row r="116">
      <c r="A116" s="86" t="s">
        <v>175</v>
      </c>
      <c r="B116" s="58" t="s">
        <v>2155</v>
      </c>
      <c r="C116" s="58" t="s">
        <v>710</v>
      </c>
      <c r="D116" s="78" t="s">
        <v>2376</v>
      </c>
      <c r="E116" s="24" t="str">
        <f>IF(ISNA(MATCH(A116, 'A-Z player stats'!A:A, 0)), "Delete", "Keep")</f>
        <v>Keep</v>
      </c>
      <c r="G116" s="8"/>
      <c r="H116" s="9"/>
      <c r="I116" s="7" t="s">
        <v>175</v>
      </c>
      <c r="J116" s="9" t="s">
        <v>2155</v>
      </c>
      <c r="K116" s="9" t="s">
        <v>710</v>
      </c>
      <c r="L116" s="10" t="s">
        <v>711</v>
      </c>
      <c r="M116" s="87" t="s">
        <v>2267</v>
      </c>
      <c r="N116" s="11"/>
      <c r="O116" s="11"/>
      <c r="P116" s="12"/>
      <c r="Q116" s="13"/>
      <c r="R116" s="13"/>
      <c r="S116" s="13"/>
      <c r="T116" s="13"/>
      <c r="U116" s="13"/>
      <c r="V116" s="11"/>
      <c r="W116" s="13"/>
      <c r="X116" s="12"/>
      <c r="Y116" s="13"/>
      <c r="Z116" s="13"/>
      <c r="AA116" s="13"/>
      <c r="AB116" s="13"/>
      <c r="AC116" s="88"/>
      <c r="AD116" s="6"/>
      <c r="AE116" s="6"/>
      <c r="AF116" s="6"/>
    </row>
    <row r="117">
      <c r="A117" s="86" t="s">
        <v>177</v>
      </c>
      <c r="B117" s="58" t="s">
        <v>1584</v>
      </c>
      <c r="C117" s="58" t="s">
        <v>688</v>
      </c>
      <c r="D117" s="91" t="s">
        <v>703</v>
      </c>
      <c r="E117" s="24" t="str">
        <f>IF(ISNA(MATCH(A117, 'A-Z player stats'!A:A, 0)), "Delete", "Keep")</f>
        <v>Keep</v>
      </c>
      <c r="G117" s="8"/>
      <c r="H117" s="9"/>
      <c r="I117" s="7" t="s">
        <v>177</v>
      </c>
      <c r="J117" s="9" t="s">
        <v>1584</v>
      </c>
      <c r="K117" s="9" t="s">
        <v>688</v>
      </c>
      <c r="L117" s="90" t="s">
        <v>703</v>
      </c>
      <c r="M117" s="87" t="s">
        <v>2267</v>
      </c>
      <c r="N117" s="11"/>
      <c r="O117" s="11"/>
      <c r="P117" s="10"/>
      <c r="Q117" s="11"/>
      <c r="R117" s="11"/>
      <c r="S117" s="11"/>
      <c r="T117" s="13"/>
      <c r="U117" s="13"/>
      <c r="V117" s="11"/>
      <c r="W117" s="13"/>
      <c r="X117" s="10"/>
      <c r="Y117" s="11"/>
      <c r="Z117" s="11"/>
      <c r="AA117" s="11"/>
      <c r="AB117" s="11"/>
      <c r="AC117" s="88"/>
      <c r="AD117" s="6"/>
      <c r="AE117" s="6"/>
      <c r="AF117" s="6"/>
    </row>
    <row r="118">
      <c r="A118" s="86" t="s">
        <v>2377</v>
      </c>
      <c r="B118" s="58" t="s">
        <v>1728</v>
      </c>
      <c r="C118" s="58" t="s">
        <v>676</v>
      </c>
      <c r="D118" s="91" t="s">
        <v>697</v>
      </c>
      <c r="E118" s="24" t="str">
        <f>IF(ISNA(MATCH(A118, 'A-Z player stats'!A:A, 0)), "Delete", "Keep")</f>
        <v>Delete</v>
      </c>
      <c r="G118" s="8"/>
      <c r="H118" s="9"/>
      <c r="I118" s="7" t="s">
        <v>2377</v>
      </c>
      <c r="J118" s="9" t="s">
        <v>1728</v>
      </c>
      <c r="K118" s="9" t="s">
        <v>676</v>
      </c>
      <c r="L118" s="90" t="s">
        <v>697</v>
      </c>
      <c r="M118" s="87" t="s">
        <v>2270</v>
      </c>
      <c r="N118" s="11"/>
      <c r="O118" s="11"/>
      <c r="P118" s="12"/>
      <c r="Q118" s="13"/>
      <c r="R118" s="13"/>
      <c r="S118" s="13"/>
      <c r="T118" s="13"/>
      <c r="U118" s="13"/>
      <c r="V118" s="11"/>
      <c r="W118" s="13"/>
      <c r="X118" s="12"/>
      <c r="Y118" s="13"/>
      <c r="Z118" s="13"/>
      <c r="AA118" s="13"/>
      <c r="AB118" s="13"/>
      <c r="AC118" s="88"/>
      <c r="AD118" s="6"/>
      <c r="AE118" s="6"/>
      <c r="AF118" s="6"/>
    </row>
    <row r="119">
      <c r="A119" s="86" t="s">
        <v>2378</v>
      </c>
      <c r="B119" s="58" t="s">
        <v>1560</v>
      </c>
      <c r="C119" s="58" t="s">
        <v>709</v>
      </c>
      <c r="D119" s="91" t="s">
        <v>703</v>
      </c>
      <c r="E119" s="24" t="str">
        <f>IF(ISNA(MATCH(A119, 'A-Z player stats'!A:A, 0)), "Delete", "Keep")</f>
        <v>Delete</v>
      </c>
      <c r="G119" s="8"/>
      <c r="H119" s="9"/>
      <c r="I119" s="7" t="s">
        <v>2378</v>
      </c>
      <c r="J119" s="9" t="s">
        <v>1560</v>
      </c>
      <c r="K119" s="9" t="s">
        <v>709</v>
      </c>
      <c r="L119" s="90" t="s">
        <v>703</v>
      </c>
      <c r="M119" s="87" t="s">
        <v>2270</v>
      </c>
      <c r="N119" s="15"/>
      <c r="O119" s="11"/>
      <c r="P119" s="10"/>
      <c r="Q119" s="13"/>
      <c r="R119" s="11"/>
      <c r="S119" s="11"/>
      <c r="T119" s="13"/>
      <c r="U119" s="13"/>
      <c r="V119" s="11"/>
      <c r="W119" s="13"/>
      <c r="X119" s="10"/>
      <c r="Y119" s="13"/>
      <c r="Z119" s="11"/>
      <c r="AA119" s="11"/>
      <c r="AB119" s="11"/>
      <c r="AC119" s="88"/>
      <c r="AD119" s="6"/>
      <c r="AE119" s="6"/>
      <c r="AF119" s="6"/>
    </row>
    <row r="120">
      <c r="A120" s="86" t="s">
        <v>2379</v>
      </c>
      <c r="B120" s="58" t="s">
        <v>1867</v>
      </c>
      <c r="C120" s="58" t="s">
        <v>709</v>
      </c>
      <c r="D120" s="91" t="s">
        <v>706</v>
      </c>
      <c r="E120" s="24" t="str">
        <f>IF(ISNA(MATCH(A120, 'A-Z player stats'!A:A, 0)), "Delete", "Keep")</f>
        <v>Delete</v>
      </c>
      <c r="G120" s="8"/>
      <c r="H120" s="9"/>
      <c r="I120" s="7" t="s">
        <v>2379</v>
      </c>
      <c r="J120" s="9" t="s">
        <v>1867</v>
      </c>
      <c r="K120" s="9" t="s">
        <v>709</v>
      </c>
      <c r="L120" s="90" t="s">
        <v>706</v>
      </c>
      <c r="M120" s="87" t="s">
        <v>2270</v>
      </c>
      <c r="N120" s="11"/>
      <c r="O120" s="11"/>
      <c r="P120" s="12"/>
      <c r="Q120" s="11"/>
      <c r="R120" s="11"/>
      <c r="S120" s="13"/>
      <c r="T120" s="13"/>
      <c r="U120" s="13"/>
      <c r="V120" s="11"/>
      <c r="W120" s="11"/>
      <c r="X120" s="12"/>
      <c r="Y120" s="11"/>
      <c r="Z120" s="11"/>
      <c r="AA120" s="13"/>
      <c r="AB120" s="11"/>
      <c r="AC120" s="88"/>
      <c r="AD120" s="6"/>
      <c r="AE120" s="6"/>
      <c r="AF120" s="6"/>
    </row>
    <row r="121">
      <c r="A121" s="86" t="s">
        <v>179</v>
      </c>
      <c r="B121" s="58" t="s">
        <v>1800</v>
      </c>
      <c r="C121" s="58" t="s">
        <v>712</v>
      </c>
      <c r="D121" s="79" t="s">
        <v>706</v>
      </c>
      <c r="E121" s="24" t="str">
        <f>IF(ISNA(MATCH(A121, 'A-Z player stats'!A:A, 0)), "Delete", "Keep")</f>
        <v>Keep</v>
      </c>
      <c r="G121" s="8"/>
      <c r="H121" s="9"/>
      <c r="I121" s="7" t="s">
        <v>179</v>
      </c>
      <c r="J121" s="9" t="s">
        <v>1800</v>
      </c>
      <c r="K121" s="9" t="s">
        <v>712</v>
      </c>
      <c r="L121" s="90" t="s">
        <v>706</v>
      </c>
      <c r="M121" s="87" t="s">
        <v>2267</v>
      </c>
      <c r="N121" s="15"/>
      <c r="O121" s="11"/>
      <c r="P121" s="12"/>
      <c r="Q121" s="13"/>
      <c r="R121" s="13"/>
      <c r="S121" s="13"/>
      <c r="T121" s="13"/>
      <c r="U121" s="13"/>
      <c r="V121" s="11"/>
      <c r="W121" s="13"/>
      <c r="X121" s="12"/>
      <c r="Y121" s="13"/>
      <c r="Z121" s="13"/>
      <c r="AA121" s="13"/>
      <c r="AB121" s="13"/>
      <c r="AC121" s="88"/>
      <c r="AD121" s="6"/>
      <c r="AE121" s="6"/>
      <c r="AF121" s="6"/>
    </row>
    <row r="122">
      <c r="A122" s="86" t="s">
        <v>2380</v>
      </c>
      <c r="B122" s="58" t="s">
        <v>1139</v>
      </c>
      <c r="C122" s="58" t="s">
        <v>810</v>
      </c>
      <c r="D122" s="79" t="s">
        <v>708</v>
      </c>
      <c r="E122" s="24" t="str">
        <f>IF(ISNA(MATCH(A122, 'A-Z player stats'!A:A, 0)), "Delete", "Keep")</f>
        <v>Delete</v>
      </c>
      <c r="G122" s="8"/>
      <c r="H122" s="9"/>
      <c r="I122" s="7" t="s">
        <v>2380</v>
      </c>
      <c r="J122" s="9" t="s">
        <v>1139</v>
      </c>
      <c r="K122" s="9" t="s">
        <v>810</v>
      </c>
      <c r="L122" s="90" t="s">
        <v>708</v>
      </c>
      <c r="M122" s="87" t="s">
        <v>2270</v>
      </c>
      <c r="N122" s="15"/>
      <c r="O122" s="11"/>
      <c r="P122" s="10"/>
      <c r="Q122" s="11"/>
      <c r="R122" s="11"/>
      <c r="S122" s="11"/>
      <c r="T122" s="13"/>
      <c r="U122" s="13"/>
      <c r="V122" s="11"/>
      <c r="W122" s="13"/>
      <c r="X122" s="10"/>
      <c r="Y122" s="11"/>
      <c r="Z122" s="11"/>
      <c r="AA122" s="11"/>
      <c r="AB122" s="11"/>
      <c r="AC122" s="88"/>
      <c r="AD122" s="6"/>
      <c r="AE122" s="6"/>
      <c r="AF122" s="6"/>
    </row>
    <row r="123">
      <c r="A123" s="86" t="s">
        <v>2381</v>
      </c>
      <c r="B123" s="58" t="s">
        <v>1891</v>
      </c>
      <c r="C123" s="58" t="s">
        <v>676</v>
      </c>
      <c r="D123" s="91" t="s">
        <v>701</v>
      </c>
      <c r="E123" s="24" t="str">
        <f>IF(ISNA(MATCH(A123, 'A-Z player stats'!A:A, 0)), "Delete", "Keep")</f>
        <v>Delete</v>
      </c>
      <c r="G123" s="8"/>
      <c r="H123" s="9"/>
      <c r="I123" s="7" t="s">
        <v>2381</v>
      </c>
      <c r="J123" s="9" t="s">
        <v>1891</v>
      </c>
      <c r="K123" s="9" t="s">
        <v>676</v>
      </c>
      <c r="L123" s="90" t="s">
        <v>701</v>
      </c>
      <c r="M123" s="87" t="s">
        <v>2270</v>
      </c>
      <c r="N123" s="11"/>
      <c r="O123" s="11"/>
      <c r="P123" s="12"/>
      <c r="Q123" s="11"/>
      <c r="R123" s="11"/>
      <c r="S123" s="13"/>
      <c r="T123" s="13"/>
      <c r="U123" s="13"/>
      <c r="V123" s="11"/>
      <c r="W123" s="11"/>
      <c r="X123" s="12"/>
      <c r="Y123" s="11"/>
      <c r="Z123" s="11"/>
      <c r="AA123" s="13"/>
      <c r="AB123" s="11"/>
      <c r="AC123" s="88"/>
      <c r="AD123" s="6"/>
      <c r="AE123" s="6"/>
      <c r="AF123" s="6"/>
    </row>
    <row r="124">
      <c r="A124" s="86" t="s">
        <v>183</v>
      </c>
      <c r="B124" s="58" t="s">
        <v>1965</v>
      </c>
      <c r="C124" s="58" t="s">
        <v>670</v>
      </c>
      <c r="D124" s="91" t="s">
        <v>706</v>
      </c>
      <c r="E124" s="24" t="str">
        <f>IF(ISNA(MATCH(A124, 'A-Z player stats'!A:A, 0)), "Delete", "Keep")</f>
        <v>Keep</v>
      </c>
      <c r="G124" s="8"/>
      <c r="H124" s="9"/>
      <c r="I124" s="7" t="s">
        <v>183</v>
      </c>
      <c r="J124" s="9" t="s">
        <v>1965</v>
      </c>
      <c r="K124" s="9" t="s">
        <v>670</v>
      </c>
      <c r="L124" s="90" t="s">
        <v>706</v>
      </c>
      <c r="M124" s="87" t="s">
        <v>2267</v>
      </c>
      <c r="N124" s="15"/>
      <c r="O124" s="11"/>
      <c r="P124" s="10"/>
      <c r="Q124" s="13"/>
      <c r="R124" s="11"/>
      <c r="S124" s="11"/>
      <c r="T124" s="13"/>
      <c r="U124" s="13"/>
      <c r="V124" s="11"/>
      <c r="W124" s="11"/>
      <c r="X124" s="10"/>
      <c r="Y124" s="13"/>
      <c r="Z124" s="11"/>
      <c r="AA124" s="11"/>
      <c r="AB124" s="11"/>
      <c r="AC124" s="88"/>
      <c r="AD124" s="6"/>
      <c r="AE124" s="6"/>
      <c r="AF124" s="6"/>
    </row>
    <row r="125">
      <c r="A125" s="86" t="s">
        <v>185</v>
      </c>
      <c r="B125" s="58" t="s">
        <v>1810</v>
      </c>
      <c r="C125" s="58" t="s">
        <v>693</v>
      </c>
      <c r="D125" s="91" t="s">
        <v>708</v>
      </c>
      <c r="E125" s="24" t="str">
        <f>IF(ISNA(MATCH(A125, 'A-Z player stats'!A:A, 0)), "Delete", "Keep")</f>
        <v>Keep</v>
      </c>
      <c r="G125" s="8"/>
      <c r="H125" s="9"/>
      <c r="I125" s="7" t="s">
        <v>185</v>
      </c>
      <c r="J125" s="9" t="s">
        <v>1810</v>
      </c>
      <c r="K125" s="9" t="s">
        <v>693</v>
      </c>
      <c r="L125" s="90" t="s">
        <v>708</v>
      </c>
      <c r="M125" s="87" t="s">
        <v>2267</v>
      </c>
      <c r="N125" s="11"/>
      <c r="O125" s="11"/>
      <c r="P125" s="12"/>
      <c r="Q125" s="11"/>
      <c r="R125" s="11"/>
      <c r="S125" s="13"/>
      <c r="T125" s="13"/>
      <c r="U125" s="13"/>
      <c r="V125" s="11"/>
      <c r="W125" s="13"/>
      <c r="X125" s="12"/>
      <c r="Y125" s="11"/>
      <c r="Z125" s="11"/>
      <c r="AA125" s="13"/>
      <c r="AB125" s="11"/>
      <c r="AC125" s="88"/>
      <c r="AD125" s="6"/>
      <c r="AE125" s="6"/>
      <c r="AF125" s="6"/>
    </row>
    <row r="126">
      <c r="A126" s="86" t="s">
        <v>2382</v>
      </c>
      <c r="B126" s="58" t="s">
        <v>1830</v>
      </c>
      <c r="C126" s="58" t="s">
        <v>720</v>
      </c>
      <c r="D126" s="78" t="s">
        <v>2383</v>
      </c>
      <c r="E126" s="24" t="str">
        <f>IF(ISNA(MATCH(A126, 'A-Z player stats'!A:A, 0)), "Delete", "Keep")</f>
        <v>Delete</v>
      </c>
      <c r="G126" s="8"/>
      <c r="H126" s="9"/>
      <c r="I126" s="7" t="s">
        <v>2382</v>
      </c>
      <c r="J126" s="9" t="s">
        <v>1830</v>
      </c>
      <c r="K126" s="9" t="s">
        <v>720</v>
      </c>
      <c r="L126" s="10" t="s">
        <v>694</v>
      </c>
      <c r="M126" s="93" t="s">
        <v>2270</v>
      </c>
      <c r="N126" s="11"/>
      <c r="O126" s="11"/>
      <c r="P126" s="12"/>
      <c r="Q126" s="13"/>
      <c r="R126" s="13"/>
      <c r="S126" s="13"/>
      <c r="T126" s="13"/>
      <c r="U126" s="13"/>
      <c r="V126" s="13"/>
      <c r="W126" s="13"/>
      <c r="X126" s="12"/>
      <c r="Y126" s="13"/>
      <c r="Z126" s="13"/>
      <c r="AA126" s="13"/>
      <c r="AB126" s="13"/>
      <c r="AC126" s="88"/>
      <c r="AD126" s="6"/>
      <c r="AE126" s="6"/>
      <c r="AF126" s="6"/>
    </row>
    <row r="127">
      <c r="A127" s="86" t="s">
        <v>189</v>
      </c>
      <c r="B127" s="58" t="s">
        <v>2168</v>
      </c>
      <c r="C127" s="58" t="s">
        <v>810</v>
      </c>
      <c r="D127" s="91" t="s">
        <v>691</v>
      </c>
      <c r="E127" s="24" t="str">
        <f>IF(ISNA(MATCH(A127, 'A-Z player stats'!A:A, 0)), "Delete", "Keep")</f>
        <v>Keep</v>
      </c>
      <c r="G127" s="8"/>
      <c r="H127" s="9"/>
      <c r="I127" s="7" t="s">
        <v>189</v>
      </c>
      <c r="J127" s="9" t="s">
        <v>2168</v>
      </c>
      <c r="K127" s="9" t="s">
        <v>810</v>
      </c>
      <c r="L127" s="90" t="s">
        <v>691</v>
      </c>
      <c r="M127" s="87" t="s">
        <v>2267</v>
      </c>
      <c r="N127" s="11"/>
      <c r="O127" s="11"/>
      <c r="P127" s="10"/>
      <c r="Q127" s="11"/>
      <c r="R127" s="11"/>
      <c r="S127" s="11"/>
      <c r="T127" s="13"/>
      <c r="U127" s="13"/>
      <c r="V127" s="11"/>
      <c r="W127" s="13"/>
      <c r="X127" s="10"/>
      <c r="Y127" s="11"/>
      <c r="Z127" s="11"/>
      <c r="AA127" s="11"/>
      <c r="AB127" s="11"/>
      <c r="AC127" s="88"/>
      <c r="AD127" s="6"/>
      <c r="AE127" s="6"/>
      <c r="AF127" s="6"/>
    </row>
    <row r="128">
      <c r="A128" s="86" t="s">
        <v>191</v>
      </c>
      <c r="B128" s="58" t="s">
        <v>1628</v>
      </c>
      <c r="C128" s="58" t="s">
        <v>673</v>
      </c>
      <c r="D128" s="81" t="s">
        <v>2384</v>
      </c>
      <c r="E128" s="24" t="str">
        <f>IF(ISNA(MATCH(A128, 'A-Z player stats'!A:A, 0)), "Delete", "Keep")</f>
        <v>Keep</v>
      </c>
      <c r="G128" s="8"/>
      <c r="H128" s="9"/>
      <c r="I128" s="7" t="s">
        <v>191</v>
      </c>
      <c r="J128" s="9" t="s">
        <v>1628</v>
      </c>
      <c r="K128" s="9" t="s">
        <v>673</v>
      </c>
      <c r="L128" s="10" t="s">
        <v>671</v>
      </c>
      <c r="M128" s="87" t="s">
        <v>2267</v>
      </c>
      <c r="N128" s="11"/>
      <c r="O128" s="11"/>
      <c r="P128" s="12"/>
      <c r="Q128" s="13"/>
      <c r="R128" s="13"/>
      <c r="S128" s="13"/>
      <c r="T128" s="13"/>
      <c r="U128" s="13"/>
      <c r="V128" s="11"/>
      <c r="W128" s="13"/>
      <c r="X128" s="12"/>
      <c r="Y128" s="13"/>
      <c r="Z128" s="13"/>
      <c r="AA128" s="13"/>
      <c r="AB128" s="13"/>
      <c r="AC128" s="88"/>
      <c r="AD128" s="6"/>
      <c r="AE128" s="6"/>
      <c r="AF128" s="6"/>
    </row>
    <row r="129">
      <c r="A129" s="86" t="s">
        <v>193</v>
      </c>
      <c r="B129" s="58" t="s">
        <v>2101</v>
      </c>
      <c r="C129" s="58" t="s">
        <v>678</v>
      </c>
      <c r="D129" s="79" t="s">
        <v>708</v>
      </c>
      <c r="E129" s="24" t="str">
        <f>IF(ISNA(MATCH(A129, 'A-Z player stats'!A:A, 0)), "Delete", "Keep")</f>
        <v>Keep</v>
      </c>
      <c r="G129" s="8"/>
      <c r="H129" s="9"/>
      <c r="I129" s="7" t="s">
        <v>193</v>
      </c>
      <c r="J129" s="9" t="s">
        <v>2101</v>
      </c>
      <c r="K129" s="9" t="s">
        <v>678</v>
      </c>
      <c r="L129" s="90" t="s">
        <v>708</v>
      </c>
      <c r="M129" s="87" t="s">
        <v>2267</v>
      </c>
      <c r="N129" s="15"/>
      <c r="O129" s="11"/>
      <c r="P129" s="10"/>
      <c r="Q129" s="11"/>
      <c r="R129" s="11"/>
      <c r="S129" s="11"/>
      <c r="T129" s="13"/>
      <c r="U129" s="13"/>
      <c r="V129" s="11"/>
      <c r="W129" s="13"/>
      <c r="X129" s="10"/>
      <c r="Y129" s="11"/>
      <c r="Z129" s="11"/>
      <c r="AA129" s="11"/>
      <c r="AB129" s="11"/>
      <c r="AC129" s="88"/>
      <c r="AD129" s="6"/>
      <c r="AE129" s="6"/>
      <c r="AF129" s="6"/>
    </row>
    <row r="130">
      <c r="A130" s="86" t="s">
        <v>195</v>
      </c>
      <c r="B130" s="58" t="s">
        <v>1139</v>
      </c>
      <c r="C130" s="58" t="s">
        <v>810</v>
      </c>
      <c r="D130" s="79" t="s">
        <v>708</v>
      </c>
      <c r="E130" s="24" t="str">
        <f>IF(ISNA(MATCH(A130, 'A-Z player stats'!A:A, 0)), "Delete", "Keep")</f>
        <v>Keep</v>
      </c>
      <c r="G130" s="8"/>
      <c r="H130" s="9"/>
      <c r="I130" s="7" t="s">
        <v>195</v>
      </c>
      <c r="J130" s="9" t="s">
        <v>1139</v>
      </c>
      <c r="K130" s="9" t="s">
        <v>810</v>
      </c>
      <c r="L130" s="90" t="s">
        <v>708</v>
      </c>
      <c r="M130" s="87" t="s">
        <v>2267</v>
      </c>
      <c r="N130" s="15"/>
      <c r="O130" s="11"/>
      <c r="P130" s="10"/>
      <c r="Q130" s="11"/>
      <c r="R130" s="11"/>
      <c r="S130" s="11"/>
      <c r="T130" s="13"/>
      <c r="U130" s="11"/>
      <c r="V130" s="11"/>
      <c r="W130" s="13"/>
      <c r="X130" s="10"/>
      <c r="Y130" s="11"/>
      <c r="Z130" s="11"/>
      <c r="AA130" s="11"/>
      <c r="AB130" s="11"/>
      <c r="AC130" s="88"/>
      <c r="AD130" s="6"/>
      <c r="AE130" s="6"/>
      <c r="AF130" s="6"/>
    </row>
    <row r="131">
      <c r="A131" s="86" t="s">
        <v>2385</v>
      </c>
      <c r="B131" s="58" t="s">
        <v>1343</v>
      </c>
      <c r="C131" s="58" t="s">
        <v>698</v>
      </c>
      <c r="D131" s="92" t="s">
        <v>2386</v>
      </c>
      <c r="E131" s="24" t="str">
        <f>IF(ISNA(MATCH(A131, 'A-Z player stats'!A:A, 0)), "Delete", "Keep")</f>
        <v>Delete</v>
      </c>
      <c r="G131" s="8"/>
      <c r="H131" s="9"/>
      <c r="I131" s="7" t="s">
        <v>2385</v>
      </c>
      <c r="J131" s="9" t="s">
        <v>1343</v>
      </c>
      <c r="K131" s="9" t="s">
        <v>698</v>
      </c>
      <c r="L131" s="10" t="s">
        <v>711</v>
      </c>
      <c r="M131" s="87" t="s">
        <v>2270</v>
      </c>
      <c r="N131" s="15"/>
      <c r="O131" s="11"/>
      <c r="P131" s="12"/>
      <c r="Q131" s="13"/>
      <c r="R131" s="13"/>
      <c r="S131" s="13"/>
      <c r="T131" s="13"/>
      <c r="U131" s="13"/>
      <c r="V131" s="11"/>
      <c r="W131" s="13"/>
      <c r="X131" s="12"/>
      <c r="Y131" s="13"/>
      <c r="Z131" s="13"/>
      <c r="AA131" s="13"/>
      <c r="AB131" s="13"/>
      <c r="AC131" s="88"/>
      <c r="AD131" s="6"/>
      <c r="AE131" s="6"/>
      <c r="AF131" s="6"/>
    </row>
    <row r="132">
      <c r="A132" s="86" t="s">
        <v>2387</v>
      </c>
      <c r="B132" s="58" t="s">
        <v>1343</v>
      </c>
      <c r="C132" s="58" t="s">
        <v>698</v>
      </c>
      <c r="D132" s="92" t="s">
        <v>2388</v>
      </c>
      <c r="E132" s="24" t="str">
        <f>IF(ISNA(MATCH(A132, 'A-Z player stats'!A:A, 0)), "Delete", "Keep")</f>
        <v>Delete</v>
      </c>
      <c r="G132" s="8"/>
      <c r="H132" s="9"/>
      <c r="I132" s="7" t="s">
        <v>2387</v>
      </c>
      <c r="J132" s="94" t="s">
        <v>1343</v>
      </c>
      <c r="K132" s="94" t="s">
        <v>698</v>
      </c>
      <c r="L132" s="10" t="s">
        <v>711</v>
      </c>
      <c r="M132" s="93" t="s">
        <v>2270</v>
      </c>
      <c r="N132" s="11"/>
      <c r="O132" s="11"/>
      <c r="P132" s="12"/>
      <c r="Q132" s="13"/>
      <c r="R132" s="13"/>
      <c r="S132" s="13"/>
      <c r="T132" s="13"/>
      <c r="U132" s="13"/>
      <c r="V132" s="13"/>
      <c r="W132" s="13"/>
      <c r="X132" s="12"/>
      <c r="Y132" s="13"/>
      <c r="Z132" s="13"/>
      <c r="AA132" s="13"/>
      <c r="AB132" s="13"/>
      <c r="AC132" s="88"/>
      <c r="AD132" s="6"/>
      <c r="AE132" s="6"/>
      <c r="AF132" s="6"/>
    </row>
    <row r="133">
      <c r="A133" s="86" t="s">
        <v>197</v>
      </c>
      <c r="B133" s="58" t="s">
        <v>2063</v>
      </c>
      <c r="C133" s="58" t="s">
        <v>688</v>
      </c>
      <c r="D133" s="89" t="s">
        <v>2389</v>
      </c>
      <c r="E133" s="24" t="str">
        <f>IF(ISNA(MATCH(A133, 'A-Z player stats'!A:A, 0)), "Delete", "Keep")</f>
        <v>Keep</v>
      </c>
      <c r="G133" s="8"/>
      <c r="H133" s="9"/>
      <c r="I133" s="7" t="s">
        <v>197</v>
      </c>
      <c r="J133" s="9" t="s">
        <v>2063</v>
      </c>
      <c r="K133" s="9" t="s">
        <v>688</v>
      </c>
      <c r="L133" s="10" t="s">
        <v>713</v>
      </c>
      <c r="M133" s="87" t="s">
        <v>2267</v>
      </c>
      <c r="N133" s="15"/>
      <c r="O133" s="11"/>
      <c r="P133" s="10"/>
      <c r="Q133" s="11"/>
      <c r="R133" s="11"/>
      <c r="S133" s="11"/>
      <c r="T133" s="13"/>
      <c r="U133" s="13"/>
      <c r="V133" s="11"/>
      <c r="W133" s="13"/>
      <c r="X133" s="10"/>
      <c r="Y133" s="11"/>
      <c r="Z133" s="11"/>
      <c r="AA133" s="11"/>
      <c r="AB133" s="11"/>
      <c r="AC133" s="88"/>
      <c r="AD133" s="6"/>
      <c r="AE133" s="6"/>
      <c r="AF133" s="6"/>
    </row>
    <row r="134">
      <c r="A134" s="86" t="s">
        <v>199</v>
      </c>
      <c r="B134" s="58" t="s">
        <v>2091</v>
      </c>
      <c r="C134" s="58" t="s">
        <v>709</v>
      </c>
      <c r="D134" s="91" t="s">
        <v>701</v>
      </c>
      <c r="E134" s="24" t="str">
        <f>IF(ISNA(MATCH(A134, 'A-Z player stats'!A:A, 0)), "Delete", "Keep")</f>
        <v>Keep</v>
      </c>
      <c r="G134" s="8"/>
      <c r="H134" s="9"/>
      <c r="I134" s="7" t="s">
        <v>199</v>
      </c>
      <c r="J134" s="9" t="s">
        <v>2091</v>
      </c>
      <c r="K134" s="9" t="s">
        <v>709</v>
      </c>
      <c r="L134" s="90" t="s">
        <v>701</v>
      </c>
      <c r="M134" s="87" t="s">
        <v>2267</v>
      </c>
      <c r="N134" s="15"/>
      <c r="O134" s="11"/>
      <c r="P134" s="10"/>
      <c r="Q134" s="11"/>
      <c r="R134" s="11"/>
      <c r="S134" s="11"/>
      <c r="T134" s="11"/>
      <c r="U134" s="11"/>
      <c r="V134" s="11"/>
      <c r="W134" s="13"/>
      <c r="X134" s="10"/>
      <c r="Y134" s="11"/>
      <c r="Z134" s="11"/>
      <c r="AA134" s="11"/>
      <c r="AB134" s="11"/>
      <c r="AC134" s="88"/>
      <c r="AD134" s="6"/>
      <c r="AE134" s="6"/>
      <c r="AF134" s="6"/>
    </row>
    <row r="135">
      <c r="A135" s="86" t="s">
        <v>201</v>
      </c>
      <c r="B135" s="58" t="s">
        <v>1354</v>
      </c>
      <c r="C135" s="58" t="s">
        <v>688</v>
      </c>
      <c r="D135" s="78" t="s">
        <v>2390</v>
      </c>
      <c r="E135" s="24" t="str">
        <f>IF(ISNA(MATCH(A135, 'A-Z player stats'!A:A, 0)), "Delete", "Keep")</f>
        <v>Keep</v>
      </c>
      <c r="G135" s="8"/>
      <c r="H135" s="9"/>
      <c r="I135" s="7" t="s">
        <v>201</v>
      </c>
      <c r="J135" s="9" t="s">
        <v>1354</v>
      </c>
      <c r="K135" s="9" t="s">
        <v>688</v>
      </c>
      <c r="L135" s="10" t="s">
        <v>707</v>
      </c>
      <c r="M135" s="87" t="s">
        <v>2267</v>
      </c>
      <c r="N135" s="11"/>
      <c r="O135" s="11"/>
      <c r="P135" s="12"/>
      <c r="Q135" s="13"/>
      <c r="R135" s="13"/>
      <c r="S135" s="13"/>
      <c r="T135" s="13"/>
      <c r="U135" s="13"/>
      <c r="V135" s="11"/>
      <c r="W135" s="13"/>
      <c r="X135" s="12"/>
      <c r="Y135" s="13"/>
      <c r="Z135" s="13"/>
      <c r="AA135" s="13"/>
      <c r="AB135" s="13"/>
      <c r="AC135" s="88"/>
      <c r="AD135" s="6"/>
      <c r="AE135" s="6"/>
      <c r="AF135" s="6"/>
    </row>
    <row r="136">
      <c r="A136" s="86" t="s">
        <v>2391</v>
      </c>
      <c r="B136" s="58" t="s">
        <v>1351</v>
      </c>
      <c r="C136" s="58" t="s">
        <v>699</v>
      </c>
      <c r="D136" s="81" t="s">
        <v>2392</v>
      </c>
      <c r="E136" s="24" t="str">
        <f>IF(ISNA(MATCH(A136, 'A-Z player stats'!A:A, 0)), "Delete", "Keep")</f>
        <v>Delete</v>
      </c>
      <c r="G136" s="8"/>
      <c r="H136" s="9"/>
      <c r="I136" s="7" t="s">
        <v>2391</v>
      </c>
      <c r="J136" s="9" t="s">
        <v>1351</v>
      </c>
      <c r="K136" s="9" t="s">
        <v>699</v>
      </c>
      <c r="L136" s="10" t="s">
        <v>689</v>
      </c>
      <c r="M136" s="87" t="s">
        <v>2270</v>
      </c>
      <c r="N136" s="11"/>
      <c r="O136" s="11"/>
      <c r="P136" s="12"/>
      <c r="Q136" s="13"/>
      <c r="R136" s="13"/>
      <c r="S136" s="13"/>
      <c r="T136" s="13"/>
      <c r="U136" s="13"/>
      <c r="V136" s="13"/>
      <c r="W136" s="13"/>
      <c r="X136" s="12"/>
      <c r="Y136" s="13"/>
      <c r="Z136" s="13"/>
      <c r="AA136" s="13"/>
      <c r="AB136" s="13"/>
      <c r="AC136" s="88"/>
      <c r="AD136" s="6"/>
      <c r="AE136" s="6"/>
      <c r="AF136" s="6"/>
    </row>
    <row r="137">
      <c r="A137" s="86" t="s">
        <v>2393</v>
      </c>
      <c r="B137" s="58" t="s">
        <v>2122</v>
      </c>
      <c r="C137" s="58" t="s">
        <v>690</v>
      </c>
      <c r="D137" s="78" t="s">
        <v>2394</v>
      </c>
      <c r="E137" s="24" t="str">
        <f>IF(ISNA(MATCH(A137, 'A-Z player stats'!A:A, 0)), "Delete", "Keep")</f>
        <v>Delete</v>
      </c>
      <c r="G137" s="8"/>
      <c r="H137" s="9"/>
      <c r="I137" s="7" t="s">
        <v>2393</v>
      </c>
      <c r="J137" s="9" t="s">
        <v>2122</v>
      </c>
      <c r="K137" s="9" t="s">
        <v>690</v>
      </c>
      <c r="L137" s="10" t="s">
        <v>689</v>
      </c>
      <c r="M137" s="87" t="s">
        <v>2270</v>
      </c>
      <c r="N137" s="15"/>
      <c r="O137" s="11"/>
      <c r="P137" s="10"/>
      <c r="Q137" s="11"/>
      <c r="R137" s="11"/>
      <c r="S137" s="11"/>
      <c r="T137" s="13"/>
      <c r="U137" s="13"/>
      <c r="V137" s="11"/>
      <c r="W137" s="13"/>
      <c r="X137" s="10"/>
      <c r="Y137" s="11"/>
      <c r="Z137" s="11"/>
      <c r="AA137" s="11"/>
      <c r="AB137" s="11"/>
      <c r="AC137" s="88"/>
      <c r="AD137" s="6"/>
      <c r="AE137" s="6"/>
      <c r="AF137" s="6"/>
    </row>
    <row r="138">
      <c r="A138" s="86" t="s">
        <v>203</v>
      </c>
      <c r="B138" s="58" t="s">
        <v>1715</v>
      </c>
      <c r="C138" s="58" t="s">
        <v>688</v>
      </c>
      <c r="D138" s="81" t="s">
        <v>2395</v>
      </c>
      <c r="E138" s="24" t="str">
        <f>IF(ISNA(MATCH(A138, 'A-Z player stats'!A:A, 0)), "Delete", "Keep")</f>
        <v>Keep</v>
      </c>
      <c r="G138" s="8"/>
      <c r="H138" s="9"/>
      <c r="I138" s="7" t="s">
        <v>203</v>
      </c>
      <c r="J138" s="9" t="s">
        <v>1715</v>
      </c>
      <c r="K138" s="9" t="s">
        <v>688</v>
      </c>
      <c r="L138" s="10" t="s">
        <v>695</v>
      </c>
      <c r="M138" s="87" t="s">
        <v>2267</v>
      </c>
      <c r="N138" s="11"/>
      <c r="O138" s="11"/>
      <c r="P138" s="12"/>
      <c r="Q138" s="13"/>
      <c r="R138" s="13"/>
      <c r="S138" s="13"/>
      <c r="T138" s="13"/>
      <c r="U138" s="13"/>
      <c r="V138" s="13"/>
      <c r="W138" s="13"/>
      <c r="X138" s="12"/>
      <c r="Y138" s="13"/>
      <c r="Z138" s="13"/>
      <c r="AA138" s="13"/>
      <c r="AB138" s="13"/>
      <c r="AC138" s="88"/>
      <c r="AD138" s="6"/>
      <c r="AE138" s="6"/>
      <c r="AF138" s="6"/>
    </row>
    <row r="139">
      <c r="A139" s="86" t="s">
        <v>205</v>
      </c>
      <c r="B139" s="58" t="s">
        <v>2133</v>
      </c>
      <c r="C139" s="58" t="s">
        <v>696</v>
      </c>
      <c r="D139" s="91" t="s">
        <v>691</v>
      </c>
      <c r="E139" s="24" t="str">
        <f>IF(ISNA(MATCH(A139, 'A-Z player stats'!A:A, 0)), "Delete", "Keep")</f>
        <v>Keep</v>
      </c>
      <c r="G139" s="8"/>
      <c r="H139" s="9"/>
      <c r="I139" s="7" t="s">
        <v>205</v>
      </c>
      <c r="J139" s="9" t="s">
        <v>2133</v>
      </c>
      <c r="K139" s="9" t="s">
        <v>696</v>
      </c>
      <c r="L139" s="90" t="s">
        <v>691</v>
      </c>
      <c r="M139" s="87" t="s">
        <v>2267</v>
      </c>
      <c r="N139" s="11"/>
      <c r="O139" s="11"/>
      <c r="P139" s="10"/>
      <c r="Q139" s="11"/>
      <c r="R139" s="11"/>
      <c r="S139" s="11"/>
      <c r="T139" s="13"/>
      <c r="U139" s="13"/>
      <c r="V139" s="13"/>
      <c r="W139" s="13"/>
      <c r="X139" s="10"/>
      <c r="Y139" s="11"/>
      <c r="Z139" s="11"/>
      <c r="AA139" s="11"/>
      <c r="AB139" s="11"/>
      <c r="AC139" s="88"/>
      <c r="AD139" s="6"/>
      <c r="AE139" s="6"/>
      <c r="AF139" s="6"/>
    </row>
    <row r="140">
      <c r="A140" s="86" t="s">
        <v>207</v>
      </c>
      <c r="B140" s="58" t="s">
        <v>2261</v>
      </c>
      <c r="C140" s="58" t="s">
        <v>690</v>
      </c>
      <c r="D140" s="91" t="s">
        <v>691</v>
      </c>
      <c r="E140" s="24" t="str">
        <f>IF(ISNA(MATCH(A140, 'A-Z player stats'!A:A, 0)), "Delete", "Keep")</f>
        <v>Keep</v>
      </c>
      <c r="G140" s="8"/>
      <c r="H140" s="9"/>
      <c r="I140" s="7" t="s">
        <v>207</v>
      </c>
      <c r="J140" s="9" t="s">
        <v>2261</v>
      </c>
      <c r="K140" s="9" t="s">
        <v>690</v>
      </c>
      <c r="L140" s="90" t="s">
        <v>691</v>
      </c>
      <c r="M140" s="87" t="s">
        <v>2267</v>
      </c>
      <c r="N140" s="15"/>
      <c r="O140" s="11"/>
      <c r="P140" s="12"/>
      <c r="Q140" s="13"/>
      <c r="R140" s="13"/>
      <c r="S140" s="13"/>
      <c r="T140" s="13"/>
      <c r="U140" s="13"/>
      <c r="V140" s="11"/>
      <c r="W140" s="13"/>
      <c r="X140" s="12"/>
      <c r="Y140" s="13"/>
      <c r="Z140" s="13"/>
      <c r="AA140" s="13"/>
      <c r="AB140" s="13"/>
      <c r="AC140" s="88"/>
      <c r="AD140" s="6"/>
      <c r="AE140" s="6"/>
      <c r="AF140" s="6"/>
    </row>
    <row r="141">
      <c r="A141" s="86" t="s">
        <v>209</v>
      </c>
      <c r="B141" s="58" t="s">
        <v>2042</v>
      </c>
      <c r="C141" s="58" t="s">
        <v>699</v>
      </c>
      <c r="D141" s="89" t="s">
        <v>2396</v>
      </c>
      <c r="E141" s="24" t="str">
        <f>IF(ISNA(MATCH(A141, 'A-Z player stats'!A:A, 0)), "Delete", "Keep")</f>
        <v>Keep</v>
      </c>
      <c r="G141" s="8"/>
      <c r="H141" s="9"/>
      <c r="I141" s="7" t="s">
        <v>209</v>
      </c>
      <c r="J141" s="9" t="s">
        <v>2042</v>
      </c>
      <c r="K141" s="9" t="s">
        <v>699</v>
      </c>
      <c r="L141" s="10" t="s">
        <v>707</v>
      </c>
      <c r="M141" s="87" t="s">
        <v>2267</v>
      </c>
      <c r="N141" s="11"/>
      <c r="O141" s="11"/>
      <c r="P141" s="12"/>
      <c r="Q141" s="13"/>
      <c r="R141" s="13"/>
      <c r="S141" s="13"/>
      <c r="T141" s="13"/>
      <c r="U141" s="13"/>
      <c r="V141" s="13"/>
      <c r="W141" s="11"/>
      <c r="X141" s="12"/>
      <c r="Y141" s="13"/>
      <c r="Z141" s="13"/>
      <c r="AA141" s="13"/>
      <c r="AB141" s="13"/>
      <c r="AC141" s="88"/>
      <c r="AD141" s="6"/>
      <c r="AE141" s="6"/>
      <c r="AF141" s="6"/>
    </row>
    <row r="142">
      <c r="A142" s="86" t="s">
        <v>2397</v>
      </c>
      <c r="B142" s="58" t="s">
        <v>1152</v>
      </c>
      <c r="C142" s="58" t="s">
        <v>715</v>
      </c>
      <c r="D142" s="92" t="s">
        <v>2398</v>
      </c>
      <c r="E142" s="24" t="str">
        <f>IF(ISNA(MATCH(A142, 'A-Z player stats'!A:A, 0)), "Delete", "Keep")</f>
        <v>Delete</v>
      </c>
      <c r="G142" s="8"/>
      <c r="H142" s="9"/>
      <c r="I142" s="7" t="s">
        <v>2397</v>
      </c>
      <c r="J142" s="9" t="s">
        <v>1152</v>
      </c>
      <c r="K142" s="9" t="s">
        <v>715</v>
      </c>
      <c r="L142" s="10" t="s">
        <v>668</v>
      </c>
      <c r="M142" s="87" t="s">
        <v>2270</v>
      </c>
      <c r="N142" s="15"/>
      <c r="O142" s="11"/>
      <c r="P142" s="10"/>
      <c r="Q142" s="13"/>
      <c r="R142" s="11"/>
      <c r="S142" s="11"/>
      <c r="T142" s="13"/>
      <c r="U142" s="13"/>
      <c r="V142" s="11"/>
      <c r="W142" s="13"/>
      <c r="X142" s="10"/>
      <c r="Y142" s="13"/>
      <c r="Z142" s="11"/>
      <c r="AA142" s="11"/>
      <c r="AB142" s="11"/>
      <c r="AC142" s="88"/>
      <c r="AD142" s="6"/>
      <c r="AE142" s="6"/>
      <c r="AF142" s="6"/>
    </row>
    <row r="143">
      <c r="A143" s="86" t="s">
        <v>2399</v>
      </c>
      <c r="B143" s="58" t="s">
        <v>1152</v>
      </c>
      <c r="C143" s="58" t="s">
        <v>715</v>
      </c>
      <c r="D143" s="81" t="s">
        <v>2400</v>
      </c>
      <c r="E143" s="24" t="str">
        <f>IF(ISNA(MATCH(A143, 'A-Z player stats'!A:A, 0)), "Delete", "Keep")</f>
        <v>Delete</v>
      </c>
      <c r="G143" s="8"/>
      <c r="H143" s="9"/>
      <c r="I143" s="7" t="s">
        <v>2399</v>
      </c>
      <c r="J143" s="9" t="s">
        <v>1152</v>
      </c>
      <c r="K143" s="9" t="s">
        <v>715</v>
      </c>
      <c r="L143" s="10" t="s">
        <v>668</v>
      </c>
      <c r="M143" s="87" t="s">
        <v>2270</v>
      </c>
      <c r="N143" s="15"/>
      <c r="O143" s="11"/>
      <c r="P143" s="10"/>
      <c r="Q143" s="13"/>
      <c r="R143" s="11"/>
      <c r="S143" s="11"/>
      <c r="T143" s="13"/>
      <c r="U143" s="13"/>
      <c r="V143" s="13"/>
      <c r="W143" s="13"/>
      <c r="X143" s="10"/>
      <c r="Y143" s="13"/>
      <c r="Z143" s="11"/>
      <c r="AA143" s="11"/>
      <c r="AB143" s="11"/>
      <c r="AC143" s="88"/>
      <c r="AD143" s="6"/>
      <c r="AE143" s="6"/>
      <c r="AF143" s="6"/>
    </row>
    <row r="144">
      <c r="A144" s="86" t="s">
        <v>2401</v>
      </c>
      <c r="B144" s="58" t="s">
        <v>1669</v>
      </c>
      <c r="C144" s="58" t="s">
        <v>667</v>
      </c>
      <c r="D144" s="89" t="s">
        <v>2402</v>
      </c>
      <c r="E144" s="24" t="str">
        <f>IF(ISNA(MATCH(A144, 'A-Z player stats'!A:A, 0)), "Delete", "Keep")</f>
        <v>Delete</v>
      </c>
      <c r="G144" s="8"/>
      <c r="H144" s="9"/>
      <c r="I144" s="7" t="s">
        <v>2401</v>
      </c>
      <c r="J144" s="9" t="s">
        <v>1669</v>
      </c>
      <c r="K144" s="9" t="s">
        <v>667</v>
      </c>
      <c r="L144" s="10" t="s">
        <v>671</v>
      </c>
      <c r="M144" s="87" t="s">
        <v>2270</v>
      </c>
      <c r="N144" s="15"/>
      <c r="O144" s="11"/>
      <c r="P144" s="10"/>
      <c r="Q144" s="11"/>
      <c r="R144" s="11"/>
      <c r="S144" s="11"/>
      <c r="T144" s="13"/>
      <c r="U144" s="13"/>
      <c r="V144" s="11"/>
      <c r="W144" s="13"/>
      <c r="X144" s="10"/>
      <c r="Y144" s="11"/>
      <c r="Z144" s="11"/>
      <c r="AA144" s="11"/>
      <c r="AB144" s="11"/>
      <c r="AC144" s="88"/>
      <c r="AD144" s="6"/>
      <c r="AE144" s="6"/>
      <c r="AF144" s="6"/>
    </row>
    <row r="145">
      <c r="A145" s="86" t="s">
        <v>211</v>
      </c>
      <c r="B145" s="58" t="s">
        <v>2116</v>
      </c>
      <c r="C145" s="58" t="s">
        <v>810</v>
      </c>
      <c r="D145" s="79" t="s">
        <v>701</v>
      </c>
      <c r="E145" s="24" t="str">
        <f>IF(ISNA(MATCH(A145, 'A-Z player stats'!A:A, 0)), "Delete", "Keep")</f>
        <v>Keep</v>
      </c>
      <c r="G145" s="8"/>
      <c r="H145" s="9"/>
      <c r="I145" s="7" t="s">
        <v>211</v>
      </c>
      <c r="J145" s="9" t="s">
        <v>2116</v>
      </c>
      <c r="K145" s="9" t="s">
        <v>810</v>
      </c>
      <c r="L145" s="90" t="s">
        <v>701</v>
      </c>
      <c r="M145" s="87" t="s">
        <v>2267</v>
      </c>
      <c r="N145" s="11"/>
      <c r="O145" s="11"/>
      <c r="P145" s="12"/>
      <c r="Q145" s="13"/>
      <c r="R145" s="13"/>
      <c r="S145" s="13"/>
      <c r="T145" s="13"/>
      <c r="U145" s="13"/>
      <c r="V145" s="13"/>
      <c r="W145" s="13"/>
      <c r="X145" s="12"/>
      <c r="Y145" s="13"/>
      <c r="Z145" s="13"/>
      <c r="AA145" s="13"/>
      <c r="AB145" s="13"/>
      <c r="AC145" s="88"/>
      <c r="AD145" s="6"/>
      <c r="AE145" s="6"/>
      <c r="AF145" s="6"/>
    </row>
    <row r="146">
      <c r="A146" s="86" t="s">
        <v>213</v>
      </c>
      <c r="B146" s="58" t="s">
        <v>1139</v>
      </c>
      <c r="C146" s="58" t="s">
        <v>810</v>
      </c>
      <c r="D146" s="79" t="s">
        <v>708</v>
      </c>
      <c r="E146" s="24" t="str">
        <f>IF(ISNA(MATCH(A146, 'A-Z player stats'!A:A, 0)), "Delete", "Keep")</f>
        <v>Keep</v>
      </c>
      <c r="G146" s="8"/>
      <c r="H146" s="9"/>
      <c r="I146" s="7" t="s">
        <v>213</v>
      </c>
      <c r="J146" s="9" t="s">
        <v>1139</v>
      </c>
      <c r="K146" s="9" t="s">
        <v>810</v>
      </c>
      <c r="L146" s="90" t="s">
        <v>708</v>
      </c>
      <c r="M146" s="87" t="s">
        <v>2267</v>
      </c>
      <c r="N146" s="15"/>
      <c r="O146" s="11"/>
      <c r="P146" s="10"/>
      <c r="Q146" s="11"/>
      <c r="R146" s="11"/>
      <c r="S146" s="11"/>
      <c r="T146" s="13"/>
      <c r="U146" s="13"/>
      <c r="V146" s="11"/>
      <c r="W146" s="13"/>
      <c r="X146" s="10"/>
      <c r="Y146" s="11"/>
      <c r="Z146" s="11"/>
      <c r="AA146" s="11"/>
      <c r="AB146" s="11"/>
      <c r="AC146" s="88"/>
      <c r="AD146" s="6"/>
      <c r="AE146" s="6"/>
      <c r="AF146" s="6"/>
    </row>
    <row r="147">
      <c r="A147" s="86" t="s">
        <v>215</v>
      </c>
      <c r="B147" s="58" t="s">
        <v>1992</v>
      </c>
      <c r="C147" s="58" t="s">
        <v>698</v>
      </c>
      <c r="D147" s="78" t="s">
        <v>2403</v>
      </c>
      <c r="E147" s="24" t="str">
        <f>IF(ISNA(MATCH(A147, 'A-Z player stats'!A:A, 0)), "Delete", "Keep")</f>
        <v>Keep</v>
      </c>
      <c r="G147" s="8"/>
      <c r="H147" s="9"/>
      <c r="I147" s="7" t="s">
        <v>215</v>
      </c>
      <c r="J147" s="9" t="s">
        <v>1992</v>
      </c>
      <c r="K147" s="9" t="s">
        <v>698</v>
      </c>
      <c r="L147" s="10" t="s">
        <v>668</v>
      </c>
      <c r="M147" s="87" t="s">
        <v>2267</v>
      </c>
      <c r="N147" s="15"/>
      <c r="O147" s="11"/>
      <c r="P147" s="10"/>
      <c r="Q147" s="11"/>
      <c r="R147" s="11"/>
      <c r="S147" s="11"/>
      <c r="T147" s="13"/>
      <c r="U147" s="13"/>
      <c r="V147" s="11"/>
      <c r="W147" s="13"/>
      <c r="X147" s="10"/>
      <c r="Y147" s="11"/>
      <c r="Z147" s="11"/>
      <c r="AA147" s="11"/>
      <c r="AB147" s="11"/>
      <c r="AC147" s="88"/>
      <c r="AD147" s="6"/>
      <c r="AE147" s="6"/>
      <c r="AF147" s="6"/>
    </row>
    <row r="148">
      <c r="A148" s="86" t="s">
        <v>2404</v>
      </c>
      <c r="B148" s="58" t="s">
        <v>1240</v>
      </c>
      <c r="C148" s="58" t="s">
        <v>729</v>
      </c>
      <c r="D148" s="91" t="s">
        <v>700</v>
      </c>
      <c r="E148" s="24" t="str">
        <f>IF(ISNA(MATCH(A148, 'A-Z player stats'!A:A, 0)), "Delete", "Keep")</f>
        <v>Delete</v>
      </c>
      <c r="G148" s="8"/>
      <c r="H148" s="9"/>
      <c r="I148" s="7" t="s">
        <v>2404</v>
      </c>
      <c r="J148" s="9" t="s">
        <v>1240</v>
      </c>
      <c r="K148" s="9" t="s">
        <v>729</v>
      </c>
      <c r="L148" s="90" t="s">
        <v>700</v>
      </c>
      <c r="M148" s="87" t="s">
        <v>2270</v>
      </c>
      <c r="N148" s="15"/>
      <c r="O148" s="11"/>
      <c r="P148" s="10"/>
      <c r="Q148" s="13"/>
      <c r="R148" s="11"/>
      <c r="S148" s="11"/>
      <c r="T148" s="13"/>
      <c r="U148" s="13"/>
      <c r="V148" s="11"/>
      <c r="W148" s="13"/>
      <c r="X148" s="10"/>
      <c r="Y148" s="13"/>
      <c r="Z148" s="11"/>
      <c r="AA148" s="11"/>
      <c r="AB148" s="11"/>
      <c r="AC148" s="88"/>
      <c r="AD148" s="6"/>
      <c r="AE148" s="6"/>
      <c r="AF148" s="6"/>
    </row>
    <row r="149">
      <c r="A149" s="86" t="s">
        <v>217</v>
      </c>
      <c r="B149" s="58" t="s">
        <v>1730</v>
      </c>
      <c r="C149" s="58" t="s">
        <v>667</v>
      </c>
      <c r="D149" s="81" t="s">
        <v>2405</v>
      </c>
      <c r="E149" s="24" t="str">
        <f>IF(ISNA(MATCH(A149, 'A-Z player stats'!A:A, 0)), "Delete", "Keep")</f>
        <v>Keep</v>
      </c>
      <c r="G149" s="8"/>
      <c r="H149" s="9"/>
      <c r="I149" s="7" t="s">
        <v>217</v>
      </c>
      <c r="J149" s="9" t="s">
        <v>1730</v>
      </c>
      <c r="K149" s="9" t="s">
        <v>667</v>
      </c>
      <c r="L149" s="10" t="s">
        <v>714</v>
      </c>
      <c r="M149" s="93" t="s">
        <v>2267</v>
      </c>
      <c r="N149" s="11"/>
      <c r="O149" s="11"/>
      <c r="P149" s="12"/>
      <c r="Q149" s="13"/>
      <c r="R149" s="13"/>
      <c r="S149" s="13"/>
      <c r="T149" s="13"/>
      <c r="U149" s="13"/>
      <c r="V149" s="13"/>
      <c r="W149" s="13"/>
      <c r="X149" s="12"/>
      <c r="Y149" s="13"/>
      <c r="Z149" s="13"/>
      <c r="AA149" s="13"/>
      <c r="AB149" s="13"/>
      <c r="AC149" s="88"/>
      <c r="AD149" s="6"/>
      <c r="AE149" s="6"/>
      <c r="AF149" s="6"/>
    </row>
    <row r="150">
      <c r="A150" s="86" t="s">
        <v>219</v>
      </c>
      <c r="B150" s="58" t="s">
        <v>1597</v>
      </c>
      <c r="C150" s="58" t="s">
        <v>715</v>
      </c>
      <c r="D150" s="91" t="s">
        <v>703</v>
      </c>
      <c r="E150" s="24" t="str">
        <f>IF(ISNA(MATCH(A150, 'A-Z player stats'!A:A, 0)), "Delete", "Keep")</f>
        <v>Keep</v>
      </c>
      <c r="G150" s="8"/>
      <c r="H150" s="9"/>
      <c r="I150" s="7" t="s">
        <v>219</v>
      </c>
      <c r="J150" s="9" t="s">
        <v>1597</v>
      </c>
      <c r="K150" s="9" t="s">
        <v>715</v>
      </c>
      <c r="L150" s="90" t="s">
        <v>703</v>
      </c>
      <c r="M150" s="87" t="s">
        <v>2267</v>
      </c>
      <c r="N150" s="15"/>
      <c r="O150" s="11"/>
      <c r="P150" s="12"/>
      <c r="Q150" s="11"/>
      <c r="R150" s="11"/>
      <c r="S150" s="13"/>
      <c r="T150" s="13"/>
      <c r="U150" s="13"/>
      <c r="V150" s="11"/>
      <c r="W150" s="11"/>
      <c r="X150" s="12"/>
      <c r="Y150" s="11"/>
      <c r="Z150" s="11"/>
      <c r="AA150" s="13"/>
      <c r="AB150" s="11"/>
      <c r="AC150" s="88"/>
      <c r="AD150" s="6"/>
      <c r="AE150" s="6"/>
      <c r="AF150" s="6"/>
    </row>
    <row r="151">
      <c r="A151" s="86" t="s">
        <v>221</v>
      </c>
      <c r="B151" s="58" t="s">
        <v>1836</v>
      </c>
      <c r="C151" s="58" t="s">
        <v>712</v>
      </c>
      <c r="D151" s="91" t="s">
        <v>706</v>
      </c>
      <c r="E151" s="24" t="str">
        <f>IF(ISNA(MATCH(A151, 'A-Z player stats'!A:A, 0)), "Delete", "Keep")</f>
        <v>Keep</v>
      </c>
      <c r="G151" s="8"/>
      <c r="H151" s="9"/>
      <c r="I151" s="7" t="s">
        <v>221</v>
      </c>
      <c r="J151" s="9" t="s">
        <v>1836</v>
      </c>
      <c r="K151" s="9" t="s">
        <v>712</v>
      </c>
      <c r="L151" s="90" t="s">
        <v>706</v>
      </c>
      <c r="M151" s="87" t="s">
        <v>2267</v>
      </c>
      <c r="N151" s="15"/>
      <c r="O151" s="11"/>
      <c r="P151" s="10"/>
      <c r="Q151" s="11"/>
      <c r="R151" s="11"/>
      <c r="S151" s="11"/>
      <c r="T151" s="13"/>
      <c r="U151" s="13"/>
      <c r="V151" s="11"/>
      <c r="W151" s="13"/>
      <c r="X151" s="10"/>
      <c r="Y151" s="11"/>
      <c r="Z151" s="11"/>
      <c r="AA151" s="11"/>
      <c r="AB151" s="11"/>
      <c r="AC151" s="88"/>
      <c r="AD151" s="6"/>
      <c r="AE151" s="6"/>
      <c r="AF151" s="6"/>
    </row>
    <row r="152">
      <c r="A152" s="86" t="s">
        <v>2406</v>
      </c>
      <c r="B152" s="58" t="s">
        <v>2146</v>
      </c>
      <c r="C152" s="58" t="s">
        <v>678</v>
      </c>
      <c r="D152" s="89" t="s">
        <v>2407</v>
      </c>
      <c r="E152" s="24" t="str">
        <f>IF(ISNA(MATCH(A152, 'A-Z player stats'!A:A, 0)), "Delete", "Keep")</f>
        <v>Delete</v>
      </c>
      <c r="G152" s="8"/>
      <c r="H152" s="9"/>
      <c r="I152" s="7" t="s">
        <v>2406</v>
      </c>
      <c r="J152" s="9" t="s">
        <v>2146</v>
      </c>
      <c r="K152" s="9" t="s">
        <v>678</v>
      </c>
      <c r="L152" s="10" t="s">
        <v>684</v>
      </c>
      <c r="M152" s="87" t="s">
        <v>2270</v>
      </c>
      <c r="N152" s="15"/>
      <c r="O152" s="11"/>
      <c r="P152" s="12"/>
      <c r="Q152" s="11"/>
      <c r="R152" s="11"/>
      <c r="S152" s="13"/>
      <c r="T152" s="13"/>
      <c r="U152" s="13"/>
      <c r="V152" s="11"/>
      <c r="W152" s="13"/>
      <c r="X152" s="12"/>
      <c r="Y152" s="11"/>
      <c r="Z152" s="11"/>
      <c r="AA152" s="13"/>
      <c r="AB152" s="11"/>
      <c r="AC152" s="88"/>
      <c r="AD152" s="6"/>
      <c r="AE152" s="6"/>
      <c r="AF152" s="6"/>
    </row>
    <row r="153">
      <c r="A153" s="86" t="s">
        <v>2408</v>
      </c>
      <c r="B153" s="58" t="s">
        <v>1643</v>
      </c>
      <c r="C153" s="58" t="s">
        <v>722</v>
      </c>
      <c r="D153" s="79" t="s">
        <v>703</v>
      </c>
      <c r="E153" s="24" t="str">
        <f>IF(ISNA(MATCH(A153, 'A-Z player stats'!A:A, 0)), "Delete", "Keep")</f>
        <v>Delete</v>
      </c>
      <c r="G153" s="8"/>
      <c r="H153" s="9"/>
      <c r="I153" s="7" t="s">
        <v>2408</v>
      </c>
      <c r="J153" s="9" t="s">
        <v>1643</v>
      </c>
      <c r="K153" s="9" t="s">
        <v>722</v>
      </c>
      <c r="L153" s="90" t="s">
        <v>703</v>
      </c>
      <c r="M153" s="87" t="s">
        <v>2270</v>
      </c>
      <c r="N153" s="15"/>
      <c r="O153" s="11"/>
      <c r="P153" s="10"/>
      <c r="Q153" s="11"/>
      <c r="R153" s="11"/>
      <c r="S153" s="11"/>
      <c r="T153" s="11"/>
      <c r="U153" s="11"/>
      <c r="V153" s="11"/>
      <c r="W153" s="13"/>
      <c r="X153" s="10"/>
      <c r="Y153" s="11"/>
      <c r="Z153" s="11"/>
      <c r="AA153" s="11"/>
      <c r="AB153" s="11"/>
      <c r="AC153" s="88"/>
      <c r="AD153" s="6"/>
      <c r="AE153" s="6"/>
      <c r="AF153" s="6"/>
    </row>
    <row r="154">
      <c r="A154" s="86" t="s">
        <v>2409</v>
      </c>
      <c r="B154" s="58" t="s">
        <v>1498</v>
      </c>
      <c r="C154" s="58" t="s">
        <v>719</v>
      </c>
      <c r="D154" s="89" t="s">
        <v>2410</v>
      </c>
      <c r="E154" s="24" t="str">
        <f>IF(ISNA(MATCH(A154, 'A-Z player stats'!A:A, 0)), "Delete", "Keep")</f>
        <v>Delete</v>
      </c>
      <c r="G154" s="8"/>
      <c r="H154" s="9"/>
      <c r="I154" s="7" t="s">
        <v>2409</v>
      </c>
      <c r="J154" s="9" t="s">
        <v>1498</v>
      </c>
      <c r="K154" s="9" t="s">
        <v>719</v>
      </c>
      <c r="L154" s="10" t="s">
        <v>687</v>
      </c>
      <c r="M154" s="87" t="s">
        <v>2270</v>
      </c>
      <c r="N154" s="11"/>
      <c r="O154" s="11"/>
      <c r="P154" s="12"/>
      <c r="Q154" s="13"/>
      <c r="R154" s="13"/>
      <c r="S154" s="13"/>
      <c r="T154" s="13"/>
      <c r="U154" s="13"/>
      <c r="V154" s="13"/>
      <c r="W154" s="13"/>
      <c r="X154" s="12"/>
      <c r="Y154" s="13"/>
      <c r="Z154" s="13"/>
      <c r="AA154" s="13"/>
      <c r="AB154" s="13"/>
      <c r="AC154" s="88"/>
      <c r="AD154" s="6"/>
      <c r="AE154" s="6"/>
      <c r="AF154" s="6"/>
    </row>
    <row r="155">
      <c r="A155" s="86" t="s">
        <v>223</v>
      </c>
      <c r="B155" s="58" t="s">
        <v>1295</v>
      </c>
      <c r="C155" s="58" t="s">
        <v>715</v>
      </c>
      <c r="D155" s="89" t="s">
        <v>2411</v>
      </c>
      <c r="E155" s="24" t="str">
        <f>IF(ISNA(MATCH(A155, 'A-Z player stats'!A:A, 0)), "Delete", "Keep")</f>
        <v>Keep</v>
      </c>
      <c r="G155" s="8"/>
      <c r="H155" s="9"/>
      <c r="I155" s="7" t="s">
        <v>223</v>
      </c>
      <c r="J155" s="9" t="s">
        <v>1295</v>
      </c>
      <c r="K155" s="9" t="s">
        <v>715</v>
      </c>
      <c r="L155" s="10" t="s">
        <v>716</v>
      </c>
      <c r="M155" s="87" t="s">
        <v>2267</v>
      </c>
      <c r="N155" s="15"/>
      <c r="O155" s="11"/>
      <c r="P155" s="12"/>
      <c r="Q155" s="13"/>
      <c r="R155" s="13"/>
      <c r="S155" s="13"/>
      <c r="T155" s="13"/>
      <c r="U155" s="13"/>
      <c r="V155" s="13"/>
      <c r="W155" s="13"/>
      <c r="X155" s="12"/>
      <c r="Y155" s="13"/>
      <c r="Z155" s="13"/>
      <c r="AA155" s="13"/>
      <c r="AB155" s="13"/>
      <c r="AC155" s="88"/>
      <c r="AD155" s="6"/>
      <c r="AE155" s="6"/>
      <c r="AF155" s="6"/>
    </row>
    <row r="156">
      <c r="A156" s="86" t="s">
        <v>2412</v>
      </c>
      <c r="B156" s="58" t="s">
        <v>1418</v>
      </c>
      <c r="C156" s="58" t="s">
        <v>810</v>
      </c>
      <c r="D156" s="89" t="s">
        <v>2413</v>
      </c>
      <c r="E156" s="24" t="str">
        <f>IF(ISNA(MATCH(A156, 'A-Z player stats'!A:A, 0)), "Delete", "Keep")</f>
        <v>Delete</v>
      </c>
      <c r="G156" s="8"/>
      <c r="H156" s="9"/>
      <c r="I156" s="7" t="s">
        <v>2412</v>
      </c>
      <c r="J156" s="9" t="s">
        <v>1418</v>
      </c>
      <c r="K156" s="9" t="s">
        <v>810</v>
      </c>
      <c r="L156" s="10" t="s">
        <v>695</v>
      </c>
      <c r="M156" s="87" t="s">
        <v>2270</v>
      </c>
      <c r="N156" s="11"/>
      <c r="O156" s="11"/>
      <c r="P156" s="12"/>
      <c r="Q156" s="13"/>
      <c r="R156" s="13"/>
      <c r="S156" s="13"/>
      <c r="T156" s="13"/>
      <c r="U156" s="13"/>
      <c r="V156" s="13"/>
      <c r="W156" s="13"/>
      <c r="X156" s="12"/>
      <c r="Y156" s="13"/>
      <c r="Z156" s="13"/>
      <c r="AA156" s="13"/>
      <c r="AB156" s="13"/>
      <c r="AC156" s="88"/>
      <c r="AD156" s="6"/>
      <c r="AE156" s="6"/>
      <c r="AF156" s="6"/>
    </row>
    <row r="157">
      <c r="A157" s="86" t="s">
        <v>225</v>
      </c>
      <c r="B157" s="58" t="s">
        <v>1203</v>
      </c>
      <c r="C157" s="58" t="s">
        <v>717</v>
      </c>
      <c r="D157" s="91" t="s">
        <v>700</v>
      </c>
      <c r="E157" s="24" t="str">
        <f>IF(ISNA(MATCH(A157, 'A-Z player stats'!A:A, 0)), "Delete", "Keep")</f>
        <v>Keep</v>
      </c>
      <c r="G157" s="8"/>
      <c r="H157" s="9"/>
      <c r="I157" s="7" t="s">
        <v>225</v>
      </c>
      <c r="J157" s="9" t="s">
        <v>1203</v>
      </c>
      <c r="K157" s="9" t="s">
        <v>717</v>
      </c>
      <c r="L157" s="90" t="s">
        <v>700</v>
      </c>
      <c r="M157" s="93" t="s">
        <v>2267</v>
      </c>
      <c r="N157" s="11"/>
      <c r="O157" s="11"/>
      <c r="P157" s="12"/>
      <c r="Q157" s="13"/>
      <c r="R157" s="13"/>
      <c r="S157" s="13"/>
      <c r="T157" s="13"/>
      <c r="U157" s="13"/>
      <c r="V157" s="11"/>
      <c r="W157" s="13"/>
      <c r="X157" s="12"/>
      <c r="Y157" s="13"/>
      <c r="Z157" s="13"/>
      <c r="AA157" s="13"/>
      <c r="AB157" s="13"/>
      <c r="AC157" s="88"/>
      <c r="AD157" s="6"/>
      <c r="AE157" s="6"/>
      <c r="AF157" s="6"/>
    </row>
    <row r="158">
      <c r="A158" s="86" t="s">
        <v>2414</v>
      </c>
      <c r="B158" s="58" t="s">
        <v>1348</v>
      </c>
      <c r="C158" s="58" t="s">
        <v>676</v>
      </c>
      <c r="D158" s="92" t="s">
        <v>2415</v>
      </c>
      <c r="E158" s="24" t="str">
        <f>IF(ISNA(MATCH(A158, 'A-Z player stats'!A:A, 0)), "Delete", "Keep")</f>
        <v>Delete</v>
      </c>
      <c r="G158" s="8"/>
      <c r="H158" s="9"/>
      <c r="I158" s="7" t="s">
        <v>2414</v>
      </c>
      <c r="J158" s="9" t="s">
        <v>1348</v>
      </c>
      <c r="K158" s="9" t="s">
        <v>676</v>
      </c>
      <c r="L158" s="10" t="s">
        <v>671</v>
      </c>
      <c r="M158" s="87" t="s">
        <v>2270</v>
      </c>
      <c r="N158" s="15"/>
      <c r="O158" s="11"/>
      <c r="P158" s="10"/>
      <c r="Q158" s="13"/>
      <c r="R158" s="11"/>
      <c r="S158" s="11"/>
      <c r="T158" s="13"/>
      <c r="U158" s="13"/>
      <c r="V158" s="11"/>
      <c r="W158" s="13"/>
      <c r="X158" s="10"/>
      <c r="Y158" s="13"/>
      <c r="Z158" s="11"/>
      <c r="AA158" s="11"/>
      <c r="AB158" s="11"/>
      <c r="AC158" s="88"/>
      <c r="AD158" s="6"/>
      <c r="AE158" s="6"/>
      <c r="AF158" s="6"/>
    </row>
    <row r="159">
      <c r="A159" s="86" t="s">
        <v>227</v>
      </c>
      <c r="B159" s="58" t="s">
        <v>2076</v>
      </c>
      <c r="C159" s="58" t="s">
        <v>682</v>
      </c>
      <c r="D159" s="92" t="s">
        <v>2416</v>
      </c>
      <c r="E159" s="24" t="str">
        <f>IF(ISNA(MATCH(A159, 'A-Z player stats'!A:A, 0)), "Delete", "Keep")</f>
        <v>Keep</v>
      </c>
      <c r="G159" s="8"/>
      <c r="H159" s="9"/>
      <c r="I159" s="7" t="s">
        <v>227</v>
      </c>
      <c r="J159" s="9" t="s">
        <v>2076</v>
      </c>
      <c r="K159" s="9" t="s">
        <v>682</v>
      </c>
      <c r="L159" s="10" t="s">
        <v>668</v>
      </c>
      <c r="M159" s="93" t="s">
        <v>2267</v>
      </c>
      <c r="N159" s="11"/>
      <c r="O159" s="11"/>
      <c r="P159" s="12"/>
      <c r="Q159" s="13"/>
      <c r="R159" s="13"/>
      <c r="S159" s="13"/>
      <c r="T159" s="13"/>
      <c r="U159" s="13"/>
      <c r="V159" s="13"/>
      <c r="W159" s="13"/>
      <c r="X159" s="12"/>
      <c r="Y159" s="13"/>
      <c r="Z159" s="13"/>
      <c r="AA159" s="13"/>
      <c r="AB159" s="13"/>
      <c r="AC159" s="88"/>
      <c r="AD159" s="6"/>
      <c r="AE159" s="6"/>
      <c r="AF159" s="6"/>
    </row>
    <row r="160">
      <c r="A160" s="86" t="s">
        <v>2417</v>
      </c>
      <c r="B160" s="58" t="s">
        <v>1392</v>
      </c>
      <c r="C160" s="58" t="s">
        <v>673</v>
      </c>
      <c r="D160" s="89" t="s">
        <v>2418</v>
      </c>
      <c r="E160" s="24" t="str">
        <f>IF(ISNA(MATCH(A160, 'A-Z player stats'!A:A, 0)), "Delete", "Keep")</f>
        <v>Delete</v>
      </c>
      <c r="G160" s="8"/>
      <c r="H160" s="9"/>
      <c r="I160" s="7" t="s">
        <v>2417</v>
      </c>
      <c r="J160" s="9" t="s">
        <v>1392</v>
      </c>
      <c r="K160" s="9" t="s">
        <v>673</v>
      </c>
      <c r="L160" s="10" t="s">
        <v>732</v>
      </c>
      <c r="M160" s="87" t="s">
        <v>2270</v>
      </c>
      <c r="N160" s="15"/>
      <c r="O160" s="11"/>
      <c r="P160" s="12"/>
      <c r="Q160" s="13"/>
      <c r="R160" s="13"/>
      <c r="S160" s="13"/>
      <c r="T160" s="13"/>
      <c r="U160" s="13"/>
      <c r="V160" s="11"/>
      <c r="W160" s="13"/>
      <c r="X160" s="12"/>
      <c r="Y160" s="13"/>
      <c r="Z160" s="13"/>
      <c r="AA160" s="13"/>
      <c r="AB160" s="13"/>
      <c r="AC160" s="88"/>
      <c r="AD160" s="6"/>
      <c r="AE160" s="6"/>
      <c r="AF160" s="6"/>
    </row>
    <row r="161">
      <c r="A161" s="86" t="s">
        <v>229</v>
      </c>
      <c r="B161" s="58" t="s">
        <v>1194</v>
      </c>
      <c r="C161" s="58" t="s">
        <v>678</v>
      </c>
      <c r="D161" s="83" t="s">
        <v>702</v>
      </c>
      <c r="E161" s="24" t="str">
        <f>IF(ISNA(MATCH(A161, 'A-Z player stats'!A:A, 0)), "Delete", "Keep")</f>
        <v>Keep</v>
      </c>
      <c r="G161" s="8"/>
      <c r="H161" s="9"/>
      <c r="I161" s="7" t="s">
        <v>229</v>
      </c>
      <c r="J161" s="9" t="s">
        <v>1194</v>
      </c>
      <c r="K161" s="9" t="s">
        <v>678</v>
      </c>
      <c r="L161" s="90" t="s">
        <v>702</v>
      </c>
      <c r="M161" s="87" t="s">
        <v>2267</v>
      </c>
      <c r="N161" s="15"/>
      <c r="O161" s="11"/>
      <c r="P161" s="12"/>
      <c r="Q161" s="13"/>
      <c r="R161" s="13"/>
      <c r="S161" s="13"/>
      <c r="T161" s="13"/>
      <c r="U161" s="13"/>
      <c r="V161" s="11"/>
      <c r="W161" s="13"/>
      <c r="X161" s="12"/>
      <c r="Y161" s="13"/>
      <c r="Z161" s="13"/>
      <c r="AA161" s="13"/>
      <c r="AB161" s="13"/>
      <c r="AC161" s="88"/>
      <c r="AD161" s="6"/>
      <c r="AE161" s="6"/>
      <c r="AF161" s="6"/>
    </row>
    <row r="162">
      <c r="A162" s="86" t="s">
        <v>2419</v>
      </c>
      <c r="B162" s="58" t="s">
        <v>1924</v>
      </c>
      <c r="C162" s="58" t="s">
        <v>810</v>
      </c>
      <c r="D162" s="79" t="s">
        <v>708</v>
      </c>
      <c r="E162" s="24" t="str">
        <f>IF(ISNA(MATCH(A162, 'A-Z player stats'!A:A, 0)), "Delete", "Keep")</f>
        <v>Delete</v>
      </c>
      <c r="G162" s="8"/>
      <c r="H162" s="9"/>
      <c r="I162" s="7" t="s">
        <v>2419</v>
      </c>
      <c r="J162" s="9" t="s">
        <v>1924</v>
      </c>
      <c r="K162" s="9" t="s">
        <v>810</v>
      </c>
      <c r="L162" s="90" t="s">
        <v>708</v>
      </c>
      <c r="M162" s="93" t="s">
        <v>2270</v>
      </c>
      <c r="N162" s="11"/>
      <c r="O162" s="11"/>
      <c r="P162" s="12"/>
      <c r="Q162" s="13"/>
      <c r="R162" s="13"/>
      <c r="S162" s="13"/>
      <c r="T162" s="13"/>
      <c r="U162" s="13"/>
      <c r="V162" s="11"/>
      <c r="W162" s="13"/>
      <c r="X162" s="12"/>
      <c r="Y162" s="13"/>
      <c r="Z162" s="13"/>
      <c r="AA162" s="13"/>
      <c r="AB162" s="13"/>
      <c r="AC162" s="88"/>
      <c r="AD162" s="6"/>
      <c r="AE162" s="6"/>
      <c r="AF162" s="6"/>
    </row>
    <row r="163">
      <c r="A163" s="86" t="s">
        <v>231</v>
      </c>
      <c r="B163" s="58" t="s">
        <v>1181</v>
      </c>
      <c r="C163" s="58" t="s">
        <v>718</v>
      </c>
      <c r="D163" s="83" t="s">
        <v>702</v>
      </c>
      <c r="E163" s="24" t="str">
        <f>IF(ISNA(MATCH(A163, 'A-Z player stats'!A:A, 0)), "Delete", "Keep")</f>
        <v>Keep</v>
      </c>
      <c r="G163" s="8"/>
      <c r="H163" s="9"/>
      <c r="I163" s="7" t="s">
        <v>231</v>
      </c>
      <c r="J163" s="9" t="s">
        <v>1181</v>
      </c>
      <c r="K163" s="9" t="s">
        <v>718</v>
      </c>
      <c r="L163" s="90" t="s">
        <v>702</v>
      </c>
      <c r="M163" s="87" t="s">
        <v>2267</v>
      </c>
      <c r="N163" s="11"/>
      <c r="O163" s="11"/>
      <c r="P163" s="10"/>
      <c r="Q163" s="13"/>
      <c r="R163" s="11"/>
      <c r="S163" s="11"/>
      <c r="T163" s="13"/>
      <c r="U163" s="13"/>
      <c r="V163" s="11"/>
      <c r="W163" s="13"/>
      <c r="X163" s="10"/>
      <c r="Y163" s="13"/>
      <c r="Z163" s="11"/>
      <c r="AA163" s="11"/>
      <c r="AB163" s="11"/>
      <c r="AC163" s="88"/>
      <c r="AD163" s="6"/>
      <c r="AE163" s="6"/>
      <c r="AF163" s="6"/>
    </row>
    <row r="164">
      <c r="A164" s="86" t="s">
        <v>2420</v>
      </c>
      <c r="B164" s="58" t="s">
        <v>1699</v>
      </c>
      <c r="C164" s="58" t="s">
        <v>693</v>
      </c>
      <c r="D164" s="91" t="s">
        <v>677</v>
      </c>
      <c r="E164" s="24" t="str">
        <f>IF(ISNA(MATCH(A164, 'A-Z player stats'!A:A, 0)), "Delete", "Keep")</f>
        <v>Delete</v>
      </c>
      <c r="G164" s="8"/>
      <c r="H164" s="9"/>
      <c r="I164" s="7" t="s">
        <v>2420</v>
      </c>
      <c r="J164" s="9" t="s">
        <v>1699</v>
      </c>
      <c r="K164" s="9" t="s">
        <v>693</v>
      </c>
      <c r="L164" s="90" t="s">
        <v>677</v>
      </c>
      <c r="M164" s="87" t="s">
        <v>2270</v>
      </c>
      <c r="N164" s="15"/>
      <c r="O164" s="11"/>
      <c r="P164" s="12"/>
      <c r="Q164" s="13"/>
      <c r="R164" s="13"/>
      <c r="S164" s="13"/>
      <c r="T164" s="13"/>
      <c r="U164" s="13"/>
      <c r="V164" s="11"/>
      <c r="W164" s="13"/>
      <c r="X164" s="12"/>
      <c r="Y164" s="13"/>
      <c r="Z164" s="13"/>
      <c r="AA164" s="13"/>
      <c r="AB164" s="13"/>
      <c r="AC164" s="88"/>
      <c r="AD164" s="6"/>
      <c r="AE164" s="6"/>
      <c r="AF164" s="6"/>
    </row>
    <row r="165">
      <c r="A165" s="86" t="s">
        <v>235</v>
      </c>
      <c r="B165" s="58" t="s">
        <v>1766</v>
      </c>
      <c r="C165" s="58" t="s">
        <v>698</v>
      </c>
      <c r="D165" s="91" t="s">
        <v>697</v>
      </c>
      <c r="E165" s="24" t="str">
        <f>IF(ISNA(MATCH(A165, 'A-Z player stats'!A:A, 0)), "Delete", "Keep")</f>
        <v>Keep</v>
      </c>
      <c r="G165" s="8"/>
      <c r="H165" s="9"/>
      <c r="I165" s="7" t="s">
        <v>235</v>
      </c>
      <c r="J165" s="9" t="s">
        <v>1766</v>
      </c>
      <c r="K165" s="9" t="s">
        <v>698</v>
      </c>
      <c r="L165" s="90" t="s">
        <v>697</v>
      </c>
      <c r="M165" s="87" t="s">
        <v>2267</v>
      </c>
      <c r="N165" s="15"/>
      <c r="O165" s="11"/>
      <c r="P165" s="12"/>
      <c r="Q165" s="11"/>
      <c r="R165" s="11"/>
      <c r="S165" s="13"/>
      <c r="T165" s="13"/>
      <c r="U165" s="13"/>
      <c r="V165" s="11"/>
      <c r="W165" s="11"/>
      <c r="X165" s="12"/>
      <c r="Y165" s="11"/>
      <c r="Z165" s="11"/>
      <c r="AA165" s="13"/>
      <c r="AB165" s="11"/>
      <c r="AC165" s="88"/>
      <c r="AD165" s="6"/>
      <c r="AE165" s="6"/>
      <c r="AF165" s="6"/>
    </row>
    <row r="166">
      <c r="A166" s="86" t="s">
        <v>237</v>
      </c>
      <c r="B166" s="58" t="s">
        <v>1173</v>
      </c>
      <c r="C166" s="58" t="s">
        <v>719</v>
      </c>
      <c r="D166" s="91" t="s">
        <v>702</v>
      </c>
      <c r="E166" s="24" t="str">
        <f>IF(ISNA(MATCH(A166, 'A-Z player stats'!A:A, 0)), "Delete", "Keep")</f>
        <v>Keep</v>
      </c>
      <c r="G166" s="8"/>
      <c r="H166" s="9"/>
      <c r="I166" s="7" t="s">
        <v>237</v>
      </c>
      <c r="J166" s="9" t="s">
        <v>1173</v>
      </c>
      <c r="K166" s="9" t="s">
        <v>719</v>
      </c>
      <c r="L166" s="90" t="s">
        <v>702</v>
      </c>
      <c r="M166" s="93" t="s">
        <v>2267</v>
      </c>
      <c r="N166" s="11"/>
      <c r="O166" s="11"/>
      <c r="P166" s="12"/>
      <c r="Q166" s="13"/>
      <c r="R166" s="13"/>
      <c r="S166" s="13"/>
      <c r="T166" s="13"/>
      <c r="U166" s="13"/>
      <c r="V166" s="11"/>
      <c r="W166" s="13"/>
      <c r="X166" s="12"/>
      <c r="Y166" s="13"/>
      <c r="Z166" s="13"/>
      <c r="AA166" s="13"/>
      <c r="AB166" s="13"/>
      <c r="AC166" s="88"/>
      <c r="AD166" s="6"/>
      <c r="AE166" s="6"/>
      <c r="AF166" s="6"/>
    </row>
    <row r="167">
      <c r="A167" s="86" t="s">
        <v>2421</v>
      </c>
      <c r="B167" s="58" t="s">
        <v>1768</v>
      </c>
      <c r="C167" s="58" t="s">
        <v>810</v>
      </c>
      <c r="D167" s="91" t="s">
        <v>708</v>
      </c>
      <c r="E167" s="24" t="str">
        <f>IF(ISNA(MATCH(A167, 'A-Z player stats'!A:A, 0)), "Delete", "Keep")</f>
        <v>Delete</v>
      </c>
      <c r="G167" s="8"/>
      <c r="H167" s="9"/>
      <c r="I167" s="7" t="s">
        <v>2421</v>
      </c>
      <c r="J167" s="9" t="s">
        <v>1768</v>
      </c>
      <c r="K167" s="9" t="s">
        <v>810</v>
      </c>
      <c r="L167" s="90" t="s">
        <v>708</v>
      </c>
      <c r="M167" s="87" t="s">
        <v>2270</v>
      </c>
      <c r="N167" s="15"/>
      <c r="O167" s="11"/>
      <c r="P167" s="12"/>
      <c r="Q167" s="11"/>
      <c r="R167" s="11"/>
      <c r="S167" s="13"/>
      <c r="T167" s="13"/>
      <c r="U167" s="13"/>
      <c r="V167" s="11"/>
      <c r="W167" s="13"/>
      <c r="X167" s="12"/>
      <c r="Y167" s="11"/>
      <c r="Z167" s="11"/>
      <c r="AA167" s="13"/>
      <c r="AB167" s="11"/>
      <c r="AC167" s="88"/>
      <c r="AD167" s="6"/>
      <c r="AE167" s="6"/>
      <c r="AF167" s="6"/>
    </row>
    <row r="168">
      <c r="A168" s="86" t="s">
        <v>2422</v>
      </c>
      <c r="B168" s="58" t="s">
        <v>1429</v>
      </c>
      <c r="C168" s="58" t="s">
        <v>699</v>
      </c>
      <c r="D168" s="78" t="s">
        <v>2423</v>
      </c>
      <c r="E168" s="24" t="str">
        <f>IF(ISNA(MATCH(A168, 'A-Z player stats'!A:A, 0)), "Delete", "Keep")</f>
        <v>Delete</v>
      </c>
      <c r="G168" s="8"/>
      <c r="H168" s="9"/>
      <c r="I168" s="7" t="s">
        <v>2422</v>
      </c>
      <c r="J168" s="9" t="s">
        <v>1429</v>
      </c>
      <c r="K168" s="9" t="s">
        <v>699</v>
      </c>
      <c r="L168" s="10" t="s">
        <v>694</v>
      </c>
      <c r="M168" s="87" t="s">
        <v>2270</v>
      </c>
      <c r="N168" s="11"/>
      <c r="O168" s="11"/>
      <c r="P168" s="12"/>
      <c r="Q168" s="13"/>
      <c r="R168" s="13"/>
      <c r="S168" s="13"/>
      <c r="T168" s="13"/>
      <c r="U168" s="13"/>
      <c r="V168" s="13"/>
      <c r="W168" s="13"/>
      <c r="X168" s="12"/>
      <c r="Y168" s="13"/>
      <c r="Z168" s="13"/>
      <c r="AA168" s="13"/>
      <c r="AB168" s="13"/>
      <c r="AC168" s="88"/>
      <c r="AD168" s="6"/>
      <c r="AE168" s="6"/>
      <c r="AF168" s="6"/>
    </row>
    <row r="169">
      <c r="A169" s="86" t="s">
        <v>2424</v>
      </c>
      <c r="B169" s="58" t="s">
        <v>1139</v>
      </c>
      <c r="C169" s="58" t="s">
        <v>810</v>
      </c>
      <c r="D169" s="91" t="s">
        <v>700</v>
      </c>
      <c r="E169" s="24" t="str">
        <f>IF(ISNA(MATCH(A169, 'A-Z player stats'!A:A, 0)), "Delete", "Keep")</f>
        <v>Delete</v>
      </c>
      <c r="G169" s="8"/>
      <c r="H169" s="9"/>
      <c r="I169" s="7" t="s">
        <v>2424</v>
      </c>
      <c r="J169" s="9" t="s">
        <v>1139</v>
      </c>
      <c r="K169" s="9" t="s">
        <v>810</v>
      </c>
      <c r="L169" s="90" t="s">
        <v>700</v>
      </c>
      <c r="M169" s="87" t="s">
        <v>2270</v>
      </c>
      <c r="N169" s="15"/>
      <c r="O169" s="11"/>
      <c r="P169" s="10"/>
      <c r="Q169" s="13"/>
      <c r="R169" s="11"/>
      <c r="S169" s="11"/>
      <c r="T169" s="13"/>
      <c r="U169" s="13"/>
      <c r="V169" s="11"/>
      <c r="W169" s="13"/>
      <c r="X169" s="10"/>
      <c r="Y169" s="13"/>
      <c r="Z169" s="11"/>
      <c r="AA169" s="11"/>
      <c r="AB169" s="11"/>
      <c r="AC169" s="88"/>
      <c r="AD169" s="6"/>
      <c r="AE169" s="6"/>
      <c r="AF169" s="6"/>
    </row>
    <row r="170">
      <c r="A170" s="86" t="s">
        <v>241</v>
      </c>
      <c r="B170" s="58" t="s">
        <v>1984</v>
      </c>
      <c r="C170" s="58" t="s">
        <v>688</v>
      </c>
      <c r="D170" s="89" t="s">
        <v>2425</v>
      </c>
      <c r="E170" s="24" t="str">
        <f>IF(ISNA(MATCH(A170, 'A-Z player stats'!A:A, 0)), "Delete", "Keep")</f>
        <v>Keep</v>
      </c>
      <c r="G170" s="8"/>
      <c r="H170" s="9"/>
      <c r="I170" s="7" t="s">
        <v>241</v>
      </c>
      <c r="J170" s="9" t="s">
        <v>1984</v>
      </c>
      <c r="K170" s="9" t="s">
        <v>688</v>
      </c>
      <c r="L170" s="10" t="s">
        <v>707</v>
      </c>
      <c r="M170" s="93" t="s">
        <v>2267</v>
      </c>
      <c r="N170" s="11"/>
      <c r="O170" s="11"/>
      <c r="P170" s="12"/>
      <c r="Q170" s="13"/>
      <c r="R170" s="13"/>
      <c r="S170" s="13"/>
      <c r="T170" s="13"/>
      <c r="U170" s="13"/>
      <c r="V170" s="11"/>
      <c r="W170" s="13"/>
      <c r="X170" s="12"/>
      <c r="Y170" s="13"/>
      <c r="Z170" s="13"/>
      <c r="AA170" s="13"/>
      <c r="AB170" s="13"/>
      <c r="AC170" s="88"/>
      <c r="AD170" s="6"/>
      <c r="AE170" s="6"/>
      <c r="AF170" s="6"/>
    </row>
    <row r="171">
      <c r="A171" s="86" t="s">
        <v>2426</v>
      </c>
      <c r="B171" s="58" t="s">
        <v>1618</v>
      </c>
      <c r="C171" s="58" t="s">
        <v>667</v>
      </c>
      <c r="D171" s="79" t="s">
        <v>703</v>
      </c>
      <c r="E171" s="24" t="str">
        <f>IF(ISNA(MATCH(A171, 'A-Z player stats'!A:A, 0)), "Delete", "Keep")</f>
        <v>Delete</v>
      </c>
      <c r="G171" s="8"/>
      <c r="H171" s="9"/>
      <c r="I171" s="7" t="s">
        <v>2426</v>
      </c>
      <c r="J171" s="9" t="s">
        <v>1618</v>
      </c>
      <c r="K171" s="9" t="s">
        <v>667</v>
      </c>
      <c r="L171" s="90" t="s">
        <v>703</v>
      </c>
      <c r="M171" s="87" t="s">
        <v>2270</v>
      </c>
      <c r="N171" s="11"/>
      <c r="O171" s="11"/>
      <c r="P171" s="12"/>
      <c r="Q171" s="13"/>
      <c r="R171" s="13"/>
      <c r="S171" s="13"/>
      <c r="T171" s="13"/>
      <c r="U171" s="13"/>
      <c r="V171" s="11"/>
      <c r="W171" s="13"/>
      <c r="X171" s="12"/>
      <c r="Y171" s="13"/>
      <c r="Z171" s="13"/>
      <c r="AA171" s="13"/>
      <c r="AB171" s="13"/>
      <c r="AC171" s="88"/>
      <c r="AD171" s="6"/>
      <c r="AE171" s="6"/>
      <c r="AF171" s="6"/>
    </row>
    <row r="172">
      <c r="A172" s="86" t="s">
        <v>2427</v>
      </c>
      <c r="B172" s="58" t="s">
        <v>1784</v>
      </c>
      <c r="C172" s="58" t="s">
        <v>717</v>
      </c>
      <c r="D172" s="92" t="s">
        <v>2428</v>
      </c>
      <c r="E172" s="24" t="str">
        <f>IF(ISNA(MATCH(A172, 'A-Z player stats'!A:A, 0)), "Delete", "Keep")</f>
        <v>Delete</v>
      </c>
      <c r="G172" s="8"/>
      <c r="H172" s="9"/>
      <c r="I172" s="7" t="s">
        <v>2427</v>
      </c>
      <c r="J172" s="9" t="s">
        <v>1784</v>
      </c>
      <c r="K172" s="9" t="s">
        <v>717</v>
      </c>
      <c r="L172" s="10" t="s">
        <v>711</v>
      </c>
      <c r="M172" s="93" t="s">
        <v>2270</v>
      </c>
      <c r="N172" s="11"/>
      <c r="O172" s="13"/>
      <c r="P172" s="12"/>
      <c r="Q172" s="13"/>
      <c r="R172" s="13"/>
      <c r="S172" s="13"/>
      <c r="T172" s="13"/>
      <c r="U172" s="13"/>
      <c r="V172" s="13"/>
      <c r="W172" s="13"/>
      <c r="X172" s="12"/>
      <c r="Y172" s="13"/>
      <c r="Z172" s="13"/>
      <c r="AA172" s="13"/>
      <c r="AB172" s="13"/>
      <c r="AC172" s="88"/>
      <c r="AD172" s="6"/>
      <c r="AE172" s="6"/>
      <c r="AF172" s="6"/>
    </row>
    <row r="173">
      <c r="A173" s="86" t="s">
        <v>243</v>
      </c>
      <c r="B173" s="58" t="s">
        <v>1802</v>
      </c>
      <c r="C173" s="58" t="s">
        <v>810</v>
      </c>
      <c r="D173" s="79" t="s">
        <v>701</v>
      </c>
      <c r="E173" s="24" t="str">
        <f>IF(ISNA(MATCH(A173, 'A-Z player stats'!A:A, 0)), "Delete", "Keep")</f>
        <v>Keep</v>
      </c>
      <c r="G173" s="8"/>
      <c r="H173" s="9"/>
      <c r="I173" s="7" t="s">
        <v>243</v>
      </c>
      <c r="J173" s="9" t="s">
        <v>1802</v>
      </c>
      <c r="K173" s="9" t="s">
        <v>810</v>
      </c>
      <c r="L173" s="90" t="s">
        <v>701</v>
      </c>
      <c r="M173" s="93" t="s">
        <v>2267</v>
      </c>
      <c r="N173" s="11"/>
      <c r="O173" s="11"/>
      <c r="P173" s="12"/>
      <c r="Q173" s="13"/>
      <c r="R173" s="13"/>
      <c r="S173" s="13"/>
      <c r="T173" s="13"/>
      <c r="U173" s="13"/>
      <c r="V173" s="11"/>
      <c r="W173" s="13"/>
      <c r="X173" s="12"/>
      <c r="Y173" s="13"/>
      <c r="Z173" s="13"/>
      <c r="AA173" s="13"/>
      <c r="AB173" s="13"/>
      <c r="AC173" s="88"/>
      <c r="AD173" s="6"/>
      <c r="AE173" s="6"/>
      <c r="AF173" s="6"/>
    </row>
    <row r="174">
      <c r="A174" s="86" t="s">
        <v>2429</v>
      </c>
      <c r="B174" s="58" t="s">
        <v>1247</v>
      </c>
      <c r="C174" s="58" t="s">
        <v>719</v>
      </c>
      <c r="D174" s="79" t="s">
        <v>677</v>
      </c>
      <c r="E174" s="24" t="str">
        <f>IF(ISNA(MATCH(A174, 'A-Z player stats'!A:A, 0)), "Delete", "Keep")</f>
        <v>Delete</v>
      </c>
      <c r="G174" s="8"/>
      <c r="H174" s="9"/>
      <c r="I174" s="7" t="s">
        <v>2429</v>
      </c>
      <c r="J174" s="9" t="s">
        <v>1247</v>
      </c>
      <c r="K174" s="9" t="s">
        <v>719</v>
      </c>
      <c r="L174" s="90" t="s">
        <v>677</v>
      </c>
      <c r="M174" s="87" t="s">
        <v>2270</v>
      </c>
      <c r="N174" s="15"/>
      <c r="O174" s="11"/>
      <c r="P174" s="12"/>
      <c r="Q174" s="13"/>
      <c r="R174" s="13"/>
      <c r="S174" s="13"/>
      <c r="T174" s="13"/>
      <c r="U174" s="13"/>
      <c r="V174" s="11"/>
      <c r="W174" s="11"/>
      <c r="X174" s="12"/>
      <c r="Y174" s="13"/>
      <c r="Z174" s="13"/>
      <c r="AA174" s="13"/>
      <c r="AB174" s="13"/>
      <c r="AC174" s="88"/>
      <c r="AD174" s="6"/>
      <c r="AE174" s="6"/>
      <c r="AF174" s="6"/>
    </row>
    <row r="175">
      <c r="A175" s="86" t="s">
        <v>245</v>
      </c>
      <c r="B175" s="58" t="s">
        <v>1264</v>
      </c>
      <c r="C175" s="58" t="s">
        <v>718</v>
      </c>
      <c r="D175" s="81" t="s">
        <v>2430</v>
      </c>
      <c r="E175" s="24" t="str">
        <f>IF(ISNA(MATCH(A175, 'A-Z player stats'!A:A, 0)), "Delete", "Keep")</f>
        <v>Keep</v>
      </c>
      <c r="G175" s="8"/>
      <c r="H175" s="9"/>
      <c r="I175" s="7" t="s">
        <v>245</v>
      </c>
      <c r="J175" s="9" t="s">
        <v>1264</v>
      </c>
      <c r="K175" s="9" t="s">
        <v>718</v>
      </c>
      <c r="L175" s="10" t="s">
        <v>716</v>
      </c>
      <c r="M175" s="87" t="s">
        <v>2267</v>
      </c>
      <c r="N175" s="11"/>
      <c r="O175" s="11"/>
      <c r="P175" s="12"/>
      <c r="Q175" s="13"/>
      <c r="R175" s="13"/>
      <c r="S175" s="13"/>
      <c r="T175" s="13"/>
      <c r="U175" s="13"/>
      <c r="V175" s="11"/>
      <c r="W175" s="13"/>
      <c r="X175" s="12"/>
      <c r="Y175" s="13"/>
      <c r="Z175" s="13"/>
      <c r="AA175" s="13"/>
      <c r="AB175" s="13"/>
      <c r="AC175" s="88"/>
      <c r="AD175" s="6"/>
      <c r="AE175" s="6"/>
      <c r="AF175" s="6"/>
    </row>
    <row r="176">
      <c r="A176" s="86" t="s">
        <v>2431</v>
      </c>
      <c r="B176" s="58" t="s">
        <v>1525</v>
      </c>
      <c r="C176" s="58" t="s">
        <v>709</v>
      </c>
      <c r="D176" s="79" t="s">
        <v>677</v>
      </c>
      <c r="E176" s="24" t="str">
        <f>IF(ISNA(MATCH(A176, 'A-Z player stats'!A:A, 0)), "Delete", "Keep")</f>
        <v>Delete</v>
      </c>
      <c r="G176" s="8"/>
      <c r="H176" s="9"/>
      <c r="I176" s="7" t="s">
        <v>2431</v>
      </c>
      <c r="J176" s="9" t="s">
        <v>1525</v>
      </c>
      <c r="K176" s="9" t="s">
        <v>709</v>
      </c>
      <c r="L176" s="90" t="s">
        <v>677</v>
      </c>
      <c r="M176" s="87" t="s">
        <v>2270</v>
      </c>
      <c r="N176" s="11"/>
      <c r="O176" s="11"/>
      <c r="P176" s="12"/>
      <c r="Q176" s="13"/>
      <c r="R176" s="13"/>
      <c r="S176" s="13"/>
      <c r="T176" s="13"/>
      <c r="U176" s="13"/>
      <c r="V176" s="11"/>
      <c r="W176" s="11"/>
      <c r="X176" s="12"/>
      <c r="Y176" s="13"/>
      <c r="Z176" s="13"/>
      <c r="AA176" s="13"/>
      <c r="AB176" s="13"/>
      <c r="AC176" s="88"/>
      <c r="AD176" s="6"/>
      <c r="AE176" s="6"/>
      <c r="AF176" s="6"/>
    </row>
    <row r="177">
      <c r="A177" s="86" t="s">
        <v>247</v>
      </c>
      <c r="B177" s="58" t="s">
        <v>1613</v>
      </c>
      <c r="C177" s="58" t="s">
        <v>698</v>
      </c>
      <c r="D177" s="89" t="s">
        <v>2432</v>
      </c>
      <c r="E177" s="24" t="str">
        <f>IF(ISNA(MATCH(A177, 'A-Z player stats'!A:A, 0)), "Delete", "Keep")</f>
        <v>Keep</v>
      </c>
      <c r="G177" s="8"/>
      <c r="H177" s="9"/>
      <c r="I177" s="7" t="s">
        <v>247</v>
      </c>
      <c r="J177" s="9" t="s">
        <v>1613</v>
      </c>
      <c r="K177" s="9" t="s">
        <v>698</v>
      </c>
      <c r="L177" s="10" t="s">
        <v>687</v>
      </c>
      <c r="M177" s="93" t="s">
        <v>2267</v>
      </c>
      <c r="N177" s="11"/>
      <c r="O177" s="11"/>
      <c r="P177" s="12"/>
      <c r="Q177" s="13"/>
      <c r="R177" s="13"/>
      <c r="S177" s="13"/>
      <c r="T177" s="13"/>
      <c r="U177" s="13"/>
      <c r="V177" s="13"/>
      <c r="W177" s="13"/>
      <c r="X177" s="12"/>
      <c r="Y177" s="13"/>
      <c r="Z177" s="13"/>
      <c r="AA177" s="13"/>
      <c r="AB177" s="13"/>
      <c r="AC177" s="88"/>
      <c r="AD177" s="6"/>
      <c r="AE177" s="6"/>
      <c r="AF177" s="6"/>
    </row>
    <row r="178">
      <c r="A178" s="86" t="s">
        <v>249</v>
      </c>
      <c r="B178" s="58" t="s">
        <v>2246</v>
      </c>
      <c r="C178" s="58" t="s">
        <v>720</v>
      </c>
      <c r="D178" s="89" t="s">
        <v>2433</v>
      </c>
      <c r="E178" s="24" t="str">
        <f>IF(ISNA(MATCH(A178, 'A-Z player stats'!A:A, 0)), "Delete", "Keep")</f>
        <v>Keep</v>
      </c>
      <c r="G178" s="8"/>
      <c r="H178" s="9"/>
      <c r="I178" s="7" t="s">
        <v>249</v>
      </c>
      <c r="J178" s="9" t="s">
        <v>2246</v>
      </c>
      <c r="K178" s="9" t="s">
        <v>720</v>
      </c>
      <c r="L178" s="10" t="s">
        <v>694</v>
      </c>
      <c r="M178" s="87" t="s">
        <v>2267</v>
      </c>
      <c r="N178" s="15"/>
      <c r="O178" s="11"/>
      <c r="P178" s="12"/>
      <c r="Q178" s="13"/>
      <c r="R178" s="13"/>
      <c r="S178" s="13"/>
      <c r="T178" s="13"/>
      <c r="U178" s="13"/>
      <c r="V178" s="11"/>
      <c r="W178" s="13"/>
      <c r="X178" s="12"/>
      <c r="Y178" s="13"/>
      <c r="Z178" s="13"/>
      <c r="AA178" s="13"/>
      <c r="AB178" s="13"/>
      <c r="AC178" s="88"/>
      <c r="AD178" s="6"/>
      <c r="AE178" s="6"/>
      <c r="AF178" s="6"/>
    </row>
    <row r="179">
      <c r="A179" s="86" t="s">
        <v>252</v>
      </c>
      <c r="B179" s="58" t="s">
        <v>1774</v>
      </c>
      <c r="C179" s="58" t="s">
        <v>688</v>
      </c>
      <c r="D179" s="79" t="s">
        <v>697</v>
      </c>
      <c r="E179" s="24" t="str">
        <f>IF(ISNA(MATCH(A179, 'A-Z player stats'!A:A, 0)), "Delete", "Keep")</f>
        <v>Keep</v>
      </c>
      <c r="G179" s="8"/>
      <c r="H179" s="9"/>
      <c r="I179" s="7" t="s">
        <v>252</v>
      </c>
      <c r="J179" s="9" t="s">
        <v>1774</v>
      </c>
      <c r="K179" s="9" t="s">
        <v>688</v>
      </c>
      <c r="L179" s="90" t="s">
        <v>697</v>
      </c>
      <c r="M179" s="87" t="s">
        <v>2267</v>
      </c>
      <c r="N179" s="11"/>
      <c r="O179" s="11"/>
      <c r="P179" s="12"/>
      <c r="Q179" s="13"/>
      <c r="R179" s="13"/>
      <c r="S179" s="13"/>
      <c r="T179" s="13"/>
      <c r="U179" s="13"/>
      <c r="V179" s="13"/>
      <c r="W179" s="13"/>
      <c r="X179" s="12"/>
      <c r="Y179" s="13"/>
      <c r="Z179" s="13"/>
      <c r="AA179" s="13"/>
      <c r="AB179" s="13"/>
      <c r="AC179" s="88"/>
      <c r="AD179" s="6"/>
      <c r="AE179" s="6"/>
      <c r="AF179" s="6"/>
    </row>
    <row r="180">
      <c r="A180" s="86" t="s">
        <v>2434</v>
      </c>
      <c r="B180" s="58" t="s">
        <v>2176</v>
      </c>
      <c r="C180" s="58" t="s">
        <v>810</v>
      </c>
      <c r="D180" s="91" t="s">
        <v>691</v>
      </c>
      <c r="E180" s="24" t="str">
        <f>IF(ISNA(MATCH(A180, 'A-Z player stats'!A:A, 0)), "Delete", "Keep")</f>
        <v>Delete</v>
      </c>
      <c r="G180" s="8"/>
      <c r="H180" s="9"/>
      <c r="I180" s="7" t="s">
        <v>2434</v>
      </c>
      <c r="J180" s="9" t="s">
        <v>2176</v>
      </c>
      <c r="K180" s="9" t="s">
        <v>810</v>
      </c>
      <c r="L180" s="90" t="s">
        <v>691</v>
      </c>
      <c r="M180" s="87" t="s">
        <v>2270</v>
      </c>
      <c r="N180" s="15"/>
      <c r="O180" s="11"/>
      <c r="P180" s="10"/>
      <c r="Q180" s="11"/>
      <c r="R180" s="11"/>
      <c r="S180" s="11"/>
      <c r="T180" s="13"/>
      <c r="U180" s="13"/>
      <c r="V180" s="11"/>
      <c r="W180" s="13"/>
      <c r="X180" s="10"/>
      <c r="Y180" s="11"/>
      <c r="Z180" s="11"/>
      <c r="AA180" s="11"/>
      <c r="AB180" s="11"/>
      <c r="AC180" s="88"/>
      <c r="AD180" s="6"/>
      <c r="AE180" s="6"/>
      <c r="AF180" s="6"/>
    </row>
    <row r="181">
      <c r="A181" s="86" t="s">
        <v>254</v>
      </c>
      <c r="B181" s="58" t="s">
        <v>1139</v>
      </c>
      <c r="C181" s="58" t="s">
        <v>810</v>
      </c>
      <c r="D181" s="91" t="s">
        <v>701</v>
      </c>
      <c r="E181" s="24" t="str">
        <f>IF(ISNA(MATCH(A181, 'A-Z player stats'!A:A, 0)), "Delete", "Keep")</f>
        <v>Keep</v>
      </c>
      <c r="G181" s="8"/>
      <c r="H181" s="9"/>
      <c r="I181" s="7" t="s">
        <v>254</v>
      </c>
      <c r="J181" s="9" t="s">
        <v>1139</v>
      </c>
      <c r="K181" s="9" t="s">
        <v>810</v>
      </c>
      <c r="L181" s="90" t="s">
        <v>701</v>
      </c>
      <c r="M181" s="87" t="s">
        <v>2267</v>
      </c>
      <c r="N181" s="11"/>
      <c r="O181" s="11"/>
      <c r="P181" s="12"/>
      <c r="Q181" s="13"/>
      <c r="R181" s="13"/>
      <c r="S181" s="13"/>
      <c r="T181" s="13"/>
      <c r="U181" s="13"/>
      <c r="V181" s="11"/>
      <c r="W181" s="13"/>
      <c r="X181" s="12"/>
      <c r="Y181" s="13"/>
      <c r="Z181" s="13"/>
      <c r="AA181" s="13"/>
      <c r="AB181" s="13"/>
      <c r="AC181" s="88"/>
      <c r="AD181" s="6"/>
      <c r="AE181" s="6"/>
      <c r="AF181" s="6"/>
    </row>
    <row r="182">
      <c r="A182" s="86" t="s">
        <v>2435</v>
      </c>
      <c r="B182" s="58" t="s">
        <v>2012</v>
      </c>
      <c r="C182" s="58" t="s">
        <v>682</v>
      </c>
      <c r="D182" s="81" t="s">
        <v>2436</v>
      </c>
      <c r="E182" s="24" t="str">
        <f>IF(ISNA(MATCH(A182, 'A-Z player stats'!A:A, 0)), "Delete", "Keep")</f>
        <v>Delete</v>
      </c>
      <c r="G182" s="8"/>
      <c r="H182" s="9"/>
      <c r="I182" s="7" t="s">
        <v>2435</v>
      </c>
      <c r="J182" s="9" t="s">
        <v>2012</v>
      </c>
      <c r="K182" s="9" t="s">
        <v>682</v>
      </c>
      <c r="L182" s="10" t="s">
        <v>695</v>
      </c>
      <c r="M182" s="87" t="s">
        <v>2270</v>
      </c>
      <c r="N182" s="11"/>
      <c r="O182" s="11"/>
      <c r="P182" s="12"/>
      <c r="Q182" s="13"/>
      <c r="R182" s="13"/>
      <c r="S182" s="13"/>
      <c r="T182" s="13"/>
      <c r="U182" s="13"/>
      <c r="V182" s="11"/>
      <c r="W182" s="13"/>
      <c r="X182" s="12"/>
      <c r="Y182" s="13"/>
      <c r="Z182" s="13"/>
      <c r="AA182" s="13"/>
      <c r="AB182" s="13"/>
      <c r="AC182" s="88"/>
      <c r="AD182" s="6"/>
      <c r="AE182" s="6"/>
      <c r="AF182" s="6"/>
    </row>
    <row r="183">
      <c r="A183" s="86" t="s">
        <v>2437</v>
      </c>
      <c r="B183" s="58" t="s">
        <v>1139</v>
      </c>
      <c r="C183" s="58" t="s">
        <v>810</v>
      </c>
      <c r="D183" s="91" t="s">
        <v>700</v>
      </c>
      <c r="E183" s="24" t="str">
        <f>IF(ISNA(MATCH(A183, 'A-Z player stats'!A:A, 0)), "Delete", "Keep")</f>
        <v>Delete</v>
      </c>
      <c r="G183" s="8"/>
      <c r="H183" s="9"/>
      <c r="I183" s="7" t="s">
        <v>2437</v>
      </c>
      <c r="J183" s="9" t="s">
        <v>1139</v>
      </c>
      <c r="K183" s="9" t="s">
        <v>810</v>
      </c>
      <c r="L183" s="90" t="s">
        <v>700</v>
      </c>
      <c r="M183" s="87" t="s">
        <v>2270</v>
      </c>
      <c r="N183" s="11"/>
      <c r="O183" s="11"/>
      <c r="P183" s="12"/>
      <c r="Q183" s="13"/>
      <c r="R183" s="13"/>
      <c r="S183" s="13"/>
      <c r="T183" s="13"/>
      <c r="U183" s="13"/>
      <c r="V183" s="13"/>
      <c r="W183" s="13"/>
      <c r="X183" s="12"/>
      <c r="Y183" s="13"/>
      <c r="Z183" s="13"/>
      <c r="AA183" s="13"/>
      <c r="AB183" s="13"/>
      <c r="AC183" s="88"/>
      <c r="AD183" s="6"/>
      <c r="AE183" s="6"/>
      <c r="AF183" s="6"/>
    </row>
    <row r="184">
      <c r="A184" s="86" t="s">
        <v>2438</v>
      </c>
      <c r="B184" s="58" t="s">
        <v>1533</v>
      </c>
      <c r="C184" s="58" t="s">
        <v>722</v>
      </c>
      <c r="D184" s="79" t="s">
        <v>677</v>
      </c>
      <c r="E184" s="24" t="str">
        <f>IF(ISNA(MATCH(A184, 'A-Z player stats'!A:A, 0)), "Delete", "Keep")</f>
        <v>Delete</v>
      </c>
      <c r="G184" s="8"/>
      <c r="H184" s="9"/>
      <c r="I184" s="7" t="s">
        <v>2438</v>
      </c>
      <c r="J184" s="9" t="s">
        <v>1533</v>
      </c>
      <c r="K184" s="9" t="s">
        <v>722</v>
      </c>
      <c r="L184" s="90" t="s">
        <v>677</v>
      </c>
      <c r="M184" s="87" t="s">
        <v>2270</v>
      </c>
      <c r="N184" s="15"/>
      <c r="O184" s="11"/>
      <c r="P184" s="12"/>
      <c r="Q184" s="13"/>
      <c r="R184" s="13"/>
      <c r="S184" s="13"/>
      <c r="T184" s="13"/>
      <c r="U184" s="13"/>
      <c r="V184" s="11"/>
      <c r="W184" s="13"/>
      <c r="X184" s="12"/>
      <c r="Y184" s="13"/>
      <c r="Z184" s="13"/>
      <c r="AA184" s="13"/>
      <c r="AB184" s="13"/>
      <c r="AC184" s="88"/>
      <c r="AD184" s="6"/>
      <c r="AE184" s="6"/>
      <c r="AF184" s="6"/>
    </row>
    <row r="185">
      <c r="A185" s="86" t="s">
        <v>2439</v>
      </c>
      <c r="B185" s="58" t="s">
        <v>1135</v>
      </c>
      <c r="C185" s="58" t="s">
        <v>810</v>
      </c>
      <c r="D185" s="79" t="s">
        <v>702</v>
      </c>
      <c r="E185" s="24" t="str">
        <f>IF(ISNA(MATCH(A185, 'A-Z player stats'!A:A, 0)), "Delete", "Keep")</f>
        <v>Delete</v>
      </c>
      <c r="G185" s="8"/>
      <c r="H185" s="9"/>
      <c r="I185" s="7" t="s">
        <v>2439</v>
      </c>
      <c r="J185" s="9" t="s">
        <v>1135</v>
      </c>
      <c r="K185" s="9" t="s">
        <v>810</v>
      </c>
      <c r="L185" s="90" t="s">
        <v>702</v>
      </c>
      <c r="M185" s="87" t="s">
        <v>2270</v>
      </c>
      <c r="N185" s="15"/>
      <c r="O185" s="11"/>
      <c r="P185" s="12"/>
      <c r="Q185" s="11"/>
      <c r="R185" s="11"/>
      <c r="S185" s="13"/>
      <c r="T185" s="13"/>
      <c r="U185" s="13"/>
      <c r="V185" s="11"/>
      <c r="W185" s="11"/>
      <c r="X185" s="12"/>
      <c r="Y185" s="11"/>
      <c r="Z185" s="11"/>
      <c r="AA185" s="13"/>
      <c r="AB185" s="11"/>
      <c r="AC185" s="88"/>
      <c r="AD185" s="6"/>
      <c r="AE185" s="6"/>
      <c r="AF185" s="6"/>
    </row>
    <row r="186">
      <c r="A186" s="86" t="s">
        <v>256</v>
      </c>
      <c r="B186" s="58" t="s">
        <v>1539</v>
      </c>
      <c r="C186" s="58" t="s">
        <v>690</v>
      </c>
      <c r="D186" s="78" t="s">
        <v>2440</v>
      </c>
      <c r="E186" s="24" t="str">
        <f>IF(ISNA(MATCH(A186, 'A-Z player stats'!A:A, 0)), "Delete", "Keep")</f>
        <v>Keep</v>
      </c>
      <c r="G186" s="8"/>
      <c r="H186" s="9"/>
      <c r="I186" s="7" t="s">
        <v>256</v>
      </c>
      <c r="J186" s="9" t="s">
        <v>1539</v>
      </c>
      <c r="K186" s="9" t="s">
        <v>690</v>
      </c>
      <c r="L186" s="10" t="s">
        <v>695</v>
      </c>
      <c r="M186" s="87" t="s">
        <v>2267</v>
      </c>
      <c r="N186" s="11"/>
      <c r="O186" s="11"/>
      <c r="P186" s="12"/>
      <c r="Q186" s="11"/>
      <c r="R186" s="11"/>
      <c r="S186" s="13"/>
      <c r="T186" s="13"/>
      <c r="U186" s="13"/>
      <c r="V186" s="13"/>
      <c r="W186" s="13"/>
      <c r="X186" s="12"/>
      <c r="Y186" s="11"/>
      <c r="Z186" s="11"/>
      <c r="AA186" s="13"/>
      <c r="AB186" s="11"/>
      <c r="AC186" s="88"/>
      <c r="AD186" s="6"/>
      <c r="AE186" s="6"/>
      <c r="AF186" s="6"/>
    </row>
    <row r="187">
      <c r="A187" s="86" t="s">
        <v>258</v>
      </c>
      <c r="B187" s="58" t="s">
        <v>1989</v>
      </c>
      <c r="C187" s="58" t="s">
        <v>688</v>
      </c>
      <c r="D187" s="92" t="s">
        <v>2441</v>
      </c>
      <c r="E187" s="24" t="str">
        <f>IF(ISNA(MATCH(A187, 'A-Z player stats'!A:A, 0)), "Delete", "Keep")</f>
        <v>Keep</v>
      </c>
      <c r="G187" s="8"/>
      <c r="H187" s="9"/>
      <c r="I187" s="7" t="s">
        <v>258</v>
      </c>
      <c r="J187" s="9" t="s">
        <v>1989</v>
      </c>
      <c r="K187" s="9" t="s">
        <v>688</v>
      </c>
      <c r="L187" s="10" t="s">
        <v>721</v>
      </c>
      <c r="M187" s="93" t="s">
        <v>2267</v>
      </c>
      <c r="N187" s="11"/>
      <c r="O187" s="11"/>
      <c r="P187" s="12"/>
      <c r="Q187" s="13"/>
      <c r="R187" s="13"/>
      <c r="S187" s="13"/>
      <c r="T187" s="13"/>
      <c r="U187" s="13"/>
      <c r="V187" s="13"/>
      <c r="W187" s="13"/>
      <c r="X187" s="12"/>
      <c r="Y187" s="13"/>
      <c r="Z187" s="13"/>
      <c r="AA187" s="13"/>
      <c r="AB187" s="13"/>
      <c r="AC187" s="88"/>
      <c r="AD187" s="6"/>
      <c r="AE187" s="6"/>
      <c r="AF187" s="6"/>
    </row>
    <row r="188">
      <c r="A188" s="86" t="s">
        <v>261</v>
      </c>
      <c r="B188" s="58" t="s">
        <v>1485</v>
      </c>
      <c r="C188" s="58" t="s">
        <v>722</v>
      </c>
      <c r="D188" s="91" t="s">
        <v>697</v>
      </c>
      <c r="E188" s="24" t="str">
        <f>IF(ISNA(MATCH(A188, 'A-Z player stats'!A:A, 0)), "Delete", "Keep")</f>
        <v>Keep</v>
      </c>
      <c r="G188" s="8"/>
      <c r="H188" s="9"/>
      <c r="I188" s="7" t="s">
        <v>261</v>
      </c>
      <c r="J188" s="9" t="s">
        <v>1485</v>
      </c>
      <c r="K188" s="9" t="s">
        <v>722</v>
      </c>
      <c r="L188" s="90" t="s">
        <v>697</v>
      </c>
      <c r="M188" s="87" t="s">
        <v>2267</v>
      </c>
      <c r="N188" s="11"/>
      <c r="O188" s="11"/>
      <c r="P188" s="10"/>
      <c r="Q188" s="13"/>
      <c r="R188" s="11"/>
      <c r="S188" s="11"/>
      <c r="T188" s="13"/>
      <c r="U188" s="13"/>
      <c r="V188" s="11"/>
      <c r="W188" s="11"/>
      <c r="X188" s="10"/>
      <c r="Y188" s="13"/>
      <c r="Z188" s="11"/>
      <c r="AA188" s="11"/>
      <c r="AB188" s="11"/>
      <c r="AC188" s="88"/>
      <c r="AD188" s="6"/>
      <c r="AE188" s="6"/>
      <c r="AF188" s="6"/>
    </row>
    <row r="189">
      <c r="A189" s="86" t="s">
        <v>263</v>
      </c>
      <c r="B189" s="58" t="s">
        <v>1938</v>
      </c>
      <c r="C189" s="58" t="s">
        <v>810</v>
      </c>
      <c r="D189" s="91" t="s">
        <v>708</v>
      </c>
      <c r="E189" s="24" t="str">
        <f>IF(ISNA(MATCH(A189, 'A-Z player stats'!A:A, 0)), "Delete", "Keep")</f>
        <v>Keep</v>
      </c>
      <c r="G189" s="8"/>
      <c r="H189" s="9"/>
      <c r="I189" s="7" t="s">
        <v>263</v>
      </c>
      <c r="J189" s="9" t="s">
        <v>1938</v>
      </c>
      <c r="K189" s="9" t="s">
        <v>810</v>
      </c>
      <c r="L189" s="90" t="s">
        <v>708</v>
      </c>
      <c r="M189" s="87" t="s">
        <v>2267</v>
      </c>
      <c r="N189" s="15"/>
      <c r="O189" s="11"/>
      <c r="P189" s="10"/>
      <c r="Q189" s="13"/>
      <c r="R189" s="11"/>
      <c r="S189" s="11"/>
      <c r="T189" s="13"/>
      <c r="U189" s="13"/>
      <c r="V189" s="11"/>
      <c r="W189" s="13"/>
      <c r="X189" s="10"/>
      <c r="Y189" s="13"/>
      <c r="Z189" s="11"/>
      <c r="AA189" s="11"/>
      <c r="AB189" s="11"/>
      <c r="AC189" s="88"/>
      <c r="AD189" s="6"/>
      <c r="AE189" s="6"/>
      <c r="AF189" s="6"/>
    </row>
    <row r="190">
      <c r="A190" s="86" t="s">
        <v>265</v>
      </c>
      <c r="B190" s="58" t="s">
        <v>1438</v>
      </c>
      <c r="C190" s="58" t="s">
        <v>718</v>
      </c>
      <c r="D190" s="78" t="s">
        <v>2442</v>
      </c>
      <c r="E190" s="24" t="str">
        <f>IF(ISNA(MATCH(A190, 'A-Z player stats'!A:A, 0)), "Delete", "Keep")</f>
        <v>Keep</v>
      </c>
      <c r="G190" s="8"/>
      <c r="H190" s="9"/>
      <c r="I190" s="7" t="s">
        <v>265</v>
      </c>
      <c r="J190" s="9" t="s">
        <v>1438</v>
      </c>
      <c r="K190" s="9" t="s">
        <v>718</v>
      </c>
      <c r="L190" s="10" t="s">
        <v>707</v>
      </c>
      <c r="M190" s="87" t="s">
        <v>2267</v>
      </c>
      <c r="N190" s="15"/>
      <c r="O190" s="11"/>
      <c r="P190" s="10"/>
      <c r="Q190" s="11"/>
      <c r="R190" s="11"/>
      <c r="S190" s="11"/>
      <c r="T190" s="13"/>
      <c r="U190" s="13"/>
      <c r="V190" s="11"/>
      <c r="W190" s="13"/>
      <c r="X190" s="10"/>
      <c r="Y190" s="11"/>
      <c r="Z190" s="11"/>
      <c r="AA190" s="11"/>
      <c r="AB190" s="11"/>
      <c r="AC190" s="88"/>
      <c r="AD190" s="6"/>
      <c r="AE190" s="6"/>
      <c r="AF190" s="6"/>
    </row>
    <row r="191">
      <c r="A191" s="86" t="s">
        <v>267</v>
      </c>
      <c r="B191" s="58" t="s">
        <v>1267</v>
      </c>
      <c r="C191" s="58" t="s">
        <v>688</v>
      </c>
      <c r="D191" s="95" t="s">
        <v>702</v>
      </c>
      <c r="E191" s="24" t="str">
        <f>IF(ISNA(MATCH(A191, 'A-Z player stats'!A:A, 0)), "Delete", "Keep")</f>
        <v>Keep</v>
      </c>
      <c r="G191" s="8"/>
      <c r="H191" s="9"/>
      <c r="I191" s="7" t="s">
        <v>267</v>
      </c>
      <c r="J191" s="9" t="s">
        <v>1267</v>
      </c>
      <c r="K191" s="9" t="s">
        <v>688</v>
      </c>
      <c r="L191" s="90" t="s">
        <v>702</v>
      </c>
      <c r="M191" s="87" t="s">
        <v>2267</v>
      </c>
      <c r="N191" s="11"/>
      <c r="O191" s="11"/>
      <c r="P191" s="10"/>
      <c r="Q191" s="13"/>
      <c r="R191" s="11"/>
      <c r="S191" s="11"/>
      <c r="T191" s="13"/>
      <c r="U191" s="13"/>
      <c r="V191" s="11"/>
      <c r="W191" s="13"/>
      <c r="X191" s="10"/>
      <c r="Y191" s="13"/>
      <c r="Z191" s="11"/>
      <c r="AA191" s="11"/>
      <c r="AB191" s="11"/>
      <c r="AC191" s="88"/>
      <c r="AD191" s="6"/>
      <c r="AE191" s="6"/>
      <c r="AF191" s="6"/>
    </row>
    <row r="192">
      <c r="A192" s="86" t="s">
        <v>2443</v>
      </c>
      <c r="B192" s="58" t="s">
        <v>1476</v>
      </c>
      <c r="C192" s="58" t="s">
        <v>718</v>
      </c>
      <c r="D192" s="91" t="s">
        <v>677</v>
      </c>
      <c r="E192" s="24" t="str">
        <f>IF(ISNA(MATCH(A192, 'A-Z player stats'!A:A, 0)), "Delete", "Keep")</f>
        <v>Delete</v>
      </c>
      <c r="G192" s="8"/>
      <c r="H192" s="9"/>
      <c r="I192" s="7" t="s">
        <v>2443</v>
      </c>
      <c r="J192" s="9" t="s">
        <v>1476</v>
      </c>
      <c r="K192" s="9" t="s">
        <v>718</v>
      </c>
      <c r="L192" s="90" t="s">
        <v>677</v>
      </c>
      <c r="M192" s="87" t="s">
        <v>2270</v>
      </c>
      <c r="N192" s="11"/>
      <c r="O192" s="11"/>
      <c r="P192" s="12"/>
      <c r="Q192" s="13"/>
      <c r="R192" s="13"/>
      <c r="S192" s="13"/>
      <c r="T192" s="13"/>
      <c r="U192" s="13"/>
      <c r="V192" s="11"/>
      <c r="W192" s="13"/>
      <c r="X192" s="12"/>
      <c r="Y192" s="13"/>
      <c r="Z192" s="13"/>
      <c r="AA192" s="13"/>
      <c r="AB192" s="13"/>
      <c r="AC192" s="88"/>
      <c r="AD192" s="6"/>
      <c r="AE192" s="6"/>
      <c r="AF192" s="6"/>
    </row>
    <row r="193">
      <c r="A193" s="86" t="s">
        <v>269</v>
      </c>
      <c r="B193" s="58" t="s">
        <v>1139</v>
      </c>
      <c r="C193" s="58" t="s">
        <v>810</v>
      </c>
      <c r="D193" s="91" t="s">
        <v>708</v>
      </c>
      <c r="E193" s="24" t="str">
        <f>IF(ISNA(MATCH(A193, 'A-Z player stats'!A:A, 0)), "Delete", "Keep")</f>
        <v>Keep</v>
      </c>
      <c r="G193" s="8"/>
      <c r="H193" s="9"/>
      <c r="I193" s="7" t="s">
        <v>269</v>
      </c>
      <c r="J193" s="9" t="s">
        <v>1139</v>
      </c>
      <c r="K193" s="9" t="s">
        <v>810</v>
      </c>
      <c r="L193" s="90" t="s">
        <v>708</v>
      </c>
      <c r="M193" s="87" t="s">
        <v>2267</v>
      </c>
      <c r="N193" s="15"/>
      <c r="O193" s="11"/>
      <c r="P193" s="10"/>
      <c r="Q193" s="11"/>
      <c r="R193" s="11"/>
      <c r="S193" s="11"/>
      <c r="T193" s="13"/>
      <c r="U193" s="13"/>
      <c r="V193" s="11"/>
      <c r="W193" s="13"/>
      <c r="X193" s="10"/>
      <c r="Y193" s="11"/>
      <c r="Z193" s="11"/>
      <c r="AA193" s="11"/>
      <c r="AB193" s="11"/>
      <c r="AC193" s="88"/>
      <c r="AD193" s="6"/>
      <c r="AE193" s="6"/>
      <c r="AF193" s="6"/>
    </row>
    <row r="194">
      <c r="A194" s="86" t="s">
        <v>271</v>
      </c>
      <c r="B194" s="58" t="s">
        <v>1139</v>
      </c>
      <c r="C194" s="58" t="s">
        <v>810</v>
      </c>
      <c r="D194" s="79" t="s">
        <v>697</v>
      </c>
      <c r="E194" s="24" t="str">
        <f>IF(ISNA(MATCH(A194, 'A-Z player stats'!A:A, 0)), "Delete", "Keep")</f>
        <v>Keep</v>
      </c>
      <c r="G194" s="8"/>
      <c r="H194" s="9"/>
      <c r="I194" s="7" t="s">
        <v>271</v>
      </c>
      <c r="J194" s="9" t="s">
        <v>1139</v>
      </c>
      <c r="K194" s="9" t="s">
        <v>810</v>
      </c>
      <c r="L194" s="90" t="s">
        <v>697</v>
      </c>
      <c r="M194" s="87" t="s">
        <v>2267</v>
      </c>
      <c r="N194" s="15"/>
      <c r="O194" s="11"/>
      <c r="P194" s="10"/>
      <c r="Q194" s="11"/>
      <c r="R194" s="11"/>
      <c r="S194" s="11"/>
      <c r="T194" s="13"/>
      <c r="U194" s="13"/>
      <c r="V194" s="11"/>
      <c r="W194" s="13"/>
      <c r="X194" s="10"/>
      <c r="Y194" s="11"/>
      <c r="Z194" s="11"/>
      <c r="AA194" s="11"/>
      <c r="AB194" s="11"/>
      <c r="AC194" s="88"/>
      <c r="AD194" s="6"/>
      <c r="AE194" s="6"/>
      <c r="AF194" s="6"/>
    </row>
    <row r="195">
      <c r="A195" s="86" t="s">
        <v>273</v>
      </c>
      <c r="B195" s="58" t="s">
        <v>1625</v>
      </c>
      <c r="C195" s="58" t="s">
        <v>693</v>
      </c>
      <c r="D195" s="79" t="s">
        <v>703</v>
      </c>
      <c r="E195" s="24" t="str">
        <f>IF(ISNA(MATCH(A195, 'A-Z player stats'!A:A, 0)), "Delete", "Keep")</f>
        <v>Keep</v>
      </c>
      <c r="G195" s="8"/>
      <c r="H195" s="9"/>
      <c r="I195" s="7" t="s">
        <v>273</v>
      </c>
      <c r="J195" s="94" t="s">
        <v>1625</v>
      </c>
      <c r="K195" s="94" t="s">
        <v>693</v>
      </c>
      <c r="L195" s="90" t="s">
        <v>703</v>
      </c>
      <c r="M195" s="93" t="s">
        <v>2267</v>
      </c>
      <c r="N195" s="11"/>
      <c r="O195" s="13"/>
      <c r="P195" s="12"/>
      <c r="Q195" s="13"/>
      <c r="R195" s="13"/>
      <c r="S195" s="13"/>
      <c r="T195" s="13"/>
      <c r="U195" s="13"/>
      <c r="V195" s="13"/>
      <c r="W195" s="13"/>
      <c r="X195" s="12"/>
      <c r="Y195" s="13"/>
      <c r="Z195" s="13"/>
      <c r="AA195" s="13"/>
      <c r="AB195" s="13"/>
      <c r="AC195" s="88"/>
      <c r="AD195" s="6"/>
      <c r="AE195" s="6"/>
      <c r="AF195" s="6"/>
    </row>
    <row r="196">
      <c r="A196" s="86" t="s">
        <v>2444</v>
      </c>
      <c r="B196" s="58" t="s">
        <v>1694</v>
      </c>
      <c r="C196" s="58" t="s">
        <v>690</v>
      </c>
      <c r="D196" s="79" t="s">
        <v>677</v>
      </c>
      <c r="E196" s="24" t="str">
        <f>IF(ISNA(MATCH(A196, 'A-Z player stats'!A:A, 0)), "Delete", "Keep")</f>
        <v>Delete</v>
      </c>
      <c r="G196" s="8"/>
      <c r="H196" s="9"/>
      <c r="I196" s="7" t="s">
        <v>2444</v>
      </c>
      <c r="J196" s="9" t="s">
        <v>1694</v>
      </c>
      <c r="K196" s="9" t="s">
        <v>690</v>
      </c>
      <c r="L196" s="90" t="s">
        <v>677</v>
      </c>
      <c r="M196" s="87" t="s">
        <v>2270</v>
      </c>
      <c r="N196" s="15"/>
      <c r="O196" s="11"/>
      <c r="P196" s="10"/>
      <c r="Q196" s="11"/>
      <c r="R196" s="11"/>
      <c r="S196" s="11"/>
      <c r="T196" s="13"/>
      <c r="U196" s="13"/>
      <c r="V196" s="11"/>
      <c r="W196" s="13"/>
      <c r="X196" s="10"/>
      <c r="Y196" s="11"/>
      <c r="Z196" s="11"/>
      <c r="AA196" s="11"/>
      <c r="AB196" s="11"/>
      <c r="AC196" s="88"/>
      <c r="AD196" s="6"/>
      <c r="AE196" s="6"/>
      <c r="AF196" s="6"/>
    </row>
    <row r="197">
      <c r="A197" s="86" t="s">
        <v>275</v>
      </c>
      <c r="B197" s="58" t="s">
        <v>1844</v>
      </c>
      <c r="C197" s="58" t="s">
        <v>723</v>
      </c>
      <c r="D197" s="79" t="s">
        <v>706</v>
      </c>
      <c r="E197" s="24" t="str">
        <f>IF(ISNA(MATCH(A197, 'A-Z player stats'!A:A, 0)), "Delete", "Keep")</f>
        <v>Keep</v>
      </c>
      <c r="G197" s="8"/>
      <c r="H197" s="9"/>
      <c r="I197" s="7" t="s">
        <v>275</v>
      </c>
      <c r="J197" s="9" t="s">
        <v>1844</v>
      </c>
      <c r="K197" s="9" t="s">
        <v>723</v>
      </c>
      <c r="L197" s="90" t="s">
        <v>706</v>
      </c>
      <c r="M197" s="93" t="s">
        <v>2267</v>
      </c>
      <c r="N197" s="11"/>
      <c r="O197" s="11"/>
      <c r="P197" s="12"/>
      <c r="Q197" s="13"/>
      <c r="R197" s="13"/>
      <c r="S197" s="13"/>
      <c r="T197" s="13"/>
      <c r="U197" s="13"/>
      <c r="V197" s="13"/>
      <c r="W197" s="13"/>
      <c r="X197" s="12"/>
      <c r="Y197" s="13"/>
      <c r="Z197" s="13"/>
      <c r="AA197" s="13"/>
      <c r="AB197" s="13"/>
      <c r="AC197" s="88"/>
      <c r="AD197" s="6"/>
      <c r="AE197" s="6"/>
      <c r="AF197" s="6"/>
    </row>
    <row r="198">
      <c r="A198" s="86" t="s">
        <v>2445</v>
      </c>
      <c r="B198" s="58" t="s">
        <v>1487</v>
      </c>
      <c r="C198" s="58" t="s">
        <v>690</v>
      </c>
      <c r="D198" s="81" t="s">
        <v>2446</v>
      </c>
      <c r="E198" s="24" t="str">
        <f>IF(ISNA(MATCH(A198, 'A-Z player stats'!A:A, 0)), "Delete", "Keep")</f>
        <v>Delete</v>
      </c>
      <c r="G198" s="8"/>
      <c r="H198" s="9"/>
      <c r="I198" s="7" t="s">
        <v>2445</v>
      </c>
      <c r="J198" s="9" t="s">
        <v>1487</v>
      </c>
      <c r="K198" s="9" t="s">
        <v>690</v>
      </c>
      <c r="L198" s="10" t="s">
        <v>711</v>
      </c>
      <c r="M198" s="87" t="s">
        <v>2270</v>
      </c>
      <c r="N198" s="15"/>
      <c r="O198" s="11"/>
      <c r="P198" s="12"/>
      <c r="Q198" s="13"/>
      <c r="R198" s="13"/>
      <c r="S198" s="13"/>
      <c r="T198" s="13"/>
      <c r="U198" s="13"/>
      <c r="V198" s="11"/>
      <c r="W198" s="13"/>
      <c r="X198" s="12"/>
      <c r="Y198" s="13"/>
      <c r="Z198" s="13"/>
      <c r="AA198" s="13"/>
      <c r="AB198" s="13"/>
      <c r="AC198" s="88"/>
      <c r="AD198" s="6"/>
      <c r="AE198" s="6"/>
      <c r="AF198" s="6"/>
    </row>
    <row r="199">
      <c r="A199" s="86" t="s">
        <v>277</v>
      </c>
      <c r="B199" s="58" t="s">
        <v>1586</v>
      </c>
      <c r="C199" s="58" t="s">
        <v>673</v>
      </c>
      <c r="D199" s="89" t="s">
        <v>2447</v>
      </c>
      <c r="E199" s="24" t="str">
        <f>IF(ISNA(MATCH(A199, 'A-Z player stats'!A:A, 0)), "Delete", "Keep")</f>
        <v>Keep</v>
      </c>
      <c r="G199" s="8"/>
      <c r="H199" s="9"/>
      <c r="I199" s="7" t="s">
        <v>277</v>
      </c>
      <c r="J199" s="9" t="s">
        <v>1586</v>
      </c>
      <c r="K199" s="9" t="s">
        <v>673</v>
      </c>
      <c r="L199" s="10" t="s">
        <v>687</v>
      </c>
      <c r="M199" s="87" t="s">
        <v>2267</v>
      </c>
      <c r="N199" s="15"/>
      <c r="O199" s="11"/>
      <c r="P199" s="10"/>
      <c r="Q199" s="11"/>
      <c r="R199" s="11"/>
      <c r="S199" s="11"/>
      <c r="T199" s="13"/>
      <c r="U199" s="13"/>
      <c r="V199" s="11"/>
      <c r="W199" s="13"/>
      <c r="X199" s="10"/>
      <c r="Y199" s="11"/>
      <c r="Z199" s="11"/>
      <c r="AA199" s="11"/>
      <c r="AB199" s="11"/>
      <c r="AC199" s="88"/>
      <c r="AD199" s="6"/>
      <c r="AE199" s="6"/>
      <c r="AF199" s="6"/>
    </row>
    <row r="200">
      <c r="A200" s="86" t="s">
        <v>2448</v>
      </c>
      <c r="B200" s="58" t="s">
        <v>1942</v>
      </c>
      <c r="C200" s="58" t="s">
        <v>685</v>
      </c>
      <c r="D200" s="78" t="s">
        <v>2449</v>
      </c>
      <c r="E200" s="24" t="str">
        <f>IF(ISNA(MATCH(A200, 'A-Z player stats'!A:A, 0)), "Delete", "Keep")</f>
        <v>Delete</v>
      </c>
      <c r="G200" s="8"/>
      <c r="H200" s="9"/>
      <c r="I200" s="7" t="s">
        <v>2448</v>
      </c>
      <c r="J200" s="9" t="s">
        <v>1942</v>
      </c>
      <c r="K200" s="9" t="s">
        <v>685</v>
      </c>
      <c r="L200" s="10" t="s">
        <v>707</v>
      </c>
      <c r="M200" s="93" t="s">
        <v>2270</v>
      </c>
      <c r="N200" s="11"/>
      <c r="O200" s="11"/>
      <c r="P200" s="12"/>
      <c r="Q200" s="13"/>
      <c r="R200" s="13"/>
      <c r="S200" s="13"/>
      <c r="T200" s="13"/>
      <c r="U200" s="13"/>
      <c r="V200" s="13"/>
      <c r="W200" s="13"/>
      <c r="X200" s="12"/>
      <c r="Y200" s="13"/>
      <c r="Z200" s="13"/>
      <c r="AA200" s="13"/>
      <c r="AB200" s="13"/>
      <c r="AC200" s="88"/>
      <c r="AD200" s="6"/>
      <c r="AE200" s="6"/>
      <c r="AF200" s="6"/>
    </row>
    <row r="201">
      <c r="A201" s="86" t="s">
        <v>279</v>
      </c>
      <c r="B201" s="58" t="s">
        <v>2081</v>
      </c>
      <c r="C201" s="58" t="s">
        <v>810</v>
      </c>
      <c r="D201" s="92" t="s">
        <v>2450</v>
      </c>
      <c r="E201" s="24" t="str">
        <f>IF(ISNA(MATCH(A201, 'A-Z player stats'!A:A, 0)), "Delete", "Keep")</f>
        <v>Keep</v>
      </c>
      <c r="G201" s="8"/>
      <c r="H201" s="9"/>
      <c r="I201" s="7" t="s">
        <v>279</v>
      </c>
      <c r="J201" s="9" t="s">
        <v>2081</v>
      </c>
      <c r="K201" s="9" t="s">
        <v>810</v>
      </c>
      <c r="L201" s="10" t="s">
        <v>687</v>
      </c>
      <c r="M201" s="87" t="s">
        <v>2267</v>
      </c>
      <c r="N201" s="11"/>
      <c r="O201" s="11"/>
      <c r="P201" s="12"/>
      <c r="Q201" s="13"/>
      <c r="R201" s="13"/>
      <c r="S201" s="13"/>
      <c r="T201" s="13"/>
      <c r="U201" s="13"/>
      <c r="V201" s="11"/>
      <c r="W201" s="13"/>
      <c r="X201" s="12"/>
      <c r="Y201" s="13"/>
      <c r="Z201" s="13"/>
      <c r="AA201" s="13"/>
      <c r="AB201" s="13"/>
      <c r="AC201" s="88"/>
      <c r="AD201" s="6"/>
      <c r="AE201" s="6"/>
      <c r="AF201" s="6"/>
    </row>
    <row r="202">
      <c r="A202" s="86" t="s">
        <v>281</v>
      </c>
      <c r="B202" s="58" t="s">
        <v>1857</v>
      </c>
      <c r="C202" s="58" t="s">
        <v>810</v>
      </c>
      <c r="D202" s="92" t="s">
        <v>2451</v>
      </c>
      <c r="E202" s="24" t="str">
        <f>IF(ISNA(MATCH(A202, 'A-Z player stats'!A:A, 0)), "Delete", "Keep")</f>
        <v>Keep</v>
      </c>
      <c r="G202" s="8"/>
      <c r="H202" s="9"/>
      <c r="I202" s="7" t="s">
        <v>281</v>
      </c>
      <c r="J202" s="9" t="s">
        <v>1857</v>
      </c>
      <c r="K202" s="9" t="s">
        <v>810</v>
      </c>
      <c r="L202" s="10" t="s">
        <v>671</v>
      </c>
      <c r="M202" s="87" t="s">
        <v>2267</v>
      </c>
      <c r="N202" s="15"/>
      <c r="O202" s="11"/>
      <c r="P202" s="10"/>
      <c r="Q202" s="11"/>
      <c r="R202" s="11"/>
      <c r="S202" s="11"/>
      <c r="T202" s="13"/>
      <c r="U202" s="13"/>
      <c r="V202" s="11"/>
      <c r="W202" s="11"/>
      <c r="X202" s="10"/>
      <c r="Y202" s="11"/>
      <c r="Z202" s="11"/>
      <c r="AA202" s="11"/>
      <c r="AB202" s="11"/>
      <c r="AC202" s="88"/>
      <c r="AD202" s="6"/>
      <c r="AE202" s="6"/>
      <c r="AF202" s="6"/>
    </row>
    <row r="203">
      <c r="A203" s="86" t="s">
        <v>2452</v>
      </c>
      <c r="B203" s="58" t="s">
        <v>1421</v>
      </c>
      <c r="C203" s="58" t="s">
        <v>698</v>
      </c>
      <c r="D203" s="91" t="s">
        <v>700</v>
      </c>
      <c r="E203" s="24" t="str">
        <f>IF(ISNA(MATCH(A203, 'A-Z player stats'!A:A, 0)), "Delete", "Keep")</f>
        <v>Delete</v>
      </c>
      <c r="G203" s="8"/>
      <c r="H203" s="9"/>
      <c r="I203" s="7" t="s">
        <v>2452</v>
      </c>
      <c r="J203" s="9" t="s">
        <v>1421</v>
      </c>
      <c r="K203" s="9" t="s">
        <v>698</v>
      </c>
      <c r="L203" s="90" t="s">
        <v>700</v>
      </c>
      <c r="M203" s="87" t="s">
        <v>2270</v>
      </c>
      <c r="N203" s="11"/>
      <c r="O203" s="11"/>
      <c r="P203" s="10"/>
      <c r="Q203" s="11"/>
      <c r="R203" s="11"/>
      <c r="S203" s="11"/>
      <c r="T203" s="13"/>
      <c r="U203" s="13"/>
      <c r="V203" s="11"/>
      <c r="W203" s="13"/>
      <c r="X203" s="10"/>
      <c r="Y203" s="11"/>
      <c r="Z203" s="11"/>
      <c r="AA203" s="11"/>
      <c r="AB203" s="11"/>
      <c r="AC203" s="88"/>
      <c r="AD203" s="6"/>
      <c r="AE203" s="6"/>
      <c r="AF203" s="6"/>
    </row>
    <row r="204">
      <c r="A204" s="86" t="s">
        <v>2453</v>
      </c>
      <c r="B204" s="58" t="s">
        <v>1478</v>
      </c>
      <c r="C204" s="58" t="s">
        <v>696</v>
      </c>
      <c r="D204" s="91" t="s">
        <v>697</v>
      </c>
      <c r="E204" s="24" t="str">
        <f>IF(ISNA(MATCH(A204, 'A-Z player stats'!A:A, 0)), "Delete", "Keep")</f>
        <v>Delete</v>
      </c>
      <c r="G204" s="8"/>
      <c r="H204" s="9"/>
      <c r="I204" s="7" t="s">
        <v>2453</v>
      </c>
      <c r="J204" s="94" t="s">
        <v>1478</v>
      </c>
      <c r="K204" s="94" t="s">
        <v>696</v>
      </c>
      <c r="L204" s="90" t="s">
        <v>697</v>
      </c>
      <c r="M204" s="93" t="s">
        <v>2270</v>
      </c>
      <c r="N204" s="11"/>
      <c r="O204" s="11"/>
      <c r="P204" s="12"/>
      <c r="Q204" s="13"/>
      <c r="R204" s="13"/>
      <c r="S204" s="13"/>
      <c r="T204" s="13"/>
      <c r="U204" s="13"/>
      <c r="V204" s="13"/>
      <c r="W204" s="13"/>
      <c r="X204" s="12"/>
      <c r="Y204" s="13"/>
      <c r="Z204" s="13"/>
      <c r="AA204" s="13"/>
      <c r="AB204" s="13"/>
      <c r="AC204" s="88"/>
      <c r="AD204" s="6"/>
      <c r="AE204" s="6"/>
      <c r="AF204" s="6"/>
    </row>
    <row r="205">
      <c r="A205" s="86" t="s">
        <v>2454</v>
      </c>
      <c r="B205" s="58" t="s">
        <v>2084</v>
      </c>
      <c r="C205" s="58" t="s">
        <v>673</v>
      </c>
      <c r="D205" s="89" t="s">
        <v>2455</v>
      </c>
      <c r="E205" s="24" t="str">
        <f>IF(ISNA(MATCH(A205, 'A-Z player stats'!A:A, 0)), "Delete", "Keep")</f>
        <v>Delete</v>
      </c>
      <c r="G205" s="8"/>
      <c r="H205" s="9"/>
      <c r="I205" s="7" t="s">
        <v>2454</v>
      </c>
      <c r="J205" s="9" t="s">
        <v>2084</v>
      </c>
      <c r="K205" s="9" t="s">
        <v>673</v>
      </c>
      <c r="L205" s="10" t="s">
        <v>671</v>
      </c>
      <c r="M205" s="87" t="s">
        <v>2270</v>
      </c>
      <c r="N205" s="15"/>
      <c r="O205" s="11"/>
      <c r="P205" s="10"/>
      <c r="Q205" s="11"/>
      <c r="R205" s="11"/>
      <c r="S205" s="11"/>
      <c r="T205" s="13"/>
      <c r="U205" s="13"/>
      <c r="V205" s="13"/>
      <c r="W205" s="13"/>
      <c r="X205" s="10"/>
      <c r="Y205" s="11"/>
      <c r="Z205" s="11"/>
      <c r="AA205" s="11"/>
      <c r="AB205" s="11"/>
      <c r="AC205" s="88"/>
      <c r="AD205" s="6"/>
      <c r="AE205" s="6"/>
      <c r="AF205" s="6"/>
    </row>
    <row r="206">
      <c r="A206" s="86" t="s">
        <v>2456</v>
      </c>
      <c r="B206" s="58" t="s">
        <v>1236</v>
      </c>
      <c r="C206" s="58" t="s">
        <v>810</v>
      </c>
      <c r="D206" s="91" t="s">
        <v>702</v>
      </c>
      <c r="E206" s="24" t="str">
        <f>IF(ISNA(MATCH(A206, 'A-Z player stats'!A:A, 0)), "Delete", "Keep")</f>
        <v>Delete</v>
      </c>
      <c r="G206" s="8"/>
      <c r="H206" s="9"/>
      <c r="I206" s="7" t="s">
        <v>2456</v>
      </c>
      <c r="J206" s="9" t="s">
        <v>1236</v>
      </c>
      <c r="K206" s="9" t="s">
        <v>810</v>
      </c>
      <c r="L206" s="90" t="s">
        <v>702</v>
      </c>
      <c r="M206" s="87" t="s">
        <v>2270</v>
      </c>
      <c r="N206" s="15"/>
      <c r="O206" s="11"/>
      <c r="P206" s="12"/>
      <c r="Q206" s="13"/>
      <c r="R206" s="13"/>
      <c r="S206" s="13"/>
      <c r="T206" s="13"/>
      <c r="U206" s="13"/>
      <c r="V206" s="11"/>
      <c r="W206" s="13"/>
      <c r="X206" s="12"/>
      <c r="Y206" s="13"/>
      <c r="Z206" s="13"/>
      <c r="AA206" s="13"/>
      <c r="AB206" s="13"/>
      <c r="AC206" s="88"/>
      <c r="AD206" s="6"/>
      <c r="AE206" s="6"/>
      <c r="AF206" s="6"/>
    </row>
    <row r="207">
      <c r="A207" s="86" t="s">
        <v>283</v>
      </c>
      <c r="B207" s="58" t="s">
        <v>2079</v>
      </c>
      <c r="C207" s="58" t="s">
        <v>673</v>
      </c>
      <c r="D207" s="91" t="s">
        <v>701</v>
      </c>
      <c r="E207" s="24" t="str">
        <f>IF(ISNA(MATCH(A207, 'A-Z player stats'!A:A, 0)), "Delete", "Keep")</f>
        <v>Keep</v>
      </c>
      <c r="G207" s="8"/>
      <c r="H207" s="9"/>
      <c r="I207" s="7" t="s">
        <v>283</v>
      </c>
      <c r="J207" s="9" t="s">
        <v>2079</v>
      </c>
      <c r="K207" s="9" t="s">
        <v>673</v>
      </c>
      <c r="L207" s="90" t="s">
        <v>701</v>
      </c>
      <c r="M207" s="87" t="s">
        <v>2267</v>
      </c>
      <c r="N207" s="15"/>
      <c r="O207" s="11"/>
      <c r="P207" s="10"/>
      <c r="Q207" s="11"/>
      <c r="R207" s="11"/>
      <c r="S207" s="11"/>
      <c r="T207" s="13"/>
      <c r="U207" s="13"/>
      <c r="V207" s="11"/>
      <c r="W207" s="13"/>
      <c r="X207" s="10"/>
      <c r="Y207" s="11"/>
      <c r="Z207" s="11"/>
      <c r="AA207" s="11"/>
      <c r="AB207" s="11"/>
      <c r="AC207" s="88"/>
      <c r="AD207" s="6"/>
      <c r="AE207" s="6"/>
      <c r="AF207" s="6"/>
    </row>
    <row r="208">
      <c r="A208" s="86" t="s">
        <v>285</v>
      </c>
      <c r="B208" s="58" t="s">
        <v>2098</v>
      </c>
      <c r="C208" s="58" t="s">
        <v>685</v>
      </c>
      <c r="D208" s="89" t="s">
        <v>2457</v>
      </c>
      <c r="E208" s="24" t="str">
        <f>IF(ISNA(MATCH(A208, 'A-Z player stats'!A:A, 0)), "Delete", "Keep")</f>
        <v>Keep</v>
      </c>
      <c r="G208" s="8"/>
      <c r="H208" s="9"/>
      <c r="I208" s="7" t="s">
        <v>285</v>
      </c>
      <c r="J208" s="9" t="s">
        <v>2098</v>
      </c>
      <c r="K208" s="9" t="s">
        <v>685</v>
      </c>
      <c r="L208" s="10" t="s">
        <v>724</v>
      </c>
      <c r="M208" s="87" t="s">
        <v>2267</v>
      </c>
      <c r="N208" s="11"/>
      <c r="O208" s="11"/>
      <c r="P208" s="12"/>
      <c r="Q208" s="13"/>
      <c r="R208" s="13"/>
      <c r="S208" s="13"/>
      <c r="T208" s="13"/>
      <c r="U208" s="13"/>
      <c r="V208" s="13"/>
      <c r="W208" s="13"/>
      <c r="X208" s="12"/>
      <c r="Y208" s="13"/>
      <c r="Z208" s="13"/>
      <c r="AA208" s="13"/>
      <c r="AB208" s="13"/>
      <c r="AC208" s="88"/>
      <c r="AD208" s="6"/>
      <c r="AE208" s="6"/>
      <c r="AF208" s="6"/>
    </row>
    <row r="209">
      <c r="A209" s="86" t="s">
        <v>2458</v>
      </c>
      <c r="B209" s="58" t="s">
        <v>1139</v>
      </c>
      <c r="C209" s="58" t="s">
        <v>810</v>
      </c>
      <c r="D209" s="91" t="s">
        <v>697</v>
      </c>
      <c r="E209" s="24" t="str">
        <f>IF(ISNA(MATCH(A209, 'A-Z player stats'!A:A, 0)), "Delete", "Keep")</f>
        <v>Delete</v>
      </c>
      <c r="G209" s="8"/>
      <c r="H209" s="9"/>
      <c r="I209" s="7" t="s">
        <v>2458</v>
      </c>
      <c r="J209" s="9" t="s">
        <v>1139</v>
      </c>
      <c r="K209" s="9" t="s">
        <v>810</v>
      </c>
      <c r="L209" s="90" t="s">
        <v>697</v>
      </c>
      <c r="M209" s="93" t="s">
        <v>2270</v>
      </c>
      <c r="N209" s="11"/>
      <c r="O209" s="13"/>
      <c r="P209" s="12"/>
      <c r="Q209" s="13"/>
      <c r="R209" s="13"/>
      <c r="S209" s="13"/>
      <c r="T209" s="13"/>
      <c r="U209" s="13"/>
      <c r="V209" s="13"/>
      <c r="W209" s="13"/>
      <c r="X209" s="12"/>
      <c r="Y209" s="13"/>
      <c r="Z209" s="13"/>
      <c r="AA209" s="13"/>
      <c r="AB209" s="13"/>
      <c r="AC209" s="88"/>
      <c r="AD209" s="6"/>
      <c r="AE209" s="6"/>
      <c r="AF209" s="6"/>
    </row>
    <row r="210">
      <c r="A210" s="86" t="s">
        <v>287</v>
      </c>
      <c r="B210" s="58" t="s">
        <v>1161</v>
      </c>
      <c r="C210" s="58" t="s">
        <v>690</v>
      </c>
      <c r="D210" s="81" t="s">
        <v>2459</v>
      </c>
      <c r="E210" s="24" t="str">
        <f>IF(ISNA(MATCH(A210, 'A-Z player stats'!A:A, 0)), "Delete", "Keep")</f>
        <v>Keep</v>
      </c>
      <c r="G210" s="8"/>
      <c r="H210" s="9"/>
      <c r="I210" s="7" t="s">
        <v>287</v>
      </c>
      <c r="J210" s="9" t="s">
        <v>1161</v>
      </c>
      <c r="K210" s="9" t="s">
        <v>690</v>
      </c>
      <c r="L210" s="10" t="s">
        <v>695</v>
      </c>
      <c r="M210" s="87" t="s">
        <v>2267</v>
      </c>
      <c r="N210" s="15"/>
      <c r="O210" s="11"/>
      <c r="P210" s="12"/>
      <c r="Q210" s="11"/>
      <c r="R210" s="11"/>
      <c r="S210" s="13"/>
      <c r="T210" s="13"/>
      <c r="U210" s="13"/>
      <c r="V210" s="11"/>
      <c r="W210" s="13"/>
      <c r="X210" s="12"/>
      <c r="Y210" s="11"/>
      <c r="Z210" s="11"/>
      <c r="AA210" s="13"/>
      <c r="AB210" s="11"/>
      <c r="AC210" s="88"/>
      <c r="AD210" s="6"/>
      <c r="AE210" s="6"/>
      <c r="AF210" s="6"/>
    </row>
    <row r="211">
      <c r="A211" s="86" t="s">
        <v>290</v>
      </c>
      <c r="B211" s="58" t="s">
        <v>1155</v>
      </c>
      <c r="C211" s="58" t="s">
        <v>698</v>
      </c>
      <c r="D211" s="81" t="s">
        <v>2460</v>
      </c>
      <c r="E211" s="24" t="str">
        <f>IF(ISNA(MATCH(A211, 'A-Z player stats'!A:A, 0)), "Delete", "Keep")</f>
        <v>Keep</v>
      </c>
      <c r="G211" s="8"/>
      <c r="H211" s="9"/>
      <c r="I211" s="7" t="s">
        <v>290</v>
      </c>
      <c r="J211" s="9" t="s">
        <v>1155</v>
      </c>
      <c r="K211" s="9" t="s">
        <v>698</v>
      </c>
      <c r="L211" s="10" t="s">
        <v>689</v>
      </c>
      <c r="M211" s="87" t="s">
        <v>2267</v>
      </c>
      <c r="N211" s="15"/>
      <c r="O211" s="11"/>
      <c r="P211" s="10"/>
      <c r="Q211" s="11"/>
      <c r="R211" s="11"/>
      <c r="S211" s="11"/>
      <c r="T211" s="13"/>
      <c r="U211" s="13"/>
      <c r="V211" s="11"/>
      <c r="W211" s="13"/>
      <c r="X211" s="10"/>
      <c r="Y211" s="11"/>
      <c r="Z211" s="11"/>
      <c r="AA211" s="11"/>
      <c r="AB211" s="11"/>
      <c r="AC211" s="88"/>
      <c r="AD211" s="6"/>
      <c r="AE211" s="6"/>
      <c r="AF211" s="6"/>
    </row>
    <row r="212">
      <c r="A212" s="86" t="s">
        <v>2461</v>
      </c>
      <c r="B212" s="58" t="s">
        <v>1696</v>
      </c>
      <c r="C212" s="58" t="s">
        <v>678</v>
      </c>
      <c r="D212" s="81" t="s">
        <v>2462</v>
      </c>
      <c r="E212" s="24" t="str">
        <f>IF(ISNA(MATCH(A212, 'A-Z player stats'!A:A, 0)), "Delete", "Keep")</f>
        <v>Delete</v>
      </c>
      <c r="G212" s="8"/>
      <c r="H212" s="9"/>
      <c r="I212" s="7" t="s">
        <v>2461</v>
      </c>
      <c r="J212" s="9" t="s">
        <v>1696</v>
      </c>
      <c r="K212" s="9" t="s">
        <v>678</v>
      </c>
      <c r="L212" s="10" t="s">
        <v>711</v>
      </c>
      <c r="M212" s="87" t="s">
        <v>2270</v>
      </c>
      <c r="N212" s="15"/>
      <c r="O212" s="11"/>
      <c r="P212" s="10"/>
      <c r="Q212" s="11"/>
      <c r="R212" s="11"/>
      <c r="S212" s="11"/>
      <c r="T212" s="13"/>
      <c r="U212" s="13"/>
      <c r="V212" s="11"/>
      <c r="W212" s="13"/>
      <c r="X212" s="10"/>
      <c r="Y212" s="11"/>
      <c r="Z212" s="11"/>
      <c r="AA212" s="11"/>
      <c r="AB212" s="11"/>
      <c r="AC212" s="88"/>
      <c r="AD212" s="6"/>
      <c r="AE212" s="6"/>
      <c r="AF212" s="6"/>
    </row>
    <row r="213">
      <c r="A213" s="86" t="s">
        <v>2463</v>
      </c>
      <c r="B213" s="58" t="s">
        <v>2182</v>
      </c>
      <c r="C213" s="58" t="s">
        <v>685</v>
      </c>
      <c r="D213" s="78" t="s">
        <v>2464</v>
      </c>
      <c r="E213" s="24" t="str">
        <f>IF(ISNA(MATCH(A213, 'A-Z player stats'!A:A, 0)), "Delete", "Keep")</f>
        <v>Delete</v>
      </c>
      <c r="G213" s="8"/>
      <c r="H213" s="9"/>
      <c r="I213" s="7" t="s">
        <v>2463</v>
      </c>
      <c r="J213" s="9" t="s">
        <v>2182</v>
      </c>
      <c r="K213" s="9" t="s">
        <v>685</v>
      </c>
      <c r="L213" s="10" t="s">
        <v>707</v>
      </c>
      <c r="M213" s="87" t="s">
        <v>2270</v>
      </c>
      <c r="N213" s="11"/>
      <c r="O213" s="11"/>
      <c r="P213" s="10"/>
      <c r="Q213" s="13"/>
      <c r="R213" s="11"/>
      <c r="S213" s="11"/>
      <c r="T213" s="13"/>
      <c r="U213" s="13"/>
      <c r="V213" s="11"/>
      <c r="W213" s="13"/>
      <c r="X213" s="10"/>
      <c r="Y213" s="13"/>
      <c r="Z213" s="11"/>
      <c r="AA213" s="11"/>
      <c r="AB213" s="11"/>
      <c r="AC213" s="88"/>
      <c r="AD213" s="6"/>
      <c r="AE213" s="6"/>
      <c r="AF213" s="6"/>
    </row>
    <row r="214">
      <c r="A214" s="86" t="s">
        <v>2465</v>
      </c>
      <c r="B214" s="58" t="s">
        <v>1139</v>
      </c>
      <c r="C214" s="58" t="s">
        <v>810</v>
      </c>
      <c r="D214" s="79" t="s">
        <v>701</v>
      </c>
      <c r="E214" s="24" t="str">
        <f>IF(ISNA(MATCH(A214, 'A-Z player stats'!A:A, 0)), "Delete", "Keep")</f>
        <v>Delete</v>
      </c>
      <c r="G214" s="8"/>
      <c r="H214" s="9"/>
      <c r="I214" s="7" t="s">
        <v>2465</v>
      </c>
      <c r="J214" s="9" t="s">
        <v>1139</v>
      </c>
      <c r="K214" s="9" t="s">
        <v>810</v>
      </c>
      <c r="L214" s="90" t="s">
        <v>701</v>
      </c>
      <c r="M214" s="93" t="s">
        <v>2270</v>
      </c>
      <c r="N214" s="11"/>
      <c r="O214" s="11"/>
      <c r="P214" s="12"/>
      <c r="Q214" s="13"/>
      <c r="R214" s="13"/>
      <c r="S214" s="13"/>
      <c r="T214" s="13"/>
      <c r="U214" s="13"/>
      <c r="V214" s="11"/>
      <c r="W214" s="13"/>
      <c r="X214" s="12"/>
      <c r="Y214" s="13"/>
      <c r="Z214" s="13"/>
      <c r="AA214" s="13"/>
      <c r="AB214" s="13"/>
      <c r="AC214" s="88"/>
      <c r="AD214" s="6"/>
      <c r="AE214" s="6"/>
      <c r="AF214" s="6"/>
    </row>
    <row r="215">
      <c r="A215" s="86" t="s">
        <v>292</v>
      </c>
      <c r="B215" s="58" t="s">
        <v>1682</v>
      </c>
      <c r="C215" s="58" t="s">
        <v>810</v>
      </c>
      <c r="D215" s="79" t="s">
        <v>677</v>
      </c>
      <c r="E215" s="24" t="str">
        <f>IF(ISNA(MATCH(A215, 'A-Z player stats'!A:A, 0)), "Delete", "Keep")</f>
        <v>Keep</v>
      </c>
      <c r="G215" s="8"/>
      <c r="H215" s="9"/>
      <c r="I215" s="7" t="s">
        <v>292</v>
      </c>
      <c r="J215" s="9" t="s">
        <v>1682</v>
      </c>
      <c r="K215" s="9" t="s">
        <v>810</v>
      </c>
      <c r="L215" s="90" t="s">
        <v>677</v>
      </c>
      <c r="M215" s="93" t="s">
        <v>2267</v>
      </c>
      <c r="N215" s="11"/>
      <c r="O215" s="11"/>
      <c r="P215" s="12"/>
      <c r="Q215" s="13"/>
      <c r="R215" s="13"/>
      <c r="S215" s="13"/>
      <c r="T215" s="13"/>
      <c r="U215" s="13"/>
      <c r="V215" s="11"/>
      <c r="W215" s="13"/>
      <c r="X215" s="12"/>
      <c r="Y215" s="13"/>
      <c r="Z215" s="13"/>
      <c r="AA215" s="13"/>
      <c r="AB215" s="13"/>
      <c r="AC215" s="88"/>
      <c r="AD215" s="6"/>
      <c r="AE215" s="6"/>
      <c r="AF215" s="6"/>
    </row>
    <row r="216">
      <c r="A216" s="86" t="s">
        <v>294</v>
      </c>
      <c r="B216" s="58" t="s">
        <v>2040</v>
      </c>
      <c r="C216" s="58" t="s">
        <v>673</v>
      </c>
      <c r="D216" s="79" t="s">
        <v>708</v>
      </c>
      <c r="E216" s="24" t="str">
        <f>IF(ISNA(MATCH(A216, 'A-Z player stats'!A:A, 0)), "Delete", "Keep")</f>
        <v>Keep</v>
      </c>
      <c r="G216" s="8"/>
      <c r="H216" s="9"/>
      <c r="I216" s="7" t="s">
        <v>294</v>
      </c>
      <c r="J216" s="9" t="s">
        <v>2040</v>
      </c>
      <c r="K216" s="9" t="s">
        <v>673</v>
      </c>
      <c r="L216" s="90" t="s">
        <v>708</v>
      </c>
      <c r="M216" s="87" t="s">
        <v>2267</v>
      </c>
      <c r="N216" s="15"/>
      <c r="O216" s="11"/>
      <c r="P216" s="10"/>
      <c r="Q216" s="11"/>
      <c r="R216" s="11"/>
      <c r="S216" s="11"/>
      <c r="T216" s="13"/>
      <c r="U216" s="13"/>
      <c r="V216" s="11"/>
      <c r="W216" s="13"/>
      <c r="X216" s="10"/>
      <c r="Y216" s="11"/>
      <c r="Z216" s="11"/>
      <c r="AA216" s="11"/>
      <c r="AB216" s="11"/>
      <c r="AC216" s="88"/>
      <c r="AD216" s="6"/>
      <c r="AE216" s="6"/>
      <c r="AF216" s="6"/>
    </row>
    <row r="217">
      <c r="A217" s="86" t="s">
        <v>296</v>
      </c>
      <c r="B217" s="58" t="s">
        <v>1281</v>
      </c>
      <c r="C217" s="58" t="s">
        <v>712</v>
      </c>
      <c r="D217" s="92" t="s">
        <v>2466</v>
      </c>
      <c r="E217" s="24" t="str">
        <f>IF(ISNA(MATCH(A217, 'A-Z player stats'!A:A, 0)), "Delete", "Keep")</f>
        <v>Keep</v>
      </c>
      <c r="G217" s="8"/>
      <c r="H217" s="9"/>
      <c r="I217" s="7" t="s">
        <v>296</v>
      </c>
      <c r="J217" s="9" t="s">
        <v>1281</v>
      </c>
      <c r="K217" s="9" t="s">
        <v>712</v>
      </c>
      <c r="L217" s="10" t="s">
        <v>707</v>
      </c>
      <c r="M217" s="87" t="s">
        <v>2267</v>
      </c>
      <c r="N217" s="15"/>
      <c r="O217" s="11"/>
      <c r="P217" s="12"/>
      <c r="Q217" s="11"/>
      <c r="R217" s="11"/>
      <c r="S217" s="13"/>
      <c r="T217" s="13"/>
      <c r="U217" s="13"/>
      <c r="V217" s="11"/>
      <c r="W217" s="13"/>
      <c r="X217" s="12"/>
      <c r="Y217" s="11"/>
      <c r="Z217" s="11"/>
      <c r="AA217" s="13"/>
      <c r="AB217" s="11"/>
      <c r="AC217" s="88"/>
      <c r="AD217" s="6"/>
      <c r="AE217" s="6"/>
      <c r="AF217" s="6"/>
    </row>
    <row r="218">
      <c r="A218" s="86" t="s">
        <v>2467</v>
      </c>
      <c r="B218" s="58" t="s">
        <v>1865</v>
      </c>
      <c r="C218" s="58" t="s">
        <v>690</v>
      </c>
      <c r="D218" s="79" t="s">
        <v>708</v>
      </c>
      <c r="E218" s="24" t="str">
        <f>IF(ISNA(MATCH(A218, 'A-Z player stats'!A:A, 0)), "Delete", "Keep")</f>
        <v>Delete</v>
      </c>
      <c r="G218" s="8"/>
      <c r="H218" s="9"/>
      <c r="I218" s="7" t="s">
        <v>2467</v>
      </c>
      <c r="J218" s="9" t="s">
        <v>1865</v>
      </c>
      <c r="K218" s="9" t="s">
        <v>690</v>
      </c>
      <c r="L218" s="90" t="s">
        <v>708</v>
      </c>
      <c r="M218" s="87" t="s">
        <v>2270</v>
      </c>
      <c r="N218" s="11"/>
      <c r="O218" s="11"/>
      <c r="P218" s="12"/>
      <c r="Q218" s="13"/>
      <c r="R218" s="13"/>
      <c r="S218" s="13"/>
      <c r="T218" s="13"/>
      <c r="U218" s="13"/>
      <c r="V218" s="11"/>
      <c r="W218" s="13"/>
      <c r="X218" s="12"/>
      <c r="Y218" s="13"/>
      <c r="Z218" s="13"/>
      <c r="AA218" s="13"/>
      <c r="AB218" s="13"/>
      <c r="AC218" s="88"/>
      <c r="AD218" s="6"/>
      <c r="AE218" s="6"/>
      <c r="AF218" s="6"/>
    </row>
    <row r="219">
      <c r="A219" s="86" t="s">
        <v>2468</v>
      </c>
      <c r="B219" s="58" t="s">
        <v>1505</v>
      </c>
      <c r="C219" s="58" t="s">
        <v>696</v>
      </c>
      <c r="D219" s="79" t="s">
        <v>677</v>
      </c>
      <c r="E219" s="24" t="str">
        <f>IF(ISNA(MATCH(A219, 'A-Z player stats'!A:A, 0)), "Delete", "Keep")</f>
        <v>Delete</v>
      </c>
      <c r="G219" s="8"/>
      <c r="H219" s="9"/>
      <c r="I219" s="7" t="s">
        <v>2468</v>
      </c>
      <c r="J219" s="9" t="s">
        <v>1505</v>
      </c>
      <c r="K219" s="9" t="s">
        <v>696</v>
      </c>
      <c r="L219" s="90" t="s">
        <v>677</v>
      </c>
      <c r="M219" s="87" t="s">
        <v>2270</v>
      </c>
      <c r="N219" s="15"/>
      <c r="O219" s="11"/>
      <c r="P219" s="12"/>
      <c r="Q219" s="11"/>
      <c r="R219" s="11"/>
      <c r="S219" s="13"/>
      <c r="T219" s="13"/>
      <c r="U219" s="13"/>
      <c r="V219" s="11"/>
      <c r="W219" s="11"/>
      <c r="X219" s="12"/>
      <c r="Y219" s="11"/>
      <c r="Z219" s="11"/>
      <c r="AA219" s="13"/>
      <c r="AB219" s="11"/>
      <c r="AC219" s="88"/>
      <c r="AD219" s="6"/>
      <c r="AE219" s="6"/>
      <c r="AF219" s="6"/>
    </row>
    <row r="220">
      <c r="A220" s="86" t="s">
        <v>298</v>
      </c>
      <c r="B220" s="58" t="s">
        <v>1505</v>
      </c>
      <c r="C220" s="58" t="s">
        <v>696</v>
      </c>
      <c r="D220" s="79" t="s">
        <v>697</v>
      </c>
      <c r="E220" s="24" t="str">
        <f>IF(ISNA(MATCH(A220, 'A-Z player stats'!A:A, 0)), "Delete", "Keep")</f>
        <v>Keep</v>
      </c>
      <c r="G220" s="8"/>
      <c r="H220" s="9"/>
      <c r="I220" s="7" t="s">
        <v>298</v>
      </c>
      <c r="J220" s="9" t="s">
        <v>1505</v>
      </c>
      <c r="K220" s="9" t="s">
        <v>696</v>
      </c>
      <c r="L220" s="90" t="s">
        <v>697</v>
      </c>
      <c r="M220" s="87" t="s">
        <v>2267</v>
      </c>
      <c r="N220" s="15"/>
      <c r="O220" s="11"/>
      <c r="P220" s="12"/>
      <c r="Q220" s="11"/>
      <c r="R220" s="11"/>
      <c r="S220" s="13"/>
      <c r="T220" s="13"/>
      <c r="U220" s="13"/>
      <c r="V220" s="11"/>
      <c r="W220" s="13"/>
      <c r="X220" s="12"/>
      <c r="Y220" s="11"/>
      <c r="Z220" s="11"/>
      <c r="AA220" s="13"/>
      <c r="AB220" s="11"/>
      <c r="AC220" s="88"/>
      <c r="AD220" s="6"/>
      <c r="AE220" s="6"/>
      <c r="AF220" s="6"/>
    </row>
    <row r="221">
      <c r="A221" s="86" t="s">
        <v>300</v>
      </c>
      <c r="B221" s="58" t="s">
        <v>1519</v>
      </c>
      <c r="C221" s="58" t="s">
        <v>712</v>
      </c>
      <c r="D221" s="92" t="s">
        <v>2469</v>
      </c>
      <c r="E221" s="24" t="str">
        <f>IF(ISNA(MATCH(A221, 'A-Z player stats'!A:A, 0)), "Delete", "Keep")</f>
        <v>Keep</v>
      </c>
      <c r="G221" s="8"/>
      <c r="H221" s="9"/>
      <c r="I221" s="7" t="s">
        <v>300</v>
      </c>
      <c r="J221" s="9" t="s">
        <v>1519</v>
      </c>
      <c r="K221" s="9" t="s">
        <v>712</v>
      </c>
      <c r="L221" s="10" t="s">
        <v>684</v>
      </c>
      <c r="M221" s="87" t="s">
        <v>2267</v>
      </c>
      <c r="N221" s="15"/>
      <c r="O221" s="11"/>
      <c r="P221" s="10"/>
      <c r="Q221" s="11"/>
      <c r="R221" s="11"/>
      <c r="S221" s="11"/>
      <c r="T221" s="11"/>
      <c r="U221" s="11"/>
      <c r="V221" s="11"/>
      <c r="W221" s="13"/>
      <c r="X221" s="10"/>
      <c r="Y221" s="11"/>
      <c r="Z221" s="11"/>
      <c r="AA221" s="11"/>
      <c r="AB221" s="11"/>
      <c r="AC221" s="88"/>
      <c r="AD221" s="6"/>
      <c r="AE221" s="6"/>
      <c r="AF221" s="6"/>
    </row>
    <row r="222">
      <c r="A222" s="86" t="s">
        <v>303</v>
      </c>
      <c r="B222" s="58" t="s">
        <v>1139</v>
      </c>
      <c r="C222" s="58" t="s">
        <v>810</v>
      </c>
      <c r="D222" s="83" t="s">
        <v>702</v>
      </c>
      <c r="E222" s="24" t="str">
        <f>IF(ISNA(MATCH(A222, 'A-Z player stats'!A:A, 0)), "Delete", "Keep")</f>
        <v>Keep</v>
      </c>
      <c r="G222" s="8"/>
      <c r="H222" s="9"/>
      <c r="I222" s="7" t="s">
        <v>303</v>
      </c>
      <c r="J222" s="9" t="s">
        <v>1139</v>
      </c>
      <c r="K222" s="9" t="s">
        <v>810</v>
      </c>
      <c r="L222" s="90" t="s">
        <v>702</v>
      </c>
      <c r="M222" s="87" t="s">
        <v>2267</v>
      </c>
      <c r="N222" s="15"/>
      <c r="O222" s="11"/>
      <c r="P222" s="10"/>
      <c r="Q222" s="11"/>
      <c r="R222" s="11"/>
      <c r="S222" s="11"/>
      <c r="T222" s="13"/>
      <c r="U222" s="13"/>
      <c r="V222" s="11"/>
      <c r="W222" s="13"/>
      <c r="X222" s="10"/>
      <c r="Y222" s="11"/>
      <c r="Z222" s="11"/>
      <c r="AA222" s="11"/>
      <c r="AB222" s="11"/>
      <c r="AC222" s="88"/>
      <c r="AD222" s="6"/>
      <c r="AE222" s="6"/>
      <c r="AF222" s="6"/>
    </row>
    <row r="223">
      <c r="A223" s="86" t="s">
        <v>2470</v>
      </c>
      <c r="B223" s="58" t="s">
        <v>2172</v>
      </c>
      <c r="C223" s="58" t="s">
        <v>810</v>
      </c>
      <c r="D223" s="79" t="s">
        <v>691</v>
      </c>
      <c r="E223" s="24" t="str">
        <f>IF(ISNA(MATCH(A223, 'A-Z player stats'!A:A, 0)), "Delete", "Keep")</f>
        <v>Delete</v>
      </c>
      <c r="G223" s="8"/>
      <c r="H223" s="9"/>
      <c r="I223" s="7" t="s">
        <v>2470</v>
      </c>
      <c r="J223" s="9" t="s">
        <v>2172</v>
      </c>
      <c r="K223" s="9" t="s">
        <v>810</v>
      </c>
      <c r="L223" s="90" t="s">
        <v>691</v>
      </c>
      <c r="M223" s="87" t="s">
        <v>2270</v>
      </c>
      <c r="N223" s="15"/>
      <c r="O223" s="11"/>
      <c r="P223" s="10"/>
      <c r="Q223" s="11"/>
      <c r="R223" s="11"/>
      <c r="S223" s="11"/>
      <c r="T223" s="11"/>
      <c r="U223" s="11"/>
      <c r="V223" s="11"/>
      <c r="W223" s="13"/>
      <c r="X223" s="10"/>
      <c r="Y223" s="11"/>
      <c r="Z223" s="11"/>
      <c r="AA223" s="11"/>
      <c r="AB223" s="11"/>
      <c r="AC223" s="88"/>
      <c r="AD223" s="6"/>
      <c r="AE223" s="6"/>
      <c r="AF223" s="6"/>
    </row>
    <row r="224">
      <c r="A224" s="86" t="s">
        <v>305</v>
      </c>
      <c r="B224" s="58" t="s">
        <v>1462</v>
      </c>
      <c r="C224" s="58" t="s">
        <v>720</v>
      </c>
      <c r="D224" s="79" t="s">
        <v>703</v>
      </c>
      <c r="E224" s="24" t="str">
        <f>IF(ISNA(MATCH(A224, 'A-Z player stats'!A:A, 0)), "Delete", "Keep")</f>
        <v>Keep</v>
      </c>
      <c r="G224" s="8"/>
      <c r="H224" s="9"/>
      <c r="I224" s="7" t="s">
        <v>305</v>
      </c>
      <c r="J224" s="9" t="s">
        <v>1462</v>
      </c>
      <c r="K224" s="9" t="s">
        <v>720</v>
      </c>
      <c r="L224" s="90" t="s">
        <v>703</v>
      </c>
      <c r="M224" s="87" t="s">
        <v>2267</v>
      </c>
      <c r="N224" s="11"/>
      <c r="O224" s="11"/>
      <c r="P224" s="12"/>
      <c r="Q224" s="11"/>
      <c r="R224" s="11"/>
      <c r="S224" s="13"/>
      <c r="T224" s="13"/>
      <c r="U224" s="13"/>
      <c r="V224" s="13"/>
      <c r="W224" s="13"/>
      <c r="X224" s="12"/>
      <c r="Y224" s="11"/>
      <c r="Z224" s="11"/>
      <c r="AA224" s="13"/>
      <c r="AB224" s="11"/>
      <c r="AC224" s="88"/>
      <c r="AD224" s="6"/>
      <c r="AE224" s="6"/>
      <c r="AF224" s="6"/>
    </row>
    <row r="225">
      <c r="A225" s="86" t="s">
        <v>307</v>
      </c>
      <c r="B225" s="58" t="s">
        <v>2057</v>
      </c>
      <c r="C225" s="58" t="s">
        <v>725</v>
      </c>
      <c r="D225" s="78" t="s">
        <v>2471</v>
      </c>
      <c r="E225" s="24" t="str">
        <f>IF(ISNA(MATCH(A225, 'A-Z player stats'!A:A, 0)), "Delete", "Keep")</f>
        <v>Keep</v>
      </c>
      <c r="G225" s="8"/>
      <c r="H225" s="9"/>
      <c r="I225" s="7" t="s">
        <v>307</v>
      </c>
      <c r="J225" s="9" t="s">
        <v>2057</v>
      </c>
      <c r="K225" s="9" t="s">
        <v>725</v>
      </c>
      <c r="L225" s="10" t="s">
        <v>726</v>
      </c>
      <c r="M225" s="87" t="s">
        <v>2267</v>
      </c>
      <c r="N225" s="15"/>
      <c r="O225" s="11"/>
      <c r="P225" s="12"/>
      <c r="Q225" s="11"/>
      <c r="R225" s="11"/>
      <c r="S225" s="13"/>
      <c r="T225" s="13"/>
      <c r="U225" s="13"/>
      <c r="V225" s="11"/>
      <c r="W225" s="13"/>
      <c r="X225" s="12"/>
      <c r="Y225" s="11"/>
      <c r="Z225" s="11"/>
      <c r="AA225" s="13"/>
      <c r="AB225" s="11"/>
      <c r="AC225" s="88"/>
      <c r="AD225" s="6"/>
      <c r="AE225" s="6"/>
      <c r="AF225" s="6"/>
    </row>
    <row r="226">
      <c r="A226" s="86" t="s">
        <v>309</v>
      </c>
      <c r="B226" s="58" t="s">
        <v>1883</v>
      </c>
      <c r="C226" s="58" t="s">
        <v>670</v>
      </c>
      <c r="D226" s="91" t="s">
        <v>706</v>
      </c>
      <c r="E226" s="24" t="str">
        <f>IF(ISNA(MATCH(A226, 'A-Z player stats'!A:A, 0)), "Delete", "Keep")</f>
        <v>Keep</v>
      </c>
      <c r="G226" s="8"/>
      <c r="H226" s="9"/>
      <c r="I226" s="7" t="s">
        <v>309</v>
      </c>
      <c r="J226" s="9" t="s">
        <v>1883</v>
      </c>
      <c r="K226" s="9" t="s">
        <v>670</v>
      </c>
      <c r="L226" s="90" t="s">
        <v>706</v>
      </c>
      <c r="M226" s="87" t="s">
        <v>2267</v>
      </c>
      <c r="N226" s="15"/>
      <c r="O226" s="11"/>
      <c r="P226" s="10"/>
      <c r="Q226" s="11"/>
      <c r="R226" s="11"/>
      <c r="S226" s="11"/>
      <c r="T226" s="13"/>
      <c r="U226" s="13"/>
      <c r="V226" s="11"/>
      <c r="W226" s="13"/>
      <c r="X226" s="10"/>
      <c r="Y226" s="11"/>
      <c r="Z226" s="11"/>
      <c r="AA226" s="11"/>
      <c r="AB226" s="11"/>
      <c r="AC226" s="88"/>
      <c r="AD226" s="6"/>
      <c r="AE226" s="6"/>
      <c r="AF226" s="6"/>
    </row>
    <row r="227">
      <c r="A227" s="86" t="s">
        <v>311</v>
      </c>
      <c r="B227" s="58" t="s">
        <v>1490</v>
      </c>
      <c r="C227" s="58" t="s">
        <v>678</v>
      </c>
      <c r="D227" s="78" t="s">
        <v>2472</v>
      </c>
      <c r="E227" s="24" t="str">
        <f>IF(ISNA(MATCH(A227, 'A-Z player stats'!A:A, 0)), "Delete", "Keep")</f>
        <v>Keep</v>
      </c>
      <c r="G227" s="8"/>
      <c r="H227" s="9"/>
      <c r="I227" s="7" t="s">
        <v>311</v>
      </c>
      <c r="J227" s="9" t="s">
        <v>1490</v>
      </c>
      <c r="K227" s="9" t="s">
        <v>678</v>
      </c>
      <c r="L227" s="10" t="s">
        <v>695</v>
      </c>
      <c r="M227" s="87" t="s">
        <v>2267</v>
      </c>
      <c r="N227" s="15"/>
      <c r="O227" s="11"/>
      <c r="P227" s="10"/>
      <c r="Q227" s="13"/>
      <c r="R227" s="11"/>
      <c r="S227" s="11"/>
      <c r="T227" s="13"/>
      <c r="U227" s="13"/>
      <c r="V227" s="11"/>
      <c r="W227" s="11"/>
      <c r="X227" s="10"/>
      <c r="Y227" s="13"/>
      <c r="Z227" s="11"/>
      <c r="AA227" s="11"/>
      <c r="AB227" s="11"/>
      <c r="AC227" s="88"/>
      <c r="AD227" s="6"/>
      <c r="AE227" s="6"/>
      <c r="AF227" s="6"/>
    </row>
    <row r="228">
      <c r="A228" s="86" t="s">
        <v>313</v>
      </c>
      <c r="B228" s="58" t="s">
        <v>1129</v>
      </c>
      <c r="C228" s="58" t="s">
        <v>693</v>
      </c>
      <c r="D228" s="79" t="s">
        <v>702</v>
      </c>
      <c r="E228" s="24" t="str">
        <f>IF(ISNA(MATCH(A228, 'A-Z player stats'!A:A, 0)), "Delete", "Keep")</f>
        <v>Keep</v>
      </c>
      <c r="G228" s="8"/>
      <c r="H228" s="9"/>
      <c r="I228" s="7" t="s">
        <v>313</v>
      </c>
      <c r="J228" s="9" t="s">
        <v>1129</v>
      </c>
      <c r="K228" s="9" t="s">
        <v>693</v>
      </c>
      <c r="L228" s="90" t="s">
        <v>702</v>
      </c>
      <c r="M228" s="87" t="s">
        <v>2267</v>
      </c>
      <c r="N228" s="11"/>
      <c r="O228" s="11"/>
      <c r="P228" s="10"/>
      <c r="Q228" s="13"/>
      <c r="R228" s="11"/>
      <c r="S228" s="11"/>
      <c r="T228" s="13"/>
      <c r="U228" s="13"/>
      <c r="V228" s="13"/>
      <c r="W228" s="13"/>
      <c r="X228" s="10"/>
      <c r="Y228" s="13"/>
      <c r="Z228" s="11"/>
      <c r="AA228" s="11"/>
      <c r="AB228" s="11"/>
      <c r="AC228" s="88"/>
      <c r="AD228" s="6"/>
      <c r="AE228" s="6"/>
      <c r="AF228" s="6"/>
    </row>
    <row r="229">
      <c r="A229" s="86" t="s">
        <v>317</v>
      </c>
      <c r="B229" s="58" t="s">
        <v>1139</v>
      </c>
      <c r="C229" s="58" t="s">
        <v>810</v>
      </c>
      <c r="D229" s="79" t="s">
        <v>697</v>
      </c>
      <c r="E229" s="24" t="str">
        <f>IF(ISNA(MATCH(A229, 'A-Z player stats'!A:A, 0)), "Delete", "Keep")</f>
        <v>Keep</v>
      </c>
      <c r="G229" s="8"/>
      <c r="H229" s="9"/>
      <c r="I229" s="7" t="s">
        <v>317</v>
      </c>
      <c r="J229" s="9" t="s">
        <v>1139</v>
      </c>
      <c r="K229" s="9" t="s">
        <v>810</v>
      </c>
      <c r="L229" s="90" t="s">
        <v>697</v>
      </c>
      <c r="M229" s="87" t="s">
        <v>2267</v>
      </c>
      <c r="N229" s="15"/>
      <c r="O229" s="11"/>
      <c r="P229" s="10"/>
      <c r="Q229" s="11"/>
      <c r="R229" s="11"/>
      <c r="S229" s="11"/>
      <c r="T229" s="13"/>
      <c r="U229" s="13"/>
      <c r="V229" s="11"/>
      <c r="W229" s="13"/>
      <c r="X229" s="10"/>
      <c r="Y229" s="11"/>
      <c r="Z229" s="11"/>
      <c r="AA229" s="11"/>
      <c r="AB229" s="11"/>
      <c r="AC229" s="88"/>
      <c r="AD229" s="6"/>
      <c r="AE229" s="6"/>
      <c r="AF229" s="6"/>
    </row>
    <row r="230">
      <c r="A230" s="86" t="s">
        <v>2473</v>
      </c>
      <c r="B230" s="58" t="s">
        <v>1222</v>
      </c>
      <c r="C230" s="58" t="s">
        <v>715</v>
      </c>
      <c r="D230" s="92" t="s">
        <v>2474</v>
      </c>
      <c r="E230" s="24" t="str">
        <f>IF(ISNA(MATCH(A230, 'A-Z player stats'!A:A, 0)), "Delete", "Keep")</f>
        <v>Delete</v>
      </c>
      <c r="G230" s="8"/>
      <c r="H230" s="9"/>
      <c r="I230" s="7" t="s">
        <v>2473</v>
      </c>
      <c r="J230" s="9" t="s">
        <v>1222</v>
      </c>
      <c r="K230" s="9" t="s">
        <v>715</v>
      </c>
      <c r="L230" s="10" t="s">
        <v>694</v>
      </c>
      <c r="M230" s="87" t="s">
        <v>2270</v>
      </c>
      <c r="N230" s="11"/>
      <c r="O230" s="11"/>
      <c r="P230" s="12"/>
      <c r="Q230" s="11"/>
      <c r="R230" s="11"/>
      <c r="S230" s="13"/>
      <c r="T230" s="13"/>
      <c r="U230" s="13"/>
      <c r="V230" s="13"/>
      <c r="W230" s="13"/>
      <c r="X230" s="12"/>
      <c r="Y230" s="11"/>
      <c r="Z230" s="11"/>
      <c r="AA230" s="13"/>
      <c r="AB230" s="11"/>
      <c r="AC230" s="88"/>
      <c r="AD230" s="6"/>
      <c r="AE230" s="6"/>
      <c r="AF230" s="6"/>
    </row>
    <row r="231">
      <c r="A231" s="86" t="s">
        <v>319</v>
      </c>
      <c r="B231" s="58" t="s">
        <v>1739</v>
      </c>
      <c r="C231" s="58" t="s">
        <v>688</v>
      </c>
      <c r="D231" s="92" t="s">
        <v>2475</v>
      </c>
      <c r="E231" s="24" t="str">
        <f>IF(ISNA(MATCH(A231, 'A-Z player stats'!A:A, 0)), "Delete", "Keep")</f>
        <v>Keep</v>
      </c>
      <c r="G231" s="8"/>
      <c r="H231" s="9"/>
      <c r="I231" s="7" t="s">
        <v>319</v>
      </c>
      <c r="J231" s="9" t="s">
        <v>1739</v>
      </c>
      <c r="K231" s="9" t="s">
        <v>688</v>
      </c>
      <c r="L231" s="10" t="s">
        <v>671</v>
      </c>
      <c r="M231" s="87" t="s">
        <v>2267</v>
      </c>
      <c r="N231" s="11"/>
      <c r="O231" s="11"/>
      <c r="P231" s="12"/>
      <c r="Q231" s="13"/>
      <c r="R231" s="13"/>
      <c r="S231" s="13"/>
      <c r="T231" s="13"/>
      <c r="U231" s="13"/>
      <c r="V231" s="11"/>
      <c r="W231" s="13"/>
      <c r="X231" s="12"/>
      <c r="Y231" s="13"/>
      <c r="Z231" s="13"/>
      <c r="AA231" s="13"/>
      <c r="AB231" s="13"/>
      <c r="AC231" s="88"/>
      <c r="AD231" s="6"/>
      <c r="AE231" s="6"/>
      <c r="AF231" s="6"/>
    </row>
    <row r="232">
      <c r="A232" s="86" t="s">
        <v>2476</v>
      </c>
      <c r="B232" s="58" t="s">
        <v>1739</v>
      </c>
      <c r="C232" s="58" t="s">
        <v>688</v>
      </c>
      <c r="D232" s="92" t="s">
        <v>2477</v>
      </c>
      <c r="E232" s="24" t="str">
        <f>IF(ISNA(MATCH(A232, 'A-Z player stats'!A:A, 0)), "Delete", "Keep")</f>
        <v>Delete</v>
      </c>
      <c r="G232" s="8"/>
      <c r="H232" s="9"/>
      <c r="I232" s="7" t="s">
        <v>2476</v>
      </c>
      <c r="J232" s="9" t="s">
        <v>1739</v>
      </c>
      <c r="K232" s="9" t="s">
        <v>688</v>
      </c>
      <c r="L232" s="10" t="s">
        <v>671</v>
      </c>
      <c r="M232" s="93" t="s">
        <v>2270</v>
      </c>
      <c r="N232" s="11"/>
      <c r="O232" s="11"/>
      <c r="P232" s="12"/>
      <c r="Q232" s="13"/>
      <c r="R232" s="13"/>
      <c r="S232" s="13"/>
      <c r="T232" s="13"/>
      <c r="U232" s="13"/>
      <c r="V232" s="13"/>
      <c r="W232" s="13"/>
      <c r="X232" s="12"/>
      <c r="Y232" s="13"/>
      <c r="Z232" s="13"/>
      <c r="AA232" s="13"/>
      <c r="AB232" s="13"/>
      <c r="AC232" s="88"/>
      <c r="AD232" s="6"/>
      <c r="AE232" s="6"/>
      <c r="AF232" s="6"/>
    </row>
    <row r="233">
      <c r="A233" s="86" t="s">
        <v>2478</v>
      </c>
      <c r="B233" s="58" t="s">
        <v>1208</v>
      </c>
      <c r="C233" s="58" t="s">
        <v>709</v>
      </c>
      <c r="D233" s="78" t="s">
        <v>2479</v>
      </c>
      <c r="E233" s="24" t="str">
        <f>IF(ISNA(MATCH(A233, 'A-Z player stats'!A:A, 0)), "Delete", "Keep")</f>
        <v>Delete</v>
      </c>
      <c r="G233" s="8"/>
      <c r="H233" s="9"/>
      <c r="I233" s="7" t="s">
        <v>2478</v>
      </c>
      <c r="J233" s="9" t="s">
        <v>1208</v>
      </c>
      <c r="K233" s="9" t="s">
        <v>709</v>
      </c>
      <c r="L233" s="10" t="s">
        <v>713</v>
      </c>
      <c r="M233" s="93" t="s">
        <v>2270</v>
      </c>
      <c r="N233" s="11"/>
      <c r="O233" s="11"/>
      <c r="P233" s="12"/>
      <c r="Q233" s="13"/>
      <c r="R233" s="13"/>
      <c r="S233" s="13"/>
      <c r="T233" s="13"/>
      <c r="U233" s="13"/>
      <c r="V233" s="13"/>
      <c r="W233" s="13"/>
      <c r="X233" s="12"/>
      <c r="Y233" s="13"/>
      <c r="Z233" s="13"/>
      <c r="AA233" s="13"/>
      <c r="AB233" s="13"/>
      <c r="AC233" s="88"/>
      <c r="AD233" s="6"/>
      <c r="AE233" s="6"/>
      <c r="AF233" s="6"/>
    </row>
    <row r="234">
      <c r="A234" s="86" t="s">
        <v>321</v>
      </c>
      <c r="B234" s="58" t="s">
        <v>1139</v>
      </c>
      <c r="C234" s="58" t="s">
        <v>810</v>
      </c>
      <c r="D234" s="95" t="s">
        <v>702</v>
      </c>
      <c r="E234" s="24" t="str">
        <f>IF(ISNA(MATCH(A234, 'A-Z player stats'!A:A, 0)), "Delete", "Keep")</f>
        <v>Keep</v>
      </c>
      <c r="G234" s="8"/>
      <c r="H234" s="9"/>
      <c r="I234" s="7" t="s">
        <v>321</v>
      </c>
      <c r="J234" s="9" t="s">
        <v>1139</v>
      </c>
      <c r="K234" s="9" t="s">
        <v>810</v>
      </c>
      <c r="L234" s="90" t="s">
        <v>702</v>
      </c>
      <c r="M234" s="87" t="s">
        <v>2267</v>
      </c>
      <c r="N234" s="11"/>
      <c r="O234" s="11"/>
      <c r="P234" s="10"/>
      <c r="Q234" s="13"/>
      <c r="R234" s="11"/>
      <c r="S234" s="11"/>
      <c r="T234" s="13"/>
      <c r="U234" s="13"/>
      <c r="V234" s="11"/>
      <c r="W234" s="13"/>
      <c r="X234" s="10"/>
      <c r="Y234" s="13"/>
      <c r="Z234" s="11"/>
      <c r="AA234" s="11"/>
      <c r="AB234" s="11"/>
      <c r="AC234" s="88"/>
      <c r="AD234" s="6"/>
      <c r="AE234" s="6"/>
      <c r="AF234" s="6"/>
    </row>
    <row r="235">
      <c r="A235" s="86" t="s">
        <v>2480</v>
      </c>
      <c r="B235" s="58" t="s">
        <v>2238</v>
      </c>
      <c r="C235" s="58" t="s">
        <v>704</v>
      </c>
      <c r="D235" s="89" t="s">
        <v>2481</v>
      </c>
      <c r="E235" s="24" t="str">
        <f>IF(ISNA(MATCH(A235, 'A-Z player stats'!A:A, 0)), "Delete", "Keep")</f>
        <v>Delete</v>
      </c>
      <c r="G235" s="8"/>
      <c r="H235" s="9"/>
      <c r="I235" s="7" t="s">
        <v>2480</v>
      </c>
      <c r="J235" s="9" t="s">
        <v>2238</v>
      </c>
      <c r="K235" s="9" t="s">
        <v>704</v>
      </c>
      <c r="L235" s="10" t="s">
        <v>686</v>
      </c>
      <c r="M235" s="87" t="s">
        <v>2270</v>
      </c>
      <c r="N235" s="11"/>
      <c r="O235" s="11"/>
      <c r="P235" s="12"/>
      <c r="Q235" s="13"/>
      <c r="R235" s="13"/>
      <c r="S235" s="13"/>
      <c r="T235" s="13"/>
      <c r="U235" s="13"/>
      <c r="V235" s="13"/>
      <c r="W235" s="13"/>
      <c r="X235" s="12"/>
      <c r="Y235" s="13"/>
      <c r="Z235" s="13"/>
      <c r="AA235" s="13"/>
      <c r="AB235" s="13"/>
      <c r="AC235" s="88"/>
      <c r="AD235" s="6"/>
      <c r="AE235" s="6"/>
      <c r="AF235" s="6"/>
    </row>
    <row r="236">
      <c r="A236" s="86" t="s">
        <v>323</v>
      </c>
      <c r="B236" s="58" t="s">
        <v>1441</v>
      </c>
      <c r="C236" s="58" t="s">
        <v>673</v>
      </c>
      <c r="D236" s="89" t="s">
        <v>2482</v>
      </c>
      <c r="E236" s="24" t="str">
        <f>IF(ISNA(MATCH(A236, 'A-Z player stats'!A:A, 0)), "Delete", "Keep")</f>
        <v>Keep</v>
      </c>
      <c r="G236" s="8"/>
      <c r="H236" s="9"/>
      <c r="I236" s="7" t="s">
        <v>323</v>
      </c>
      <c r="J236" s="9" t="s">
        <v>1441</v>
      </c>
      <c r="K236" s="9" t="s">
        <v>673</v>
      </c>
      <c r="L236" s="10" t="s">
        <v>668</v>
      </c>
      <c r="M236" s="87" t="s">
        <v>2267</v>
      </c>
      <c r="N236" s="15"/>
      <c r="O236" s="11"/>
      <c r="P236" s="10"/>
      <c r="Q236" s="11"/>
      <c r="R236" s="11"/>
      <c r="S236" s="11"/>
      <c r="T236" s="13"/>
      <c r="U236" s="13"/>
      <c r="V236" s="11"/>
      <c r="W236" s="13"/>
      <c r="X236" s="10"/>
      <c r="Y236" s="11"/>
      <c r="Z236" s="11"/>
      <c r="AA236" s="11"/>
      <c r="AB236" s="11"/>
      <c r="AC236" s="88"/>
      <c r="AD236" s="6"/>
      <c r="AE236" s="6"/>
      <c r="AF236" s="6"/>
    </row>
    <row r="237">
      <c r="A237" s="86" t="s">
        <v>2483</v>
      </c>
      <c r="B237" s="58" t="s">
        <v>1517</v>
      </c>
      <c r="C237" s="58" t="s">
        <v>678</v>
      </c>
      <c r="D237" s="79" t="s">
        <v>677</v>
      </c>
      <c r="E237" s="24" t="str">
        <f>IF(ISNA(MATCH(A237, 'A-Z player stats'!A:A, 0)), "Delete", "Keep")</f>
        <v>Delete</v>
      </c>
      <c r="G237" s="8"/>
      <c r="H237" s="9"/>
      <c r="I237" s="7" t="s">
        <v>2483</v>
      </c>
      <c r="J237" s="9" t="s">
        <v>1517</v>
      </c>
      <c r="K237" s="9" t="s">
        <v>678</v>
      </c>
      <c r="L237" s="90" t="s">
        <v>677</v>
      </c>
      <c r="M237" s="87" t="s">
        <v>2270</v>
      </c>
      <c r="N237" s="15"/>
      <c r="O237" s="11"/>
      <c r="P237" s="10"/>
      <c r="Q237" s="11"/>
      <c r="R237" s="11"/>
      <c r="S237" s="11"/>
      <c r="T237" s="11"/>
      <c r="U237" s="11"/>
      <c r="V237" s="11"/>
      <c r="W237" s="13"/>
      <c r="X237" s="10"/>
      <c r="Y237" s="11"/>
      <c r="Z237" s="11"/>
      <c r="AA237" s="11"/>
      <c r="AB237" s="11"/>
      <c r="AC237" s="88"/>
      <c r="AD237" s="6"/>
      <c r="AE237" s="6"/>
      <c r="AF237" s="6"/>
    </row>
    <row r="238">
      <c r="A238" s="86" t="s">
        <v>325</v>
      </c>
      <c r="B238" s="58" t="s">
        <v>1645</v>
      </c>
      <c r="C238" s="58" t="s">
        <v>810</v>
      </c>
      <c r="D238" s="79" t="s">
        <v>677</v>
      </c>
      <c r="E238" s="24" t="str">
        <f>IF(ISNA(MATCH(A238, 'A-Z player stats'!A:A, 0)), "Delete", "Keep")</f>
        <v>Keep</v>
      </c>
      <c r="G238" s="8"/>
      <c r="H238" s="9"/>
      <c r="I238" s="7" t="s">
        <v>325</v>
      </c>
      <c r="J238" s="9" t="s">
        <v>1645</v>
      </c>
      <c r="K238" s="9" t="s">
        <v>810</v>
      </c>
      <c r="L238" s="90" t="s">
        <v>677</v>
      </c>
      <c r="M238" s="87" t="s">
        <v>2267</v>
      </c>
      <c r="N238" s="15"/>
      <c r="O238" s="11"/>
      <c r="P238" s="10"/>
      <c r="Q238" s="11"/>
      <c r="R238" s="11"/>
      <c r="S238" s="11"/>
      <c r="T238" s="13"/>
      <c r="U238" s="13"/>
      <c r="V238" s="11"/>
      <c r="W238" s="13"/>
      <c r="X238" s="10"/>
      <c r="Y238" s="11"/>
      <c r="Z238" s="11"/>
      <c r="AA238" s="11"/>
      <c r="AB238" s="11"/>
      <c r="AC238" s="88"/>
      <c r="AD238" s="6"/>
      <c r="AE238" s="6"/>
      <c r="AF238" s="6"/>
    </row>
    <row r="239">
      <c r="A239" s="86" t="s">
        <v>2484</v>
      </c>
      <c r="B239" s="58" t="s">
        <v>1406</v>
      </c>
      <c r="C239" s="58" t="s">
        <v>693</v>
      </c>
      <c r="D239" s="89" t="s">
        <v>2485</v>
      </c>
      <c r="E239" s="24" t="str">
        <f>IF(ISNA(MATCH(A239, 'A-Z player stats'!A:A, 0)), "Delete", "Keep")</f>
        <v>Delete</v>
      </c>
      <c r="G239" s="8"/>
      <c r="H239" s="9"/>
      <c r="I239" s="7" t="s">
        <v>2484</v>
      </c>
      <c r="J239" s="9" t="s">
        <v>1406</v>
      </c>
      <c r="K239" s="9" t="s">
        <v>693</v>
      </c>
      <c r="L239" s="10" t="s">
        <v>695</v>
      </c>
      <c r="M239" s="87" t="s">
        <v>2270</v>
      </c>
      <c r="N239" s="11"/>
      <c r="O239" s="11"/>
      <c r="P239" s="12"/>
      <c r="Q239" s="11"/>
      <c r="R239" s="11"/>
      <c r="S239" s="13"/>
      <c r="T239" s="13"/>
      <c r="U239" s="13"/>
      <c r="V239" s="11"/>
      <c r="W239" s="13"/>
      <c r="X239" s="12"/>
      <c r="Y239" s="11"/>
      <c r="Z239" s="11"/>
      <c r="AA239" s="13"/>
      <c r="AB239" s="11"/>
      <c r="AC239" s="88"/>
      <c r="AD239" s="6"/>
      <c r="AE239" s="6"/>
      <c r="AF239" s="6"/>
    </row>
    <row r="240">
      <c r="A240" s="86" t="s">
        <v>2486</v>
      </c>
      <c r="B240" s="58" t="s">
        <v>1319</v>
      </c>
      <c r="C240" s="58" t="s">
        <v>673</v>
      </c>
      <c r="D240" s="89" t="s">
        <v>2487</v>
      </c>
      <c r="E240" s="24" t="str">
        <f>IF(ISNA(MATCH(A240, 'A-Z player stats'!A:A, 0)), "Delete", "Keep")</f>
        <v>Delete</v>
      </c>
      <c r="G240" s="8"/>
      <c r="H240" s="9"/>
      <c r="I240" s="7" t="s">
        <v>2486</v>
      </c>
      <c r="J240" s="9" t="s">
        <v>1319</v>
      </c>
      <c r="K240" s="9" t="s">
        <v>673</v>
      </c>
      <c r="L240" s="10" t="s">
        <v>671</v>
      </c>
      <c r="M240" s="87" t="s">
        <v>2270</v>
      </c>
      <c r="N240" s="11"/>
      <c r="O240" s="11"/>
      <c r="P240" s="10"/>
      <c r="Q240" s="11"/>
      <c r="R240" s="11"/>
      <c r="S240" s="11"/>
      <c r="T240" s="13"/>
      <c r="U240" s="13"/>
      <c r="V240" s="11"/>
      <c r="W240" s="13"/>
      <c r="X240" s="10"/>
      <c r="Y240" s="11"/>
      <c r="Z240" s="11"/>
      <c r="AA240" s="11"/>
      <c r="AB240" s="11"/>
      <c r="AC240" s="88"/>
      <c r="AD240" s="6"/>
      <c r="AE240" s="6"/>
      <c r="AF240" s="6"/>
    </row>
    <row r="241">
      <c r="A241" s="86" t="s">
        <v>327</v>
      </c>
      <c r="B241" s="58" t="s">
        <v>1885</v>
      </c>
      <c r="C241" s="58" t="s">
        <v>709</v>
      </c>
      <c r="D241" s="79" t="s">
        <v>701</v>
      </c>
      <c r="E241" s="24" t="str">
        <f>IF(ISNA(MATCH(A241, 'A-Z player stats'!A:A, 0)), "Delete", "Keep")</f>
        <v>Keep</v>
      </c>
      <c r="G241" s="8"/>
      <c r="H241" s="9"/>
      <c r="I241" s="7" t="s">
        <v>327</v>
      </c>
      <c r="J241" s="9" t="s">
        <v>1885</v>
      </c>
      <c r="K241" s="9" t="s">
        <v>709</v>
      </c>
      <c r="L241" s="90" t="s">
        <v>701</v>
      </c>
      <c r="M241" s="93" t="s">
        <v>2267</v>
      </c>
      <c r="N241" s="11"/>
      <c r="O241" s="11"/>
      <c r="P241" s="12"/>
      <c r="Q241" s="13"/>
      <c r="R241" s="13"/>
      <c r="S241" s="13"/>
      <c r="T241" s="13"/>
      <c r="U241" s="13"/>
      <c r="V241" s="13"/>
      <c r="W241" s="13"/>
      <c r="X241" s="12"/>
      <c r="Y241" s="13"/>
      <c r="Z241" s="13"/>
      <c r="AA241" s="13"/>
      <c r="AB241" s="13"/>
      <c r="AC241" s="88"/>
      <c r="AD241" s="6"/>
      <c r="AE241" s="6"/>
      <c r="AF241" s="6"/>
    </row>
    <row r="242">
      <c r="A242" s="86" t="s">
        <v>2488</v>
      </c>
      <c r="B242" s="58" t="s">
        <v>1110</v>
      </c>
      <c r="C242" s="58" t="s">
        <v>685</v>
      </c>
      <c r="D242" s="89" t="s">
        <v>2489</v>
      </c>
      <c r="E242" s="24" t="str">
        <f>IF(ISNA(MATCH(A242, 'A-Z player stats'!A:A, 0)), "Delete", "Keep")</f>
        <v>Delete</v>
      </c>
      <c r="G242" s="8"/>
      <c r="H242" s="9"/>
      <c r="I242" s="7" t="s">
        <v>2488</v>
      </c>
      <c r="J242" s="9" t="s">
        <v>1110</v>
      </c>
      <c r="K242" s="9" t="s">
        <v>685</v>
      </c>
      <c r="L242" s="10" t="s">
        <v>668</v>
      </c>
      <c r="M242" s="87" t="s">
        <v>2270</v>
      </c>
      <c r="N242" s="15"/>
      <c r="O242" s="11"/>
      <c r="P242" s="10"/>
      <c r="Q242" s="13"/>
      <c r="R242" s="11"/>
      <c r="S242" s="11"/>
      <c r="T242" s="13"/>
      <c r="U242" s="13"/>
      <c r="V242" s="11"/>
      <c r="W242" s="13"/>
      <c r="X242" s="10"/>
      <c r="Y242" s="13"/>
      <c r="Z242" s="11"/>
      <c r="AA242" s="11"/>
      <c r="AB242" s="11"/>
      <c r="AC242" s="88"/>
      <c r="AD242" s="6"/>
      <c r="AE242" s="6"/>
      <c r="AF242" s="6"/>
    </row>
    <row r="243">
      <c r="A243" s="86" t="s">
        <v>333</v>
      </c>
      <c r="B243" s="58" t="s">
        <v>1139</v>
      </c>
      <c r="C243" s="58" t="s">
        <v>810</v>
      </c>
      <c r="D243" s="91" t="s">
        <v>691</v>
      </c>
      <c r="E243" s="24" t="str">
        <f>IF(ISNA(MATCH(A243, 'A-Z player stats'!A:A, 0)), "Delete", "Keep")</f>
        <v>Keep</v>
      </c>
      <c r="G243" s="8"/>
      <c r="H243" s="9"/>
      <c r="I243" s="7" t="s">
        <v>333</v>
      </c>
      <c r="J243" s="9" t="s">
        <v>1139</v>
      </c>
      <c r="K243" s="9" t="s">
        <v>810</v>
      </c>
      <c r="L243" s="90" t="s">
        <v>691</v>
      </c>
      <c r="M243" s="87" t="s">
        <v>2267</v>
      </c>
      <c r="N243" s="11"/>
      <c r="O243" s="11"/>
      <c r="P243" s="10"/>
      <c r="Q243" s="13"/>
      <c r="R243" s="11"/>
      <c r="S243" s="11"/>
      <c r="T243" s="13"/>
      <c r="U243" s="13"/>
      <c r="V243" s="11"/>
      <c r="W243" s="13"/>
      <c r="X243" s="10"/>
      <c r="Y243" s="13"/>
      <c r="Z243" s="11"/>
      <c r="AA243" s="11"/>
      <c r="AB243" s="11"/>
      <c r="AC243" s="88"/>
      <c r="AD243" s="6"/>
      <c r="AE243" s="6"/>
      <c r="AF243" s="6"/>
    </row>
    <row r="244">
      <c r="A244" s="86" t="s">
        <v>335</v>
      </c>
      <c r="B244" s="58" t="s">
        <v>1758</v>
      </c>
      <c r="C244" s="58" t="s">
        <v>667</v>
      </c>
      <c r="D244" s="81" t="s">
        <v>2490</v>
      </c>
      <c r="E244" s="24" t="str">
        <f>IF(ISNA(MATCH(A244, 'A-Z player stats'!A:A, 0)), "Delete", "Keep")</f>
        <v>Keep</v>
      </c>
      <c r="G244" s="8"/>
      <c r="H244" s="9"/>
      <c r="I244" s="7" t="s">
        <v>335</v>
      </c>
      <c r="J244" s="9" t="s">
        <v>1758</v>
      </c>
      <c r="K244" s="9" t="s">
        <v>667</v>
      </c>
      <c r="L244" s="10" t="s">
        <v>724</v>
      </c>
      <c r="M244" s="87" t="s">
        <v>2267</v>
      </c>
      <c r="N244" s="15"/>
      <c r="O244" s="11"/>
      <c r="P244" s="12"/>
      <c r="Q244" s="13"/>
      <c r="R244" s="13"/>
      <c r="S244" s="13"/>
      <c r="T244" s="13"/>
      <c r="U244" s="13"/>
      <c r="V244" s="11"/>
      <c r="W244" s="13"/>
      <c r="X244" s="12"/>
      <c r="Y244" s="13"/>
      <c r="Z244" s="13"/>
      <c r="AA244" s="13"/>
      <c r="AB244" s="13"/>
      <c r="AC244" s="88"/>
      <c r="AD244" s="6"/>
      <c r="AE244" s="6"/>
      <c r="AF244" s="6"/>
    </row>
    <row r="245">
      <c r="A245" s="86" t="s">
        <v>2491</v>
      </c>
      <c r="B245" s="58" t="s">
        <v>2194</v>
      </c>
      <c r="C245" s="58" t="s">
        <v>688</v>
      </c>
      <c r="D245" s="78" t="s">
        <v>2492</v>
      </c>
      <c r="E245" s="24" t="str">
        <f>IF(ISNA(MATCH(A245, 'A-Z player stats'!A:A, 0)), "Delete", "Keep")</f>
        <v>Delete</v>
      </c>
      <c r="G245" s="8"/>
      <c r="H245" s="9"/>
      <c r="I245" s="7" t="s">
        <v>2491</v>
      </c>
      <c r="J245" s="9" t="s">
        <v>2194</v>
      </c>
      <c r="K245" s="9" t="s">
        <v>688</v>
      </c>
      <c r="L245" s="10" t="s">
        <v>668</v>
      </c>
      <c r="M245" s="87" t="s">
        <v>2270</v>
      </c>
      <c r="N245" s="15"/>
      <c r="O245" s="11"/>
      <c r="P245" s="10"/>
      <c r="Q245" s="13"/>
      <c r="R245" s="11"/>
      <c r="S245" s="11"/>
      <c r="T245" s="13"/>
      <c r="U245" s="13"/>
      <c r="V245" s="11"/>
      <c r="W245" s="11"/>
      <c r="X245" s="10"/>
      <c r="Y245" s="13"/>
      <c r="Z245" s="11"/>
      <c r="AA245" s="11"/>
      <c r="AB245" s="11"/>
      <c r="AC245" s="88"/>
      <c r="AD245" s="6"/>
      <c r="AE245" s="6"/>
      <c r="AF245" s="6"/>
    </row>
    <row r="246">
      <c r="A246" s="86" t="s">
        <v>2493</v>
      </c>
      <c r="B246" s="58" t="s">
        <v>1359</v>
      </c>
      <c r="C246" s="58" t="s">
        <v>698</v>
      </c>
      <c r="D246" s="92" t="s">
        <v>2494</v>
      </c>
      <c r="E246" s="24" t="str">
        <f>IF(ISNA(MATCH(A246, 'A-Z player stats'!A:A, 0)), "Delete", "Keep")</f>
        <v>Delete</v>
      </c>
      <c r="G246" s="8"/>
      <c r="H246" s="9"/>
      <c r="I246" s="7" t="s">
        <v>2493</v>
      </c>
      <c r="J246" s="9" t="s">
        <v>1359</v>
      </c>
      <c r="K246" s="9" t="s">
        <v>698</v>
      </c>
      <c r="L246" s="10" t="s">
        <v>716</v>
      </c>
      <c r="M246" s="87" t="s">
        <v>2270</v>
      </c>
      <c r="N246" s="15"/>
      <c r="O246" s="11"/>
      <c r="P246" s="10"/>
      <c r="Q246" s="11"/>
      <c r="R246" s="11"/>
      <c r="S246" s="11"/>
      <c r="T246" s="13"/>
      <c r="U246" s="13"/>
      <c r="V246" s="11"/>
      <c r="W246" s="13"/>
      <c r="X246" s="10"/>
      <c r="Y246" s="11"/>
      <c r="Z246" s="11"/>
      <c r="AA246" s="11"/>
      <c r="AB246" s="11"/>
      <c r="AC246" s="88"/>
      <c r="AD246" s="6"/>
      <c r="AE246" s="6"/>
      <c r="AF246" s="6"/>
    </row>
    <row r="247">
      <c r="A247" s="86" t="s">
        <v>337</v>
      </c>
      <c r="B247" s="58" t="s">
        <v>1608</v>
      </c>
      <c r="C247" s="58" t="s">
        <v>719</v>
      </c>
      <c r="D247" s="79" t="s">
        <v>697</v>
      </c>
      <c r="E247" s="24" t="str">
        <f>IF(ISNA(MATCH(A247, 'A-Z player stats'!A:A, 0)), "Delete", "Keep")</f>
        <v>Keep</v>
      </c>
      <c r="G247" s="8"/>
      <c r="H247" s="9"/>
      <c r="I247" s="7" t="s">
        <v>337</v>
      </c>
      <c r="J247" s="9" t="s">
        <v>1608</v>
      </c>
      <c r="K247" s="9" t="s">
        <v>719</v>
      </c>
      <c r="L247" s="90" t="s">
        <v>697</v>
      </c>
      <c r="M247" s="87" t="s">
        <v>2267</v>
      </c>
      <c r="N247" s="15"/>
      <c r="O247" s="11"/>
      <c r="P247" s="10"/>
      <c r="Q247" s="13"/>
      <c r="R247" s="11"/>
      <c r="S247" s="11"/>
      <c r="T247" s="13"/>
      <c r="U247" s="13"/>
      <c r="V247" s="11"/>
      <c r="W247" s="13"/>
      <c r="X247" s="10"/>
      <c r="Y247" s="13"/>
      <c r="Z247" s="11"/>
      <c r="AA247" s="11"/>
      <c r="AB247" s="11"/>
      <c r="AC247" s="88"/>
      <c r="AD247" s="6"/>
      <c r="AE247" s="6"/>
      <c r="AF247" s="6"/>
    </row>
    <row r="248">
      <c r="A248" s="86" t="s">
        <v>2495</v>
      </c>
      <c r="B248" s="58" t="s">
        <v>1127</v>
      </c>
      <c r="C248" s="58" t="s">
        <v>810</v>
      </c>
      <c r="D248" s="79" t="s">
        <v>700</v>
      </c>
      <c r="E248" s="24" t="str">
        <f>IF(ISNA(MATCH(A248, 'A-Z player stats'!A:A, 0)), "Delete", "Keep")</f>
        <v>Delete</v>
      </c>
      <c r="G248" s="8"/>
      <c r="H248" s="9"/>
      <c r="I248" s="7" t="s">
        <v>2495</v>
      </c>
      <c r="J248" s="9" t="s">
        <v>1127</v>
      </c>
      <c r="K248" s="9" t="s">
        <v>810</v>
      </c>
      <c r="L248" s="90" t="s">
        <v>700</v>
      </c>
      <c r="M248" s="87" t="s">
        <v>2270</v>
      </c>
      <c r="N248" s="15"/>
      <c r="O248" s="11"/>
      <c r="P248" s="12"/>
      <c r="Q248" s="13"/>
      <c r="R248" s="13"/>
      <c r="S248" s="13"/>
      <c r="T248" s="13"/>
      <c r="U248" s="11"/>
      <c r="V248" s="11"/>
      <c r="W248" s="13"/>
      <c r="X248" s="12"/>
      <c r="Y248" s="13"/>
      <c r="Z248" s="13"/>
      <c r="AA248" s="13"/>
      <c r="AB248" s="13"/>
      <c r="AC248" s="88"/>
      <c r="AD248" s="6"/>
      <c r="AE248" s="6"/>
      <c r="AF248" s="6"/>
    </row>
    <row r="249">
      <c r="A249" s="86" t="s">
        <v>2496</v>
      </c>
      <c r="B249" s="58" t="s">
        <v>2222</v>
      </c>
      <c r="C249" s="58" t="s">
        <v>720</v>
      </c>
      <c r="D249" s="89" t="s">
        <v>2497</v>
      </c>
      <c r="E249" s="24" t="str">
        <f>IF(ISNA(MATCH(A249, 'A-Z player stats'!A:A, 0)), "Delete", "Keep")</f>
        <v>Delete</v>
      </c>
      <c r="G249" s="8"/>
      <c r="H249" s="9"/>
      <c r="I249" s="7" t="s">
        <v>2496</v>
      </c>
      <c r="J249" s="9" t="s">
        <v>2222</v>
      </c>
      <c r="K249" s="9" t="s">
        <v>720</v>
      </c>
      <c r="L249" s="10" t="s">
        <v>695</v>
      </c>
      <c r="M249" s="87" t="s">
        <v>2270</v>
      </c>
      <c r="N249" s="15"/>
      <c r="O249" s="11"/>
      <c r="P249" s="12"/>
      <c r="Q249" s="13"/>
      <c r="R249" s="13"/>
      <c r="S249" s="13"/>
      <c r="T249" s="13"/>
      <c r="U249" s="13"/>
      <c r="V249" s="11"/>
      <c r="W249" s="11"/>
      <c r="X249" s="12"/>
      <c r="Y249" s="13"/>
      <c r="Z249" s="13"/>
      <c r="AA249" s="13"/>
      <c r="AB249" s="13"/>
      <c r="AC249" s="88"/>
      <c r="AD249" s="6"/>
      <c r="AE249" s="6"/>
      <c r="AF249" s="6"/>
    </row>
    <row r="250">
      <c r="A250" s="86" t="s">
        <v>339</v>
      </c>
      <c r="B250" s="58" t="s">
        <v>2244</v>
      </c>
      <c r="C250" s="58" t="s">
        <v>720</v>
      </c>
      <c r="D250" s="79" t="s">
        <v>691</v>
      </c>
      <c r="E250" s="24" t="str">
        <f>IF(ISNA(MATCH(A250, 'A-Z player stats'!A:A, 0)), "Delete", "Keep")</f>
        <v>Keep</v>
      </c>
      <c r="G250" s="8"/>
      <c r="H250" s="9"/>
      <c r="I250" s="7" t="s">
        <v>339</v>
      </c>
      <c r="J250" s="9" t="s">
        <v>2244</v>
      </c>
      <c r="K250" s="9" t="s">
        <v>720</v>
      </c>
      <c r="L250" s="90" t="s">
        <v>691</v>
      </c>
      <c r="M250" s="87" t="s">
        <v>2267</v>
      </c>
      <c r="N250" s="11"/>
      <c r="O250" s="11"/>
      <c r="P250" s="12"/>
      <c r="Q250" s="13"/>
      <c r="R250" s="13"/>
      <c r="S250" s="13"/>
      <c r="T250" s="13"/>
      <c r="U250" s="13"/>
      <c r="V250" s="11"/>
      <c r="W250" s="13"/>
      <c r="X250" s="12"/>
      <c r="Y250" s="13"/>
      <c r="Z250" s="13"/>
      <c r="AA250" s="13"/>
      <c r="AB250" s="13"/>
      <c r="AC250" s="88"/>
      <c r="AD250" s="6"/>
      <c r="AE250" s="6"/>
      <c r="AF250" s="6"/>
    </row>
    <row r="251">
      <c r="A251" s="86" t="s">
        <v>341</v>
      </c>
      <c r="B251" s="58" t="s">
        <v>2161</v>
      </c>
      <c r="C251" s="58" t="s">
        <v>722</v>
      </c>
      <c r="D251" s="79" t="s">
        <v>691</v>
      </c>
      <c r="E251" s="24" t="str">
        <f>IF(ISNA(MATCH(A251, 'A-Z player stats'!A:A, 0)), "Delete", "Keep")</f>
        <v>Keep</v>
      </c>
      <c r="G251" s="8"/>
      <c r="H251" s="9"/>
      <c r="I251" s="7" t="s">
        <v>341</v>
      </c>
      <c r="J251" s="9" t="s">
        <v>2161</v>
      </c>
      <c r="K251" s="9" t="s">
        <v>722</v>
      </c>
      <c r="L251" s="90" t="s">
        <v>691</v>
      </c>
      <c r="M251" s="87" t="s">
        <v>2267</v>
      </c>
      <c r="N251" s="15"/>
      <c r="O251" s="11"/>
      <c r="P251" s="10"/>
      <c r="Q251" s="11"/>
      <c r="R251" s="11"/>
      <c r="S251" s="11"/>
      <c r="T251" s="13"/>
      <c r="U251" s="13"/>
      <c r="V251" s="11"/>
      <c r="W251" s="13"/>
      <c r="X251" s="10"/>
      <c r="Y251" s="11"/>
      <c r="Z251" s="11"/>
      <c r="AA251" s="11"/>
      <c r="AB251" s="11"/>
      <c r="AC251" s="88"/>
      <c r="AD251" s="6"/>
      <c r="AE251" s="6"/>
      <c r="AF251" s="6"/>
    </row>
    <row r="252">
      <c r="A252" s="86" t="s">
        <v>343</v>
      </c>
      <c r="B252" s="58" t="s">
        <v>1545</v>
      </c>
      <c r="C252" s="58" t="s">
        <v>673</v>
      </c>
      <c r="D252" s="81" t="s">
        <v>2498</v>
      </c>
      <c r="E252" s="24" t="str">
        <f>IF(ISNA(MATCH(A252, 'A-Z player stats'!A:A, 0)), "Delete", "Keep")</f>
        <v>Keep</v>
      </c>
      <c r="G252" s="8"/>
      <c r="H252" s="9"/>
      <c r="I252" s="7" t="s">
        <v>343</v>
      </c>
      <c r="J252" s="9" t="s">
        <v>1545</v>
      </c>
      <c r="K252" s="9" t="s">
        <v>673</v>
      </c>
      <c r="L252" s="10" t="s">
        <v>668</v>
      </c>
      <c r="M252" s="87" t="s">
        <v>2267</v>
      </c>
      <c r="N252" s="15"/>
      <c r="O252" s="11"/>
      <c r="P252" s="10"/>
      <c r="Q252" s="13"/>
      <c r="R252" s="11"/>
      <c r="S252" s="11"/>
      <c r="T252" s="13"/>
      <c r="U252" s="13"/>
      <c r="V252" s="11"/>
      <c r="W252" s="13"/>
      <c r="X252" s="10"/>
      <c r="Y252" s="13"/>
      <c r="Z252" s="11"/>
      <c r="AA252" s="11"/>
      <c r="AB252" s="11"/>
      <c r="AC252" s="88"/>
      <c r="AD252" s="6"/>
      <c r="AE252" s="6"/>
      <c r="AF252" s="6"/>
    </row>
    <row r="253">
      <c r="A253" s="86" t="s">
        <v>345</v>
      </c>
      <c r="B253" s="58" t="s">
        <v>1228</v>
      </c>
      <c r="C253" s="58" t="s">
        <v>698</v>
      </c>
      <c r="D253" s="79" t="s">
        <v>700</v>
      </c>
      <c r="E253" s="24" t="str">
        <f>IF(ISNA(MATCH(A253, 'A-Z player stats'!A:A, 0)), "Delete", "Keep")</f>
        <v>Keep</v>
      </c>
      <c r="G253" s="8"/>
      <c r="H253" s="9"/>
      <c r="I253" s="7" t="s">
        <v>345</v>
      </c>
      <c r="J253" s="9" t="s">
        <v>1228</v>
      </c>
      <c r="K253" s="9" t="s">
        <v>698</v>
      </c>
      <c r="L253" s="90" t="s">
        <v>700</v>
      </c>
      <c r="M253" s="87" t="s">
        <v>2267</v>
      </c>
      <c r="N253" s="11"/>
      <c r="O253" s="11"/>
      <c r="P253" s="10"/>
      <c r="Q253" s="13"/>
      <c r="R253" s="11"/>
      <c r="S253" s="11"/>
      <c r="T253" s="13"/>
      <c r="U253" s="13"/>
      <c r="V253" s="13"/>
      <c r="W253" s="13"/>
      <c r="X253" s="10"/>
      <c r="Y253" s="13"/>
      <c r="Z253" s="11"/>
      <c r="AA253" s="11"/>
      <c r="AB253" s="11"/>
      <c r="AC253" s="88"/>
      <c r="AD253" s="6"/>
      <c r="AE253" s="6"/>
      <c r="AF253" s="6"/>
    </row>
    <row r="254">
      <c r="A254" s="86" t="s">
        <v>345</v>
      </c>
      <c r="B254" s="58" t="s">
        <v>1201</v>
      </c>
      <c r="C254" s="58" t="s">
        <v>678</v>
      </c>
      <c r="D254" s="95" t="s">
        <v>702</v>
      </c>
      <c r="E254" s="24" t="str">
        <f>IF(ISNA(MATCH(A254, 'A-Z player stats'!A:A, 0)), "Delete", "Keep")</f>
        <v>Keep</v>
      </c>
      <c r="G254" s="8"/>
      <c r="H254" s="9"/>
      <c r="I254" s="7" t="s">
        <v>345</v>
      </c>
      <c r="J254" s="9" t="s">
        <v>1201</v>
      </c>
      <c r="K254" s="9" t="s">
        <v>678</v>
      </c>
      <c r="L254" s="90" t="s">
        <v>702</v>
      </c>
      <c r="M254" s="87" t="s">
        <v>2267</v>
      </c>
      <c r="N254" s="11"/>
      <c r="O254" s="11"/>
      <c r="P254" s="12"/>
      <c r="Q254" s="13"/>
      <c r="R254" s="13"/>
      <c r="S254" s="13"/>
      <c r="T254" s="13"/>
      <c r="U254" s="13"/>
      <c r="V254" s="13"/>
      <c r="W254" s="13"/>
      <c r="X254" s="12"/>
      <c r="Y254" s="13"/>
      <c r="Z254" s="13"/>
      <c r="AA254" s="13"/>
      <c r="AB254" s="13"/>
      <c r="AC254" s="88"/>
      <c r="AD254" s="6"/>
      <c r="AE254" s="6"/>
      <c r="AF254" s="6"/>
    </row>
    <row r="255">
      <c r="A255" s="86" t="s">
        <v>2499</v>
      </c>
      <c r="B255" s="58" t="s">
        <v>1565</v>
      </c>
      <c r="C255" s="58" t="s">
        <v>685</v>
      </c>
      <c r="D255" s="81" t="s">
        <v>2500</v>
      </c>
      <c r="E255" s="24" t="str">
        <f>IF(ISNA(MATCH(A255, 'A-Z player stats'!A:A, 0)), "Delete", "Keep")</f>
        <v>Delete</v>
      </c>
      <c r="G255" s="8"/>
      <c r="H255" s="9"/>
      <c r="I255" s="7" t="s">
        <v>2499</v>
      </c>
      <c r="J255" s="9" t="s">
        <v>1565</v>
      </c>
      <c r="K255" s="9" t="s">
        <v>685</v>
      </c>
      <c r="L255" s="10" t="s">
        <v>668</v>
      </c>
      <c r="M255" s="87" t="s">
        <v>2270</v>
      </c>
      <c r="N255" s="11"/>
      <c r="O255" s="11"/>
      <c r="P255" s="12"/>
      <c r="Q255" s="11"/>
      <c r="R255" s="11"/>
      <c r="S255" s="13"/>
      <c r="T255" s="13"/>
      <c r="U255" s="13"/>
      <c r="V255" s="11"/>
      <c r="W255" s="13"/>
      <c r="X255" s="12"/>
      <c r="Y255" s="11"/>
      <c r="Z255" s="11"/>
      <c r="AA255" s="13"/>
      <c r="AB255" s="11"/>
      <c r="AC255" s="88"/>
      <c r="AD255" s="6"/>
      <c r="AE255" s="6"/>
      <c r="AF255" s="6"/>
    </row>
    <row r="256">
      <c r="A256" s="86" t="s">
        <v>350</v>
      </c>
      <c r="B256" s="58" t="s">
        <v>1945</v>
      </c>
      <c r="C256" s="58" t="s">
        <v>673</v>
      </c>
      <c r="D256" s="81" t="s">
        <v>2501</v>
      </c>
      <c r="E256" s="24" t="str">
        <f>IF(ISNA(MATCH(A256, 'A-Z player stats'!A:A, 0)), "Delete", "Keep")</f>
        <v>Keep</v>
      </c>
      <c r="G256" s="8"/>
      <c r="H256" s="9"/>
      <c r="I256" s="7" t="s">
        <v>350</v>
      </c>
      <c r="J256" s="9" t="s">
        <v>1945</v>
      </c>
      <c r="K256" s="9" t="s">
        <v>673</v>
      </c>
      <c r="L256" s="10" t="s">
        <v>695</v>
      </c>
      <c r="M256" s="87" t="s">
        <v>2267</v>
      </c>
      <c r="N256" s="15"/>
      <c r="O256" s="11"/>
      <c r="P256" s="12"/>
      <c r="Q256" s="11"/>
      <c r="R256" s="11"/>
      <c r="S256" s="13"/>
      <c r="T256" s="13"/>
      <c r="U256" s="13"/>
      <c r="V256" s="13"/>
      <c r="W256" s="13"/>
      <c r="X256" s="12"/>
      <c r="Y256" s="11"/>
      <c r="Z256" s="11"/>
      <c r="AA256" s="13"/>
      <c r="AB256" s="11"/>
      <c r="AC256" s="88"/>
      <c r="AD256" s="6"/>
      <c r="AE256" s="6"/>
      <c r="AF256" s="6"/>
    </row>
    <row r="257">
      <c r="A257" s="86" t="s">
        <v>2502</v>
      </c>
      <c r="B257" s="58" t="s">
        <v>1125</v>
      </c>
      <c r="C257" s="58" t="s">
        <v>810</v>
      </c>
      <c r="D257" s="83" t="s">
        <v>702</v>
      </c>
      <c r="E257" s="24" t="str">
        <f>IF(ISNA(MATCH(A257, 'A-Z player stats'!A:A, 0)), "Delete", "Keep")</f>
        <v>Delete</v>
      </c>
      <c r="G257" s="8"/>
      <c r="H257" s="9"/>
      <c r="I257" s="7" t="s">
        <v>2502</v>
      </c>
      <c r="J257" s="9" t="s">
        <v>1125</v>
      </c>
      <c r="K257" s="9" t="s">
        <v>810</v>
      </c>
      <c r="L257" s="90" t="s">
        <v>702</v>
      </c>
      <c r="M257" s="87" t="s">
        <v>2270</v>
      </c>
      <c r="N257" s="11"/>
      <c r="O257" s="11"/>
      <c r="P257" s="12"/>
      <c r="Q257" s="13"/>
      <c r="R257" s="13"/>
      <c r="S257" s="13"/>
      <c r="T257" s="13"/>
      <c r="U257" s="13"/>
      <c r="V257" s="11"/>
      <c r="W257" s="11"/>
      <c r="X257" s="12"/>
      <c r="Y257" s="13"/>
      <c r="Z257" s="13"/>
      <c r="AA257" s="13"/>
      <c r="AB257" s="13"/>
      <c r="AC257" s="88"/>
      <c r="AD257" s="6"/>
      <c r="AE257" s="6"/>
      <c r="AF257" s="6"/>
    </row>
    <row r="258">
      <c r="A258" s="86" t="s">
        <v>354</v>
      </c>
      <c r="B258" s="58" t="s">
        <v>2158</v>
      </c>
      <c r="C258" s="58" t="s">
        <v>698</v>
      </c>
      <c r="D258" s="89" t="s">
        <v>2503</v>
      </c>
      <c r="E258" s="24" t="str">
        <f>IF(ISNA(MATCH(A258, 'A-Z player stats'!A:A, 0)), "Delete", "Keep")</f>
        <v>Keep</v>
      </c>
      <c r="G258" s="8"/>
      <c r="H258" s="9"/>
      <c r="I258" s="7" t="s">
        <v>354</v>
      </c>
      <c r="J258" s="9" t="s">
        <v>2158</v>
      </c>
      <c r="K258" s="9" t="s">
        <v>698</v>
      </c>
      <c r="L258" s="10" t="s">
        <v>668</v>
      </c>
      <c r="M258" s="87" t="s">
        <v>2267</v>
      </c>
      <c r="N258" s="11"/>
      <c r="O258" s="11"/>
      <c r="P258" s="10"/>
      <c r="Q258" s="13"/>
      <c r="R258" s="11"/>
      <c r="S258" s="11"/>
      <c r="T258" s="13"/>
      <c r="U258" s="13"/>
      <c r="V258" s="11"/>
      <c r="W258" s="13"/>
      <c r="X258" s="10"/>
      <c r="Y258" s="13"/>
      <c r="Z258" s="11"/>
      <c r="AA258" s="11"/>
      <c r="AB258" s="11"/>
      <c r="AC258" s="88"/>
      <c r="AD258" s="6"/>
      <c r="AE258" s="6"/>
      <c r="AF258" s="6"/>
    </row>
    <row r="259">
      <c r="A259" s="86" t="s">
        <v>356</v>
      </c>
      <c r="B259" s="58" t="s">
        <v>1469</v>
      </c>
      <c r="C259" s="58" t="s">
        <v>690</v>
      </c>
      <c r="D259" s="79" t="s">
        <v>703</v>
      </c>
      <c r="E259" s="24" t="str">
        <f>IF(ISNA(MATCH(A259, 'A-Z player stats'!A:A, 0)), "Delete", "Keep")</f>
        <v>Keep</v>
      </c>
      <c r="G259" s="8"/>
      <c r="H259" s="9"/>
      <c r="I259" s="7" t="s">
        <v>356</v>
      </c>
      <c r="J259" s="9" t="s">
        <v>1469</v>
      </c>
      <c r="K259" s="9" t="s">
        <v>690</v>
      </c>
      <c r="L259" s="90" t="s">
        <v>703</v>
      </c>
      <c r="M259" s="87" t="s">
        <v>2267</v>
      </c>
      <c r="N259" s="15"/>
      <c r="O259" s="11"/>
      <c r="P259" s="10"/>
      <c r="Q259" s="13"/>
      <c r="R259" s="11"/>
      <c r="S259" s="11"/>
      <c r="T259" s="13"/>
      <c r="U259" s="13"/>
      <c r="V259" s="11"/>
      <c r="W259" s="13"/>
      <c r="X259" s="10"/>
      <c r="Y259" s="13"/>
      <c r="Z259" s="11"/>
      <c r="AA259" s="11"/>
      <c r="AB259" s="11"/>
      <c r="AC259" s="88"/>
      <c r="AD259" s="6"/>
      <c r="AE259" s="6"/>
      <c r="AF259" s="6"/>
    </row>
    <row r="260">
      <c r="A260" s="86" t="s">
        <v>361</v>
      </c>
      <c r="B260" s="58" t="s">
        <v>1733</v>
      </c>
      <c r="C260" s="58" t="s">
        <v>699</v>
      </c>
      <c r="D260" s="92" t="s">
        <v>2504</v>
      </c>
      <c r="E260" s="24" t="str">
        <f>IF(ISNA(MATCH(A260, 'A-Z player stats'!A:A, 0)), "Delete", "Keep")</f>
        <v>Keep</v>
      </c>
      <c r="G260" s="8"/>
      <c r="H260" s="9"/>
      <c r="I260" s="7" t="s">
        <v>361</v>
      </c>
      <c r="J260" s="9" t="s">
        <v>1733</v>
      </c>
      <c r="K260" s="9" t="s">
        <v>699</v>
      </c>
      <c r="L260" s="10" t="s">
        <v>684</v>
      </c>
      <c r="M260" s="87" t="s">
        <v>2267</v>
      </c>
      <c r="N260" s="11"/>
      <c r="O260" s="11"/>
      <c r="P260" s="12"/>
      <c r="Q260" s="13"/>
      <c r="R260" s="13"/>
      <c r="S260" s="13"/>
      <c r="T260" s="13"/>
      <c r="U260" s="13"/>
      <c r="V260" s="11"/>
      <c r="W260" s="13"/>
      <c r="X260" s="12"/>
      <c r="Y260" s="13"/>
      <c r="Z260" s="13"/>
      <c r="AA260" s="13"/>
      <c r="AB260" s="13"/>
      <c r="AC260" s="88"/>
      <c r="AD260" s="6"/>
      <c r="AE260" s="6"/>
      <c r="AF260" s="6"/>
    </row>
    <row r="261">
      <c r="A261" s="86" t="s">
        <v>2505</v>
      </c>
      <c r="B261" s="58" t="s">
        <v>1823</v>
      </c>
      <c r="C261" s="58" t="s">
        <v>693</v>
      </c>
      <c r="D261" s="92" t="s">
        <v>2506</v>
      </c>
      <c r="E261" s="24" t="str">
        <f>IF(ISNA(MATCH(A261, 'A-Z player stats'!A:A, 0)), "Delete", "Keep")</f>
        <v>Delete</v>
      </c>
      <c r="G261" s="8"/>
      <c r="H261" s="9"/>
      <c r="I261" s="7" t="s">
        <v>2505</v>
      </c>
      <c r="J261" s="9" t="s">
        <v>1823</v>
      </c>
      <c r="K261" s="9" t="s">
        <v>693</v>
      </c>
      <c r="L261" s="10" t="s">
        <v>711</v>
      </c>
      <c r="M261" s="87" t="s">
        <v>2270</v>
      </c>
      <c r="N261" s="15"/>
      <c r="O261" s="11"/>
      <c r="P261" s="10"/>
      <c r="Q261" s="11"/>
      <c r="R261" s="11"/>
      <c r="S261" s="11"/>
      <c r="T261" s="11"/>
      <c r="U261" s="11"/>
      <c r="V261" s="11"/>
      <c r="W261" s="11"/>
      <c r="X261" s="10"/>
      <c r="Y261" s="11"/>
      <c r="Z261" s="11"/>
      <c r="AA261" s="11"/>
      <c r="AB261" s="11"/>
      <c r="AC261" s="88"/>
      <c r="AD261" s="6"/>
      <c r="AE261" s="6"/>
      <c r="AF261" s="6"/>
    </row>
    <row r="262">
      <c r="A262" s="86" t="s">
        <v>364</v>
      </c>
      <c r="B262" s="58" t="s">
        <v>1763</v>
      </c>
      <c r="C262" s="58" t="s">
        <v>690</v>
      </c>
      <c r="D262" s="92" t="s">
        <v>2507</v>
      </c>
      <c r="E262" s="24" t="str">
        <f>IF(ISNA(MATCH(A262, 'A-Z player stats'!A:A, 0)), "Delete", "Keep")</f>
        <v>Keep</v>
      </c>
      <c r="G262" s="8"/>
      <c r="H262" s="9"/>
      <c r="I262" s="7" t="s">
        <v>364</v>
      </c>
      <c r="J262" s="9" t="s">
        <v>1763</v>
      </c>
      <c r="K262" s="9" t="s">
        <v>690</v>
      </c>
      <c r="L262" s="10" t="s">
        <v>668</v>
      </c>
      <c r="M262" s="87" t="s">
        <v>2267</v>
      </c>
      <c r="N262" s="15"/>
      <c r="O262" s="11"/>
      <c r="P262" s="12"/>
      <c r="Q262" s="11"/>
      <c r="R262" s="11"/>
      <c r="S262" s="13"/>
      <c r="T262" s="13"/>
      <c r="U262" s="13"/>
      <c r="V262" s="11"/>
      <c r="W262" s="13"/>
      <c r="X262" s="12"/>
      <c r="Y262" s="11"/>
      <c r="Z262" s="11"/>
      <c r="AA262" s="13"/>
      <c r="AB262" s="11"/>
      <c r="AC262" s="88"/>
      <c r="AD262" s="6"/>
      <c r="AE262" s="6"/>
      <c r="AF262" s="6"/>
    </row>
    <row r="263">
      <c r="A263" s="86" t="s">
        <v>368</v>
      </c>
      <c r="B263" s="58" t="s">
        <v>1763</v>
      </c>
      <c r="C263" s="58" t="s">
        <v>690</v>
      </c>
      <c r="D263" s="92" t="s">
        <v>2508</v>
      </c>
      <c r="E263" s="24" t="str">
        <f>IF(ISNA(MATCH(A263, 'A-Z player stats'!A:A, 0)), "Delete", "Keep")</f>
        <v>Keep</v>
      </c>
      <c r="G263" s="8"/>
      <c r="H263" s="9"/>
      <c r="I263" s="7" t="s">
        <v>368</v>
      </c>
      <c r="J263" s="9" t="s">
        <v>1763</v>
      </c>
      <c r="K263" s="9" t="s">
        <v>690</v>
      </c>
      <c r="L263" s="10" t="s">
        <v>668</v>
      </c>
      <c r="M263" s="87" t="s">
        <v>2267</v>
      </c>
      <c r="N263" s="11"/>
      <c r="O263" s="11"/>
      <c r="P263" s="10"/>
      <c r="Q263" s="13"/>
      <c r="R263" s="11"/>
      <c r="S263" s="11"/>
      <c r="T263" s="13"/>
      <c r="U263" s="13"/>
      <c r="V263" s="11"/>
      <c r="W263" s="13"/>
      <c r="X263" s="10"/>
      <c r="Y263" s="13"/>
      <c r="Z263" s="11"/>
      <c r="AA263" s="11"/>
      <c r="AB263" s="11"/>
      <c r="AC263" s="88"/>
      <c r="AD263" s="6"/>
      <c r="AE263" s="6"/>
      <c r="AF263" s="6"/>
    </row>
    <row r="264">
      <c r="A264" s="86" t="s">
        <v>2509</v>
      </c>
      <c r="B264" s="58" t="s">
        <v>1622</v>
      </c>
      <c r="C264" s="58" t="s">
        <v>720</v>
      </c>
      <c r="D264" s="92" t="s">
        <v>2510</v>
      </c>
      <c r="E264" s="24" t="str">
        <f>IF(ISNA(MATCH(A264, 'A-Z player stats'!A:A, 0)), "Delete", "Keep")</f>
        <v>Delete</v>
      </c>
      <c r="G264" s="8"/>
      <c r="H264" s="9"/>
      <c r="I264" s="7" t="s">
        <v>2509</v>
      </c>
      <c r="J264" s="9" t="s">
        <v>1622</v>
      </c>
      <c r="K264" s="9" t="s">
        <v>720</v>
      </c>
      <c r="L264" s="10" t="s">
        <v>668</v>
      </c>
      <c r="M264" s="87" t="s">
        <v>2270</v>
      </c>
      <c r="N264" s="11"/>
      <c r="O264" s="11"/>
      <c r="P264" s="12"/>
      <c r="Q264" s="13"/>
      <c r="R264" s="13"/>
      <c r="S264" s="13"/>
      <c r="T264" s="13"/>
      <c r="U264" s="13"/>
      <c r="V264" s="11"/>
      <c r="W264" s="13"/>
      <c r="X264" s="12"/>
      <c r="Y264" s="13"/>
      <c r="Z264" s="13"/>
      <c r="AA264" s="13"/>
      <c r="AB264" s="13"/>
      <c r="AC264" s="88"/>
      <c r="AD264" s="6"/>
      <c r="AE264" s="6"/>
      <c r="AF264" s="6"/>
    </row>
    <row r="265" ht="18.75" customHeight="1">
      <c r="A265" s="86" t="s">
        <v>372</v>
      </c>
      <c r="B265" s="58" t="s">
        <v>2029</v>
      </c>
      <c r="C265" s="58" t="s">
        <v>810</v>
      </c>
      <c r="D265" s="79" t="s">
        <v>701</v>
      </c>
      <c r="E265" s="24" t="str">
        <f>IF(ISNA(MATCH(A265, 'A-Z player stats'!A:A, 0)), "Delete", "Keep")</f>
        <v>Keep</v>
      </c>
      <c r="G265" s="8"/>
      <c r="H265" s="9"/>
      <c r="I265" s="7" t="s">
        <v>372</v>
      </c>
      <c r="J265" s="9" t="s">
        <v>2029</v>
      </c>
      <c r="K265" s="9" t="s">
        <v>810</v>
      </c>
      <c r="L265" s="90" t="s">
        <v>701</v>
      </c>
      <c r="M265" s="87" t="s">
        <v>2267</v>
      </c>
      <c r="N265" s="11"/>
      <c r="O265" s="11"/>
      <c r="P265" s="12"/>
      <c r="Q265" s="13"/>
      <c r="R265" s="13"/>
      <c r="S265" s="13"/>
      <c r="T265" s="13"/>
      <c r="U265" s="13"/>
      <c r="V265" s="11"/>
      <c r="W265" s="13"/>
      <c r="X265" s="12"/>
      <c r="Y265" s="13"/>
      <c r="Z265" s="13"/>
      <c r="AA265" s="13"/>
      <c r="AB265" s="13"/>
      <c r="AC265" s="88"/>
      <c r="AD265" s="6"/>
      <c r="AE265" s="6"/>
      <c r="AF265" s="6"/>
    </row>
    <row r="266">
      <c r="A266" s="86" t="s">
        <v>2511</v>
      </c>
      <c r="B266" s="58" t="s">
        <v>2004</v>
      </c>
      <c r="C266" s="58" t="s">
        <v>670</v>
      </c>
      <c r="D266" s="81" t="s">
        <v>2512</v>
      </c>
      <c r="E266" s="24" t="str">
        <f>IF(ISNA(MATCH(A266, 'A-Z player stats'!A:A, 0)), "Delete", "Keep")</f>
        <v>Delete</v>
      </c>
      <c r="G266" s="8"/>
      <c r="H266" s="9"/>
      <c r="I266" s="7" t="s">
        <v>2511</v>
      </c>
      <c r="J266" s="9" t="s">
        <v>2004</v>
      </c>
      <c r="K266" s="9" t="s">
        <v>670</v>
      </c>
      <c r="L266" s="10" t="s">
        <v>695</v>
      </c>
      <c r="M266" s="93" t="s">
        <v>2270</v>
      </c>
      <c r="N266" s="11"/>
      <c r="O266" s="13"/>
      <c r="P266" s="12"/>
      <c r="Q266" s="13"/>
      <c r="R266" s="13"/>
      <c r="S266" s="13"/>
      <c r="T266" s="13"/>
      <c r="U266" s="13"/>
      <c r="V266" s="13"/>
      <c r="W266" s="13"/>
      <c r="X266" s="12"/>
      <c r="Y266" s="13"/>
      <c r="Z266" s="13"/>
      <c r="AA266" s="13"/>
      <c r="AB266" s="13"/>
      <c r="AC266" s="88"/>
      <c r="AD266" s="6"/>
      <c r="AE266" s="6"/>
      <c r="AF266" s="6"/>
    </row>
    <row r="267">
      <c r="A267" s="86" t="s">
        <v>376</v>
      </c>
      <c r="B267" s="58" t="s">
        <v>1860</v>
      </c>
      <c r="C267" s="58" t="s">
        <v>720</v>
      </c>
      <c r="D267" s="81" t="s">
        <v>2513</v>
      </c>
      <c r="E267" s="24" t="str">
        <f>IF(ISNA(MATCH(A267, 'A-Z player stats'!A:A, 0)), "Delete", "Keep")</f>
        <v>Keep</v>
      </c>
      <c r="G267" s="8"/>
      <c r="H267" s="9"/>
      <c r="I267" s="7" t="s">
        <v>376</v>
      </c>
      <c r="J267" s="9" t="s">
        <v>1860</v>
      </c>
      <c r="K267" s="9" t="s">
        <v>720</v>
      </c>
      <c r="L267" s="10" t="s">
        <v>695</v>
      </c>
      <c r="M267" s="87" t="s">
        <v>2267</v>
      </c>
      <c r="N267" s="11"/>
      <c r="O267" s="11"/>
      <c r="P267" s="12"/>
      <c r="Q267" s="13"/>
      <c r="R267" s="13"/>
      <c r="S267" s="13"/>
      <c r="T267" s="13"/>
      <c r="U267" s="13"/>
      <c r="V267" s="13"/>
      <c r="W267" s="13"/>
      <c r="X267" s="12"/>
      <c r="Y267" s="13"/>
      <c r="Z267" s="13"/>
      <c r="AA267" s="13"/>
      <c r="AB267" s="13"/>
      <c r="AC267" s="88"/>
      <c r="AD267" s="6"/>
      <c r="AE267" s="6"/>
      <c r="AF267" s="6"/>
    </row>
    <row r="268">
      <c r="A268" s="86" t="s">
        <v>378</v>
      </c>
      <c r="B268" s="58" t="s">
        <v>1750</v>
      </c>
      <c r="C268" s="58" t="s">
        <v>715</v>
      </c>
      <c r="D268" s="78" t="s">
        <v>2514</v>
      </c>
      <c r="E268" s="24" t="str">
        <f>IF(ISNA(MATCH(A268, 'A-Z player stats'!A:A, 0)), "Delete", "Keep")</f>
        <v>Keep</v>
      </c>
      <c r="G268" s="8"/>
      <c r="H268" s="9"/>
      <c r="I268" s="7" t="s">
        <v>378</v>
      </c>
      <c r="J268" s="9" t="s">
        <v>1750</v>
      </c>
      <c r="K268" s="9" t="s">
        <v>715</v>
      </c>
      <c r="L268" s="10" t="s">
        <v>707</v>
      </c>
      <c r="M268" s="93" t="s">
        <v>2267</v>
      </c>
      <c r="N268" s="11"/>
      <c r="O268" s="11"/>
      <c r="P268" s="12"/>
      <c r="Q268" s="13"/>
      <c r="R268" s="13"/>
      <c r="S268" s="13"/>
      <c r="T268" s="13"/>
      <c r="U268" s="13"/>
      <c r="V268" s="13"/>
      <c r="W268" s="13"/>
      <c r="X268" s="12"/>
      <c r="Y268" s="13"/>
      <c r="Z268" s="13"/>
      <c r="AA268" s="13"/>
      <c r="AB268" s="13"/>
      <c r="AC268" s="88"/>
      <c r="AD268" s="6"/>
      <c r="AE268" s="6"/>
      <c r="AF268" s="6"/>
    </row>
    <row r="269">
      <c r="A269" s="86" t="s">
        <v>380</v>
      </c>
      <c r="B269" s="58" t="s">
        <v>1869</v>
      </c>
      <c r="C269" s="58" t="s">
        <v>810</v>
      </c>
      <c r="D269" s="79" t="s">
        <v>701</v>
      </c>
      <c r="E269" s="24" t="str">
        <f>IF(ISNA(MATCH(A269, 'A-Z player stats'!A:A, 0)), "Delete", "Keep")</f>
        <v>Keep</v>
      </c>
      <c r="G269" s="8"/>
      <c r="H269" s="9"/>
      <c r="I269" s="7" t="s">
        <v>380</v>
      </c>
      <c r="J269" s="9" t="s">
        <v>1869</v>
      </c>
      <c r="K269" s="9" t="s">
        <v>810</v>
      </c>
      <c r="L269" s="90" t="s">
        <v>701</v>
      </c>
      <c r="M269" s="93" t="s">
        <v>2267</v>
      </c>
      <c r="N269" s="11"/>
      <c r="O269" s="11"/>
      <c r="P269" s="12"/>
      <c r="Q269" s="13"/>
      <c r="R269" s="13"/>
      <c r="S269" s="13"/>
      <c r="T269" s="13"/>
      <c r="U269" s="13"/>
      <c r="V269" s="11"/>
      <c r="W269" s="13"/>
      <c r="X269" s="12"/>
      <c r="Y269" s="13"/>
      <c r="Z269" s="13"/>
      <c r="AA269" s="13"/>
      <c r="AB269" s="13"/>
      <c r="AC269" s="88"/>
      <c r="AD269" s="6"/>
      <c r="AE269" s="6"/>
      <c r="AF269" s="6"/>
    </row>
    <row r="270">
      <c r="A270" s="86" t="s">
        <v>2515</v>
      </c>
      <c r="B270" s="58" t="s">
        <v>1225</v>
      </c>
      <c r="C270" s="58" t="s">
        <v>685</v>
      </c>
      <c r="D270" s="89" t="s">
        <v>2516</v>
      </c>
      <c r="E270" s="24" t="str">
        <f>IF(ISNA(MATCH(A270, 'A-Z player stats'!A:A, 0)), "Delete", "Keep")</f>
        <v>Delete</v>
      </c>
      <c r="G270" s="8"/>
      <c r="H270" s="9"/>
      <c r="I270" s="7" t="s">
        <v>2515</v>
      </c>
      <c r="J270" s="9" t="s">
        <v>1225</v>
      </c>
      <c r="K270" s="9" t="s">
        <v>685</v>
      </c>
      <c r="L270" s="10" t="s">
        <v>668</v>
      </c>
      <c r="M270" s="87" t="s">
        <v>2270</v>
      </c>
      <c r="N270" s="11"/>
      <c r="O270" s="11"/>
      <c r="P270" s="12"/>
      <c r="Q270" s="13"/>
      <c r="R270" s="13"/>
      <c r="S270" s="13"/>
      <c r="T270" s="13"/>
      <c r="U270" s="13"/>
      <c r="V270" s="11"/>
      <c r="W270" s="13"/>
      <c r="X270" s="12"/>
      <c r="Y270" s="13"/>
      <c r="Z270" s="13"/>
      <c r="AA270" s="13"/>
      <c r="AB270" s="13"/>
      <c r="AC270" s="88"/>
      <c r="AD270" s="6"/>
      <c r="AE270" s="6"/>
      <c r="AF270" s="6"/>
    </row>
    <row r="271">
      <c r="A271" s="86" t="s">
        <v>382</v>
      </c>
      <c r="B271" s="58" t="s">
        <v>1264</v>
      </c>
      <c r="C271" s="58" t="s">
        <v>698</v>
      </c>
      <c r="D271" s="92" t="s">
        <v>2517</v>
      </c>
      <c r="E271" s="24" t="str">
        <f>IF(ISNA(MATCH(A271, 'A-Z player stats'!A:A, 0)), "Delete", "Keep")</f>
        <v>Keep</v>
      </c>
      <c r="G271" s="8"/>
      <c r="H271" s="9"/>
      <c r="I271" s="7" t="s">
        <v>382</v>
      </c>
      <c r="J271" s="9" t="s">
        <v>1264</v>
      </c>
      <c r="K271" s="9" t="s">
        <v>698</v>
      </c>
      <c r="L271" s="10" t="s">
        <v>695</v>
      </c>
      <c r="M271" s="87" t="s">
        <v>2267</v>
      </c>
      <c r="N271" s="11"/>
      <c r="O271" s="11"/>
      <c r="P271" s="10"/>
      <c r="Q271" s="11"/>
      <c r="R271" s="11"/>
      <c r="S271" s="11"/>
      <c r="T271" s="13"/>
      <c r="U271" s="13"/>
      <c r="V271" s="11"/>
      <c r="W271" s="13"/>
      <c r="X271" s="10"/>
      <c r="Y271" s="11"/>
      <c r="Z271" s="11"/>
      <c r="AA271" s="11"/>
      <c r="AB271" s="11"/>
      <c r="AC271" s="88"/>
      <c r="AD271" s="6"/>
      <c r="AE271" s="6"/>
      <c r="AF271" s="6"/>
    </row>
    <row r="272">
      <c r="A272" s="86" t="s">
        <v>2518</v>
      </c>
      <c r="B272" s="58" t="s">
        <v>1247</v>
      </c>
      <c r="C272" s="58" t="s">
        <v>670</v>
      </c>
      <c r="D272" s="79" t="s">
        <v>700</v>
      </c>
      <c r="E272" s="24" t="str">
        <f>IF(ISNA(MATCH(A272, 'A-Z player stats'!A:A, 0)), "Delete", "Keep")</f>
        <v>Delete</v>
      </c>
      <c r="G272" s="8"/>
      <c r="H272" s="9"/>
      <c r="I272" s="7" t="s">
        <v>2518</v>
      </c>
      <c r="J272" s="9" t="s">
        <v>1247</v>
      </c>
      <c r="K272" s="9" t="s">
        <v>670</v>
      </c>
      <c r="L272" s="90" t="s">
        <v>700</v>
      </c>
      <c r="M272" s="87" t="s">
        <v>2270</v>
      </c>
      <c r="N272" s="11"/>
      <c r="O272" s="11"/>
      <c r="P272" s="12"/>
      <c r="Q272" s="11"/>
      <c r="R272" s="11"/>
      <c r="S272" s="13"/>
      <c r="T272" s="13"/>
      <c r="U272" s="13"/>
      <c r="V272" s="11"/>
      <c r="W272" s="11"/>
      <c r="X272" s="12"/>
      <c r="Y272" s="11"/>
      <c r="Z272" s="11"/>
      <c r="AA272" s="13"/>
      <c r="AB272" s="11"/>
      <c r="AC272" s="88"/>
      <c r="AD272" s="6"/>
      <c r="AE272" s="6"/>
      <c r="AF272" s="6"/>
    </row>
    <row r="273">
      <c r="A273" s="86" t="s">
        <v>2519</v>
      </c>
      <c r="B273" s="58" t="s">
        <v>1175</v>
      </c>
      <c r="C273" s="58" t="s">
        <v>685</v>
      </c>
      <c r="D273" s="83" t="s">
        <v>702</v>
      </c>
      <c r="E273" s="24" t="str">
        <f>IF(ISNA(MATCH(A273, 'A-Z player stats'!A:A, 0)), "Delete", "Keep")</f>
        <v>Delete</v>
      </c>
      <c r="G273" s="8"/>
      <c r="H273" s="9"/>
      <c r="I273" s="7" t="s">
        <v>2519</v>
      </c>
      <c r="J273" s="9" t="s">
        <v>1175</v>
      </c>
      <c r="K273" s="9" t="s">
        <v>685</v>
      </c>
      <c r="L273" s="90" t="s">
        <v>702</v>
      </c>
      <c r="M273" s="87" t="s">
        <v>2270</v>
      </c>
      <c r="N273" s="11"/>
      <c r="O273" s="11"/>
      <c r="P273" s="12"/>
      <c r="Q273" s="13"/>
      <c r="R273" s="13"/>
      <c r="S273" s="13"/>
      <c r="T273" s="13"/>
      <c r="U273" s="13"/>
      <c r="V273" s="11"/>
      <c r="W273" s="13"/>
      <c r="X273" s="12"/>
      <c r="Y273" s="13"/>
      <c r="Z273" s="13"/>
      <c r="AA273" s="13"/>
      <c r="AB273" s="13"/>
      <c r="AC273" s="88"/>
      <c r="AD273" s="6"/>
      <c r="AE273" s="6"/>
      <c r="AF273" s="6"/>
    </row>
    <row r="274">
      <c r="A274" s="86" t="s">
        <v>384</v>
      </c>
      <c r="B274" s="58" t="s">
        <v>1772</v>
      </c>
      <c r="C274" s="58" t="s">
        <v>685</v>
      </c>
      <c r="D274" s="91" t="s">
        <v>697</v>
      </c>
      <c r="E274" s="24" t="str">
        <f>IF(ISNA(MATCH(A274, 'A-Z player stats'!A:A, 0)), "Delete", "Keep")</f>
        <v>Keep</v>
      </c>
      <c r="G274" s="8"/>
      <c r="H274" s="9"/>
      <c r="I274" s="7" t="s">
        <v>384</v>
      </c>
      <c r="J274" s="9" t="s">
        <v>1772</v>
      </c>
      <c r="K274" s="9" t="s">
        <v>685</v>
      </c>
      <c r="L274" s="90" t="s">
        <v>697</v>
      </c>
      <c r="M274" s="87" t="s">
        <v>2267</v>
      </c>
      <c r="N274" s="15"/>
      <c r="O274" s="11"/>
      <c r="P274" s="12"/>
      <c r="Q274" s="13"/>
      <c r="R274" s="13"/>
      <c r="S274" s="13"/>
      <c r="T274" s="13"/>
      <c r="U274" s="13"/>
      <c r="V274" s="11"/>
      <c r="W274" s="13"/>
      <c r="X274" s="12"/>
      <c r="Y274" s="13"/>
      <c r="Z274" s="13"/>
      <c r="AA274" s="13"/>
      <c r="AB274" s="13"/>
      <c r="AC274" s="88"/>
      <c r="AD274" s="6"/>
      <c r="AE274" s="6"/>
      <c r="AF274" s="6"/>
    </row>
    <row r="275">
      <c r="A275" s="86" t="s">
        <v>2520</v>
      </c>
      <c r="B275" s="58" t="s">
        <v>1636</v>
      </c>
      <c r="C275" s="58" t="s">
        <v>690</v>
      </c>
      <c r="D275" s="81" t="s">
        <v>2521</v>
      </c>
      <c r="E275" s="24" t="str">
        <f>IF(ISNA(MATCH(A275, 'A-Z player stats'!A:A, 0)), "Delete", "Keep")</f>
        <v>Delete</v>
      </c>
      <c r="G275" s="8"/>
      <c r="H275" s="9"/>
      <c r="I275" s="7" t="s">
        <v>2520</v>
      </c>
      <c r="J275" s="9" t="s">
        <v>1636</v>
      </c>
      <c r="K275" s="9" t="s">
        <v>690</v>
      </c>
      <c r="L275" s="10" t="s">
        <v>668</v>
      </c>
      <c r="M275" s="87" t="s">
        <v>2270</v>
      </c>
      <c r="N275" s="15"/>
      <c r="O275" s="11"/>
      <c r="P275" s="10"/>
      <c r="Q275" s="11"/>
      <c r="R275" s="11"/>
      <c r="S275" s="11"/>
      <c r="T275" s="13"/>
      <c r="U275" s="13"/>
      <c r="V275" s="11"/>
      <c r="W275" s="11"/>
      <c r="X275" s="10"/>
      <c r="Y275" s="11"/>
      <c r="Z275" s="11"/>
      <c r="AA275" s="11"/>
      <c r="AB275" s="11"/>
      <c r="AC275" s="88"/>
      <c r="AD275" s="6"/>
      <c r="AE275" s="6"/>
      <c r="AF275" s="6"/>
    </row>
    <row r="276">
      <c r="A276" s="86" t="s">
        <v>386</v>
      </c>
      <c r="B276" s="58" t="s">
        <v>1118</v>
      </c>
      <c r="C276" s="58" t="s">
        <v>696</v>
      </c>
      <c r="D276" s="95" t="s">
        <v>702</v>
      </c>
      <c r="E276" s="24" t="str">
        <f>IF(ISNA(MATCH(A276, 'A-Z player stats'!A:A, 0)), "Delete", "Keep")</f>
        <v>Keep</v>
      </c>
      <c r="G276" s="8"/>
      <c r="H276" s="9"/>
      <c r="I276" s="7" t="s">
        <v>386</v>
      </c>
      <c r="J276" s="9" t="s">
        <v>1118</v>
      </c>
      <c r="K276" s="9" t="s">
        <v>696</v>
      </c>
      <c r="L276" s="90" t="s">
        <v>702</v>
      </c>
      <c r="M276" s="87" t="s">
        <v>2267</v>
      </c>
      <c r="N276" s="11"/>
      <c r="O276" s="11"/>
      <c r="P276" s="12"/>
      <c r="Q276" s="11"/>
      <c r="R276" s="11"/>
      <c r="S276" s="13"/>
      <c r="T276" s="13"/>
      <c r="U276" s="13"/>
      <c r="V276" s="11"/>
      <c r="W276" s="13"/>
      <c r="X276" s="12"/>
      <c r="Y276" s="11"/>
      <c r="Z276" s="11"/>
      <c r="AA276" s="13"/>
      <c r="AB276" s="11"/>
      <c r="AC276" s="88"/>
      <c r="AD276" s="6"/>
      <c r="AE276" s="6"/>
      <c r="AF276" s="6"/>
    </row>
    <row r="277">
      <c r="A277" s="86" t="s">
        <v>2522</v>
      </c>
      <c r="B277" s="58" t="s">
        <v>1170</v>
      </c>
      <c r="C277" s="58" t="s">
        <v>727</v>
      </c>
      <c r="D277" s="81" t="s">
        <v>2523</v>
      </c>
      <c r="E277" s="24" t="str">
        <f>IF(ISNA(MATCH(A277, 'A-Z player stats'!A:A, 0)), "Delete", "Keep")</f>
        <v>Delete</v>
      </c>
      <c r="G277" s="8"/>
      <c r="H277" s="9"/>
      <c r="I277" s="7" t="s">
        <v>2522</v>
      </c>
      <c r="J277" s="9" t="s">
        <v>1170</v>
      </c>
      <c r="K277" s="9" t="s">
        <v>727</v>
      </c>
      <c r="L277" s="10" t="s">
        <v>671</v>
      </c>
      <c r="M277" s="87" t="s">
        <v>2270</v>
      </c>
      <c r="N277" s="11"/>
      <c r="O277" s="11"/>
      <c r="P277" s="10"/>
      <c r="Q277" s="13"/>
      <c r="R277" s="11"/>
      <c r="S277" s="11"/>
      <c r="T277" s="13"/>
      <c r="U277" s="13"/>
      <c r="V277" s="13"/>
      <c r="W277" s="13"/>
      <c r="X277" s="10"/>
      <c r="Y277" s="13"/>
      <c r="Z277" s="11"/>
      <c r="AA277" s="11"/>
      <c r="AB277" s="11"/>
      <c r="AC277" s="88"/>
      <c r="AD277" s="6"/>
      <c r="AE277" s="6"/>
      <c r="AF277" s="6"/>
    </row>
    <row r="278">
      <c r="A278" s="86" t="s">
        <v>388</v>
      </c>
      <c r="B278" s="58" t="s">
        <v>1357</v>
      </c>
      <c r="C278" s="58" t="s">
        <v>715</v>
      </c>
      <c r="D278" s="91" t="s">
        <v>700</v>
      </c>
      <c r="E278" s="24" t="str">
        <f>IF(ISNA(MATCH(A278, 'A-Z player stats'!A:A, 0)), "Delete", "Keep")</f>
        <v>Keep</v>
      </c>
      <c r="G278" s="8"/>
      <c r="H278" s="9"/>
      <c r="I278" s="7" t="s">
        <v>388</v>
      </c>
      <c r="J278" s="9" t="s">
        <v>1357</v>
      </c>
      <c r="K278" s="9" t="s">
        <v>715</v>
      </c>
      <c r="L278" s="90" t="s">
        <v>700</v>
      </c>
      <c r="M278" s="87" t="s">
        <v>2267</v>
      </c>
      <c r="N278" s="11"/>
      <c r="O278" s="11"/>
      <c r="P278" s="12"/>
      <c r="Q278" s="13"/>
      <c r="R278" s="13"/>
      <c r="S278" s="13"/>
      <c r="T278" s="13"/>
      <c r="U278" s="13"/>
      <c r="V278" s="11"/>
      <c r="W278" s="11"/>
      <c r="X278" s="12"/>
      <c r="Y278" s="13"/>
      <c r="Z278" s="13"/>
      <c r="AA278" s="13"/>
      <c r="AB278" s="13"/>
      <c r="AC278" s="88"/>
      <c r="AD278" s="6"/>
      <c r="AE278" s="6"/>
      <c r="AF278" s="6"/>
    </row>
    <row r="279">
      <c r="A279" s="86" t="s">
        <v>390</v>
      </c>
      <c r="B279" s="58" t="s">
        <v>1954</v>
      </c>
      <c r="C279" s="58" t="s">
        <v>810</v>
      </c>
      <c r="D279" s="92" t="s">
        <v>2524</v>
      </c>
      <c r="E279" s="24" t="str">
        <f>IF(ISNA(MATCH(A279, 'A-Z player stats'!A:A, 0)), "Delete", "Keep")</f>
        <v>Keep</v>
      </c>
      <c r="G279" s="8"/>
      <c r="H279" s="9"/>
      <c r="I279" s="7" t="s">
        <v>390</v>
      </c>
      <c r="J279" s="9" t="s">
        <v>1954</v>
      </c>
      <c r="K279" s="9" t="s">
        <v>810</v>
      </c>
      <c r="L279" s="10" t="s">
        <v>695</v>
      </c>
      <c r="M279" s="87" t="s">
        <v>2267</v>
      </c>
      <c r="N279" s="15"/>
      <c r="O279" s="11"/>
      <c r="P279" s="10"/>
      <c r="Q279" s="11"/>
      <c r="R279" s="11"/>
      <c r="S279" s="11"/>
      <c r="T279" s="13"/>
      <c r="U279" s="13"/>
      <c r="V279" s="11"/>
      <c r="W279" s="11"/>
      <c r="X279" s="10"/>
      <c r="Y279" s="11"/>
      <c r="Z279" s="11"/>
      <c r="AA279" s="11"/>
      <c r="AB279" s="11"/>
      <c r="AC279" s="88"/>
      <c r="AD279" s="6"/>
      <c r="AE279" s="6"/>
      <c r="AF279" s="6"/>
    </row>
    <row r="280">
      <c r="A280" s="86" t="s">
        <v>392</v>
      </c>
      <c r="B280" s="58" t="s">
        <v>1841</v>
      </c>
      <c r="C280" s="58" t="s">
        <v>729</v>
      </c>
      <c r="D280" s="92" t="s">
        <v>2525</v>
      </c>
      <c r="E280" s="24" t="str">
        <f>IF(ISNA(MATCH(A280, 'A-Z player stats'!A:A, 0)), "Delete", "Keep")</f>
        <v>Keep</v>
      </c>
      <c r="G280" s="8"/>
      <c r="H280" s="9"/>
      <c r="I280" s="7" t="s">
        <v>392</v>
      </c>
      <c r="J280" s="9" t="s">
        <v>1841</v>
      </c>
      <c r="K280" s="9" t="s">
        <v>729</v>
      </c>
      <c r="L280" s="10" t="s">
        <v>695</v>
      </c>
      <c r="M280" s="93" t="s">
        <v>2267</v>
      </c>
      <c r="N280" s="11"/>
      <c r="O280" s="11"/>
      <c r="P280" s="12"/>
      <c r="Q280" s="13"/>
      <c r="R280" s="13"/>
      <c r="S280" s="13"/>
      <c r="T280" s="13"/>
      <c r="U280" s="13"/>
      <c r="V280" s="13"/>
      <c r="W280" s="13"/>
      <c r="X280" s="12"/>
      <c r="Y280" s="13"/>
      <c r="Z280" s="13"/>
      <c r="AA280" s="13"/>
      <c r="AB280" s="13"/>
      <c r="AC280" s="88"/>
      <c r="AD280" s="6"/>
      <c r="AE280" s="6"/>
      <c r="AF280" s="6"/>
    </row>
    <row r="281">
      <c r="A281" s="86" t="s">
        <v>395</v>
      </c>
      <c r="B281" s="58" t="s">
        <v>1610</v>
      </c>
      <c r="C281" s="58" t="s">
        <v>673</v>
      </c>
      <c r="D281" s="92" t="s">
        <v>2526</v>
      </c>
      <c r="E281" s="24" t="str">
        <f>IF(ISNA(MATCH(A281, 'A-Z player stats'!A:A, 0)), "Delete", "Keep")</f>
        <v>Keep</v>
      </c>
      <c r="G281" s="8"/>
      <c r="H281" s="9"/>
      <c r="I281" s="7" t="s">
        <v>395</v>
      </c>
      <c r="J281" s="9" t="s">
        <v>1610</v>
      </c>
      <c r="K281" s="9" t="s">
        <v>673</v>
      </c>
      <c r="L281" s="10" t="s">
        <v>668</v>
      </c>
      <c r="M281" s="93" t="s">
        <v>2267</v>
      </c>
      <c r="N281" s="11"/>
      <c r="O281" s="11"/>
      <c r="P281" s="12"/>
      <c r="Q281" s="13"/>
      <c r="R281" s="13"/>
      <c r="S281" s="13"/>
      <c r="T281" s="13"/>
      <c r="U281" s="13"/>
      <c r="V281" s="13"/>
      <c r="W281" s="13"/>
      <c r="X281" s="12"/>
      <c r="Y281" s="13"/>
      <c r="Z281" s="13"/>
      <c r="AA281" s="13"/>
      <c r="AB281" s="13"/>
      <c r="AC281" s="88"/>
      <c r="AD281" s="6"/>
      <c r="AE281" s="6"/>
      <c r="AF281" s="6"/>
    </row>
    <row r="282">
      <c r="A282" s="86" t="s">
        <v>2527</v>
      </c>
      <c r="B282" s="58" t="s">
        <v>1312</v>
      </c>
      <c r="C282" s="58" t="s">
        <v>685</v>
      </c>
      <c r="D282" s="89" t="s">
        <v>2528</v>
      </c>
      <c r="E282" s="24" t="str">
        <f>IF(ISNA(MATCH(A282, 'A-Z player stats'!A:A, 0)), "Delete", "Keep")</f>
        <v>Delete</v>
      </c>
      <c r="G282" s="8"/>
      <c r="H282" s="9"/>
      <c r="I282" s="7" t="s">
        <v>2527</v>
      </c>
      <c r="J282" s="9" t="s">
        <v>1312</v>
      </c>
      <c r="K282" s="9" t="s">
        <v>685</v>
      </c>
      <c r="L282" s="10" t="s">
        <v>695</v>
      </c>
      <c r="M282" s="87" t="s">
        <v>2270</v>
      </c>
      <c r="N282" s="15"/>
      <c r="O282" s="11"/>
      <c r="P282" s="10"/>
      <c r="Q282" s="11"/>
      <c r="R282" s="11"/>
      <c r="S282" s="11"/>
      <c r="T282" s="13"/>
      <c r="U282" s="13"/>
      <c r="V282" s="11"/>
      <c r="W282" s="13"/>
      <c r="X282" s="10"/>
      <c r="Y282" s="11"/>
      <c r="Z282" s="11"/>
      <c r="AA282" s="11"/>
      <c r="AB282" s="11"/>
      <c r="AC282" s="88"/>
      <c r="AD282" s="6"/>
      <c r="AE282" s="6"/>
      <c r="AF282" s="6"/>
    </row>
    <row r="283">
      <c r="A283" s="86" t="s">
        <v>397</v>
      </c>
      <c r="B283" s="58" t="s">
        <v>2035</v>
      </c>
      <c r="C283" s="58" t="s">
        <v>683</v>
      </c>
      <c r="D283" s="92" t="s">
        <v>2529</v>
      </c>
      <c r="E283" s="24" t="str">
        <f>IF(ISNA(MATCH(A283, 'A-Z player stats'!A:A, 0)), "Delete", "Keep")</f>
        <v>Keep</v>
      </c>
      <c r="G283" s="8"/>
      <c r="H283" s="9"/>
      <c r="I283" s="7" t="s">
        <v>397</v>
      </c>
      <c r="J283" s="9" t="s">
        <v>2035</v>
      </c>
      <c r="K283" s="9" t="s">
        <v>683</v>
      </c>
      <c r="L283" s="10" t="s">
        <v>671</v>
      </c>
      <c r="M283" s="87" t="s">
        <v>2267</v>
      </c>
      <c r="N283" s="11"/>
      <c r="O283" s="11"/>
      <c r="P283" s="12"/>
      <c r="Q283" s="11"/>
      <c r="R283" s="11"/>
      <c r="S283" s="13"/>
      <c r="T283" s="13"/>
      <c r="U283" s="13"/>
      <c r="V283" s="11"/>
      <c r="W283" s="13"/>
      <c r="X283" s="12"/>
      <c r="Y283" s="11"/>
      <c r="Z283" s="11"/>
      <c r="AA283" s="13"/>
      <c r="AB283" s="11"/>
      <c r="AC283" s="88"/>
      <c r="AD283" s="6"/>
      <c r="AE283" s="6"/>
      <c r="AF283" s="6"/>
    </row>
    <row r="284">
      <c r="A284" s="86" t="s">
        <v>2530</v>
      </c>
      <c r="B284" s="58" t="s">
        <v>1934</v>
      </c>
      <c r="C284" s="58" t="s">
        <v>685</v>
      </c>
      <c r="D284" s="79" t="s">
        <v>706</v>
      </c>
      <c r="E284" s="24" t="str">
        <f>IF(ISNA(MATCH(A284, 'A-Z player stats'!A:A, 0)), "Delete", "Keep")</f>
        <v>Delete</v>
      </c>
      <c r="G284" s="8"/>
      <c r="H284" s="9"/>
      <c r="I284" s="7" t="s">
        <v>2530</v>
      </c>
      <c r="J284" s="9" t="s">
        <v>1934</v>
      </c>
      <c r="K284" s="9" t="s">
        <v>685</v>
      </c>
      <c r="L284" s="90" t="s">
        <v>706</v>
      </c>
      <c r="M284" s="87" t="s">
        <v>2270</v>
      </c>
      <c r="N284" s="15"/>
      <c r="O284" s="11"/>
      <c r="P284" s="10"/>
      <c r="Q284" s="11"/>
      <c r="R284" s="11"/>
      <c r="S284" s="11"/>
      <c r="T284" s="13"/>
      <c r="U284" s="11"/>
      <c r="V284" s="11"/>
      <c r="W284" s="11"/>
      <c r="X284" s="10"/>
      <c r="Y284" s="11"/>
      <c r="Z284" s="11"/>
      <c r="AA284" s="11"/>
      <c r="AB284" s="11"/>
      <c r="AC284" s="88"/>
      <c r="AD284" s="6"/>
      <c r="AE284" s="6"/>
      <c r="AF284" s="6"/>
    </row>
    <row r="285">
      <c r="A285" s="86" t="s">
        <v>399</v>
      </c>
      <c r="B285" s="58" t="s">
        <v>1139</v>
      </c>
      <c r="C285" s="58" t="s">
        <v>810</v>
      </c>
      <c r="D285" s="91" t="s">
        <v>701</v>
      </c>
      <c r="E285" s="24" t="str">
        <f>IF(ISNA(MATCH(A285, 'A-Z player stats'!A:A, 0)), "Delete", "Keep")</f>
        <v>Keep</v>
      </c>
      <c r="G285" s="8"/>
      <c r="H285" s="9"/>
      <c r="I285" s="7" t="s">
        <v>399</v>
      </c>
      <c r="J285" s="9" t="s">
        <v>1139</v>
      </c>
      <c r="K285" s="9" t="s">
        <v>810</v>
      </c>
      <c r="L285" s="90" t="s">
        <v>701</v>
      </c>
      <c r="M285" s="87" t="s">
        <v>2267</v>
      </c>
      <c r="N285" s="15"/>
      <c r="O285" s="11"/>
      <c r="P285" s="10"/>
      <c r="Q285" s="13"/>
      <c r="R285" s="11"/>
      <c r="S285" s="11"/>
      <c r="T285" s="13"/>
      <c r="U285" s="13"/>
      <c r="V285" s="11"/>
      <c r="W285" s="13"/>
      <c r="X285" s="10"/>
      <c r="Y285" s="13"/>
      <c r="Z285" s="11"/>
      <c r="AA285" s="11"/>
      <c r="AB285" s="11"/>
      <c r="AC285" s="88"/>
      <c r="AD285" s="6"/>
      <c r="AE285" s="6"/>
      <c r="AF285" s="6"/>
    </row>
    <row r="286">
      <c r="A286" s="86" t="s">
        <v>401</v>
      </c>
      <c r="B286" s="58" t="s">
        <v>2215</v>
      </c>
      <c r="C286" s="58" t="s">
        <v>704</v>
      </c>
      <c r="D286" s="79" t="s">
        <v>691</v>
      </c>
      <c r="E286" s="24" t="str">
        <f>IF(ISNA(MATCH(A286, 'A-Z player stats'!A:A, 0)), "Delete", "Keep")</f>
        <v>Keep</v>
      </c>
      <c r="G286" s="8"/>
      <c r="H286" s="9"/>
      <c r="I286" s="7" t="s">
        <v>401</v>
      </c>
      <c r="J286" s="9" t="s">
        <v>2215</v>
      </c>
      <c r="K286" s="9" t="s">
        <v>704</v>
      </c>
      <c r="L286" s="90" t="s">
        <v>691</v>
      </c>
      <c r="M286" s="93" t="s">
        <v>2267</v>
      </c>
      <c r="N286" s="11"/>
      <c r="O286" s="11"/>
      <c r="P286" s="12"/>
      <c r="Q286" s="13"/>
      <c r="R286" s="13"/>
      <c r="S286" s="13"/>
      <c r="T286" s="13"/>
      <c r="U286" s="13"/>
      <c r="V286" s="13"/>
      <c r="W286" s="13"/>
      <c r="X286" s="12"/>
      <c r="Y286" s="13"/>
      <c r="Z286" s="13"/>
      <c r="AA286" s="13"/>
      <c r="AB286" s="13"/>
      <c r="AC286" s="88"/>
      <c r="AD286" s="6"/>
      <c r="AE286" s="6"/>
      <c r="AF286" s="6"/>
    </row>
    <row r="287">
      <c r="A287" s="86" t="s">
        <v>403</v>
      </c>
      <c r="B287" s="58" t="s">
        <v>1913</v>
      </c>
      <c r="C287" s="58" t="s">
        <v>688</v>
      </c>
      <c r="D287" s="89" t="s">
        <v>2531</v>
      </c>
      <c r="E287" s="24" t="str">
        <f>IF(ISNA(MATCH(A287, 'A-Z player stats'!A:A, 0)), "Delete", "Keep")</f>
        <v>Keep</v>
      </c>
      <c r="G287" s="8"/>
      <c r="H287" s="9"/>
      <c r="I287" s="7" t="s">
        <v>403</v>
      </c>
      <c r="J287" s="9" t="s">
        <v>1913</v>
      </c>
      <c r="K287" s="9" t="s">
        <v>688</v>
      </c>
      <c r="L287" s="10" t="s">
        <v>671</v>
      </c>
      <c r="M287" s="87" t="s">
        <v>2267</v>
      </c>
      <c r="N287" s="15"/>
      <c r="O287" s="11"/>
      <c r="P287" s="10"/>
      <c r="Q287" s="13"/>
      <c r="R287" s="11"/>
      <c r="S287" s="11"/>
      <c r="T287" s="13"/>
      <c r="U287" s="13"/>
      <c r="V287" s="11"/>
      <c r="W287" s="13"/>
      <c r="X287" s="10"/>
      <c r="Y287" s="13"/>
      <c r="Z287" s="11"/>
      <c r="AA287" s="11"/>
      <c r="AB287" s="11"/>
      <c r="AC287" s="88"/>
      <c r="AD287" s="6"/>
      <c r="AE287" s="6"/>
      <c r="AF287" s="6"/>
    </row>
    <row r="288">
      <c r="A288" s="86" t="s">
        <v>2532</v>
      </c>
      <c r="B288" s="58" t="s">
        <v>2179</v>
      </c>
      <c r="C288" s="58" t="s">
        <v>688</v>
      </c>
      <c r="D288" s="89" t="s">
        <v>2533</v>
      </c>
      <c r="E288" s="24" t="str">
        <f>IF(ISNA(MATCH(A288, 'A-Z player stats'!A:A, 0)), "Delete", "Keep")</f>
        <v>Delete</v>
      </c>
      <c r="G288" s="8"/>
      <c r="H288" s="9"/>
      <c r="I288" s="7" t="s">
        <v>2532</v>
      </c>
      <c r="J288" s="9" t="s">
        <v>2179</v>
      </c>
      <c r="K288" s="9" t="s">
        <v>688</v>
      </c>
      <c r="L288" s="10" t="s">
        <v>689</v>
      </c>
      <c r="M288" s="87" t="s">
        <v>2270</v>
      </c>
      <c r="N288" s="11"/>
      <c r="O288" s="11"/>
      <c r="P288" s="12"/>
      <c r="Q288" s="13"/>
      <c r="R288" s="13"/>
      <c r="S288" s="13"/>
      <c r="T288" s="13"/>
      <c r="U288" s="13"/>
      <c r="V288" s="13"/>
      <c r="W288" s="13"/>
      <c r="X288" s="12"/>
      <c r="Y288" s="13"/>
      <c r="Z288" s="13"/>
      <c r="AA288" s="13"/>
      <c r="AB288" s="13"/>
      <c r="AC288" s="88"/>
      <c r="AD288" s="6"/>
      <c r="AE288" s="6"/>
      <c r="AF288" s="6"/>
    </row>
    <row r="289">
      <c r="A289" s="86" t="s">
        <v>405</v>
      </c>
      <c r="B289" s="58" t="s">
        <v>1474</v>
      </c>
      <c r="C289" s="58" t="s">
        <v>810</v>
      </c>
      <c r="D289" s="91" t="s">
        <v>703</v>
      </c>
      <c r="E289" s="24" t="str">
        <f>IF(ISNA(MATCH(A289, 'A-Z player stats'!A:A, 0)), "Delete", "Keep")</f>
        <v>Keep</v>
      </c>
      <c r="G289" s="8"/>
      <c r="H289" s="9"/>
      <c r="I289" s="7" t="s">
        <v>405</v>
      </c>
      <c r="J289" s="9" t="s">
        <v>1474</v>
      </c>
      <c r="K289" s="9" t="s">
        <v>810</v>
      </c>
      <c r="L289" s="90" t="s">
        <v>703</v>
      </c>
      <c r="M289" s="87" t="s">
        <v>2267</v>
      </c>
      <c r="N289" s="15"/>
      <c r="O289" s="11"/>
      <c r="P289" s="10"/>
      <c r="Q289" s="11"/>
      <c r="R289" s="11"/>
      <c r="S289" s="11"/>
      <c r="T289" s="11"/>
      <c r="U289" s="11"/>
      <c r="V289" s="11"/>
      <c r="W289" s="13"/>
      <c r="X289" s="10"/>
      <c r="Y289" s="11"/>
      <c r="Z289" s="11"/>
      <c r="AA289" s="11"/>
      <c r="AB289" s="11"/>
      <c r="AC289" s="88"/>
      <c r="AD289" s="6"/>
      <c r="AE289" s="6"/>
      <c r="AF289" s="6"/>
    </row>
    <row r="290">
      <c r="A290" s="86" t="s">
        <v>2534</v>
      </c>
      <c r="B290" s="58" t="s">
        <v>1503</v>
      </c>
      <c r="C290" s="58" t="s">
        <v>678</v>
      </c>
      <c r="D290" s="91" t="s">
        <v>703</v>
      </c>
      <c r="E290" s="24" t="str">
        <f>IF(ISNA(MATCH(A290, 'A-Z player stats'!A:A, 0)), "Delete", "Keep")</f>
        <v>Delete</v>
      </c>
      <c r="G290" s="8"/>
      <c r="H290" s="9"/>
      <c r="I290" s="7" t="s">
        <v>2534</v>
      </c>
      <c r="J290" s="9" t="s">
        <v>1503</v>
      </c>
      <c r="K290" s="9" t="s">
        <v>678</v>
      </c>
      <c r="L290" s="90" t="s">
        <v>703</v>
      </c>
      <c r="M290" s="87" t="s">
        <v>2270</v>
      </c>
      <c r="N290" s="15"/>
      <c r="O290" s="11"/>
      <c r="P290" s="10"/>
      <c r="Q290" s="11"/>
      <c r="R290" s="11"/>
      <c r="S290" s="11"/>
      <c r="T290" s="13"/>
      <c r="U290" s="13"/>
      <c r="V290" s="11"/>
      <c r="W290" s="13"/>
      <c r="X290" s="10"/>
      <c r="Y290" s="11"/>
      <c r="Z290" s="11"/>
      <c r="AA290" s="11"/>
      <c r="AB290" s="11"/>
      <c r="AC290" s="88"/>
      <c r="AD290" s="6"/>
      <c r="AE290" s="6"/>
      <c r="AF290" s="6"/>
    </row>
    <row r="291">
      <c r="A291" s="86" t="s">
        <v>407</v>
      </c>
      <c r="B291" s="58" t="s">
        <v>1709</v>
      </c>
      <c r="C291" s="58" t="s">
        <v>693</v>
      </c>
      <c r="D291" s="79" t="s">
        <v>677</v>
      </c>
      <c r="E291" s="24" t="str">
        <f>IF(ISNA(MATCH(A291, 'A-Z player stats'!A:A, 0)), "Delete", "Keep")</f>
        <v>Keep</v>
      </c>
      <c r="G291" s="8"/>
      <c r="H291" s="9"/>
      <c r="I291" s="7" t="s">
        <v>407</v>
      </c>
      <c r="J291" s="9" t="s">
        <v>1709</v>
      </c>
      <c r="K291" s="9" t="s">
        <v>693</v>
      </c>
      <c r="L291" s="90" t="s">
        <v>677</v>
      </c>
      <c r="M291" s="87" t="s">
        <v>2267</v>
      </c>
      <c r="N291" s="15"/>
      <c r="O291" s="11"/>
      <c r="P291" s="10"/>
      <c r="Q291" s="11"/>
      <c r="R291" s="11"/>
      <c r="S291" s="11"/>
      <c r="T291" s="11"/>
      <c r="U291" s="11"/>
      <c r="V291" s="13"/>
      <c r="W291" s="13"/>
      <c r="X291" s="10"/>
      <c r="Y291" s="11"/>
      <c r="Z291" s="11"/>
      <c r="AA291" s="11"/>
      <c r="AB291" s="11"/>
      <c r="AC291" s="88"/>
      <c r="AD291" s="6"/>
      <c r="AE291" s="6"/>
      <c r="AF291" s="6"/>
    </row>
    <row r="292">
      <c r="A292" s="86" t="s">
        <v>409</v>
      </c>
      <c r="B292" s="58" t="s">
        <v>1654</v>
      </c>
      <c r="C292" s="58" t="s">
        <v>722</v>
      </c>
      <c r="D292" s="92" t="s">
        <v>2535</v>
      </c>
      <c r="E292" s="24" t="str">
        <f>IF(ISNA(MATCH(A292, 'A-Z player stats'!A:A, 0)), "Delete", "Keep")</f>
        <v>Keep</v>
      </c>
      <c r="G292" s="8"/>
      <c r="H292" s="9"/>
      <c r="I292" s="7" t="s">
        <v>409</v>
      </c>
      <c r="J292" s="9" t="s">
        <v>1654</v>
      </c>
      <c r="K292" s="9" t="s">
        <v>722</v>
      </c>
      <c r="L292" s="10" t="s">
        <v>716</v>
      </c>
      <c r="M292" s="87" t="s">
        <v>2267</v>
      </c>
      <c r="N292" s="15"/>
      <c r="O292" s="11"/>
      <c r="P292" s="10"/>
      <c r="Q292" s="11"/>
      <c r="R292" s="11"/>
      <c r="S292" s="11"/>
      <c r="T292" s="13"/>
      <c r="U292" s="13"/>
      <c r="V292" s="11"/>
      <c r="W292" s="13"/>
      <c r="X292" s="10"/>
      <c r="Y292" s="11"/>
      <c r="Z292" s="11"/>
      <c r="AA292" s="11"/>
      <c r="AB292" s="11"/>
      <c r="AC292" s="88"/>
      <c r="AD292" s="6"/>
      <c r="AE292" s="6"/>
      <c r="AF292" s="6"/>
    </row>
    <row r="293">
      <c r="A293" s="86" t="s">
        <v>411</v>
      </c>
      <c r="B293" s="58" t="s">
        <v>1631</v>
      </c>
      <c r="C293" s="58" t="s">
        <v>810</v>
      </c>
      <c r="D293" s="79" t="s">
        <v>703</v>
      </c>
      <c r="E293" s="24" t="str">
        <f>IF(ISNA(MATCH(A293, 'A-Z player stats'!A:A, 0)), "Delete", "Keep")</f>
        <v>Keep</v>
      </c>
      <c r="G293" s="8"/>
      <c r="H293" s="9"/>
      <c r="I293" s="7" t="s">
        <v>411</v>
      </c>
      <c r="J293" s="9" t="s">
        <v>1631</v>
      </c>
      <c r="K293" s="9" t="s">
        <v>810</v>
      </c>
      <c r="L293" s="90" t="s">
        <v>703</v>
      </c>
      <c r="M293" s="87" t="s">
        <v>2267</v>
      </c>
      <c r="N293" s="15"/>
      <c r="O293" s="11"/>
      <c r="P293" s="12"/>
      <c r="Q293" s="13"/>
      <c r="R293" s="13"/>
      <c r="S293" s="13"/>
      <c r="T293" s="13"/>
      <c r="U293" s="13"/>
      <c r="V293" s="11"/>
      <c r="W293" s="13"/>
      <c r="X293" s="12"/>
      <c r="Y293" s="13"/>
      <c r="Z293" s="13"/>
      <c r="AA293" s="13"/>
      <c r="AB293" s="13"/>
      <c r="AC293" s="88"/>
      <c r="AD293" s="6"/>
      <c r="AE293" s="6"/>
      <c r="AF293" s="6"/>
    </row>
    <row r="294">
      <c r="A294" s="86" t="s">
        <v>413</v>
      </c>
      <c r="B294" s="58" t="s">
        <v>1806</v>
      </c>
      <c r="C294" s="58" t="s">
        <v>810</v>
      </c>
      <c r="D294" s="91" t="s">
        <v>706</v>
      </c>
      <c r="E294" s="24" t="str">
        <f>IF(ISNA(MATCH(A294, 'A-Z player stats'!A:A, 0)), "Delete", "Keep")</f>
        <v>Keep</v>
      </c>
      <c r="G294" s="8"/>
      <c r="H294" s="9"/>
      <c r="I294" s="7" t="s">
        <v>413</v>
      </c>
      <c r="J294" s="9" t="s">
        <v>1806</v>
      </c>
      <c r="K294" s="9" t="s">
        <v>810</v>
      </c>
      <c r="L294" s="90" t="s">
        <v>706</v>
      </c>
      <c r="M294" s="87" t="s">
        <v>2267</v>
      </c>
      <c r="N294" s="11"/>
      <c r="O294" s="11"/>
      <c r="P294" s="10"/>
      <c r="Q294" s="11"/>
      <c r="R294" s="11"/>
      <c r="S294" s="11"/>
      <c r="T294" s="13"/>
      <c r="U294" s="13"/>
      <c r="V294" s="13"/>
      <c r="W294" s="13"/>
      <c r="X294" s="10"/>
      <c r="Y294" s="11"/>
      <c r="Z294" s="11"/>
      <c r="AA294" s="11"/>
      <c r="AB294" s="11"/>
      <c r="AC294" s="88"/>
      <c r="AD294" s="6"/>
      <c r="AE294" s="6"/>
      <c r="AF294" s="6"/>
    </row>
    <row r="295">
      <c r="A295" s="86" t="s">
        <v>2536</v>
      </c>
      <c r="B295" s="58" t="s">
        <v>1317</v>
      </c>
      <c r="C295" s="58" t="s">
        <v>673</v>
      </c>
      <c r="D295" s="79" t="s">
        <v>706</v>
      </c>
      <c r="E295" s="24" t="str">
        <f>IF(ISNA(MATCH(A295, 'A-Z player stats'!A:A, 0)), "Delete", "Keep")</f>
        <v>Delete</v>
      </c>
      <c r="G295" s="8"/>
      <c r="H295" s="9"/>
      <c r="I295" s="7" t="s">
        <v>2536</v>
      </c>
      <c r="J295" s="9" t="s">
        <v>1317</v>
      </c>
      <c r="K295" s="9" t="s">
        <v>673</v>
      </c>
      <c r="L295" s="90" t="s">
        <v>706</v>
      </c>
      <c r="M295" s="87" t="s">
        <v>2270</v>
      </c>
      <c r="N295" s="15"/>
      <c r="O295" s="11"/>
      <c r="P295" s="12"/>
      <c r="Q295" s="13"/>
      <c r="R295" s="13"/>
      <c r="S295" s="13"/>
      <c r="T295" s="13"/>
      <c r="U295" s="13"/>
      <c r="V295" s="11"/>
      <c r="W295" s="13"/>
      <c r="X295" s="12"/>
      <c r="Y295" s="13"/>
      <c r="Z295" s="13"/>
      <c r="AA295" s="13"/>
      <c r="AB295" s="13"/>
      <c r="AC295" s="88"/>
      <c r="AD295" s="6"/>
      <c r="AE295" s="6"/>
      <c r="AF295" s="6"/>
    </row>
    <row r="296">
      <c r="A296" s="86" t="s">
        <v>415</v>
      </c>
      <c r="B296" s="58" t="s">
        <v>1341</v>
      </c>
      <c r="C296" s="58" t="s">
        <v>698</v>
      </c>
      <c r="D296" s="79" t="s">
        <v>700</v>
      </c>
      <c r="E296" s="24" t="str">
        <f>IF(ISNA(MATCH(A296, 'A-Z player stats'!A:A, 0)), "Delete", "Keep")</f>
        <v>Keep</v>
      </c>
      <c r="G296" s="8"/>
      <c r="H296" s="17"/>
      <c r="I296" s="7" t="s">
        <v>415</v>
      </c>
      <c r="J296" s="17" t="s">
        <v>1341</v>
      </c>
      <c r="K296" s="17" t="s">
        <v>698</v>
      </c>
      <c r="L296" s="96" t="s">
        <v>700</v>
      </c>
      <c r="M296" s="97" t="s">
        <v>2267</v>
      </c>
      <c r="N296" s="20"/>
      <c r="O296" s="19"/>
      <c r="P296" s="18"/>
      <c r="Q296" s="21"/>
      <c r="R296" s="19"/>
      <c r="S296" s="19"/>
      <c r="T296" s="21"/>
      <c r="U296" s="21"/>
      <c r="V296" s="19"/>
      <c r="W296" s="21"/>
      <c r="X296" s="18"/>
      <c r="Y296" s="21"/>
      <c r="Z296" s="19"/>
      <c r="AA296" s="19"/>
      <c r="AB296" s="19"/>
      <c r="AC296" s="98"/>
      <c r="AD296" s="6"/>
      <c r="AE296" s="6"/>
      <c r="AF296" s="6"/>
    </row>
    <row r="297">
      <c r="A297" s="86" t="s">
        <v>418</v>
      </c>
      <c r="B297" s="58" t="s">
        <v>1854</v>
      </c>
      <c r="C297" s="58" t="s">
        <v>690</v>
      </c>
      <c r="D297" s="89" t="s">
        <v>2537</v>
      </c>
      <c r="E297" s="24" t="str">
        <f>IF(ISNA(MATCH(A297, 'A-Z player stats'!A:A, 0)), "Delete", "Keep")</f>
        <v>Keep</v>
      </c>
      <c r="I297" s="7" t="s">
        <v>418</v>
      </c>
      <c r="J297" s="1" t="s">
        <v>1854</v>
      </c>
      <c r="K297" s="1" t="s">
        <v>690</v>
      </c>
      <c r="L297" s="1" t="s">
        <v>711</v>
      </c>
      <c r="M297" s="24" t="s">
        <v>2267</v>
      </c>
      <c r="O297" s="82"/>
    </row>
    <row r="298">
      <c r="A298" s="86" t="s">
        <v>2538</v>
      </c>
      <c r="B298" s="58" t="s">
        <v>1778</v>
      </c>
      <c r="C298" s="58" t="s">
        <v>685</v>
      </c>
      <c r="D298" s="89" t="s">
        <v>2539</v>
      </c>
      <c r="E298" s="24" t="str">
        <f>IF(ISNA(MATCH(A298, 'A-Z player stats'!A:A, 0)), "Delete", "Keep")</f>
        <v>Delete</v>
      </c>
      <c r="I298" s="7" t="s">
        <v>2538</v>
      </c>
      <c r="J298" s="1" t="s">
        <v>1778</v>
      </c>
      <c r="K298" s="1" t="s">
        <v>685</v>
      </c>
      <c r="L298" s="1" t="s">
        <v>671</v>
      </c>
      <c r="M298" s="24" t="s">
        <v>2270</v>
      </c>
      <c r="O298" s="82"/>
    </row>
    <row r="299">
      <c r="A299" s="86" t="s">
        <v>420</v>
      </c>
      <c r="B299" s="58" t="s">
        <v>1187</v>
      </c>
      <c r="C299" s="58" t="s">
        <v>696</v>
      </c>
      <c r="D299" s="83" t="s">
        <v>702</v>
      </c>
      <c r="E299" s="24" t="str">
        <f>IF(ISNA(MATCH(A299, 'A-Z player stats'!A:A, 0)), "Delete", "Keep")</f>
        <v>Keep</v>
      </c>
      <c r="I299" s="7" t="s">
        <v>420</v>
      </c>
      <c r="J299" s="1" t="s">
        <v>1187</v>
      </c>
      <c r="K299" s="1" t="s">
        <v>696</v>
      </c>
      <c r="L299" s="24" t="s">
        <v>702</v>
      </c>
      <c r="M299" s="24" t="s">
        <v>2267</v>
      </c>
      <c r="O299" s="82"/>
    </row>
    <row r="300">
      <c r="A300" s="86" t="s">
        <v>422</v>
      </c>
      <c r="B300" s="58" t="s">
        <v>1139</v>
      </c>
      <c r="C300" s="58" t="s">
        <v>810</v>
      </c>
      <c r="D300" s="79" t="s">
        <v>691</v>
      </c>
      <c r="E300" s="24" t="str">
        <f>IF(ISNA(MATCH(A300, 'A-Z player stats'!A:A, 0)), "Delete", "Keep")</f>
        <v>Keep</v>
      </c>
      <c r="F300" s="50"/>
      <c r="I300" s="7" t="s">
        <v>422</v>
      </c>
      <c r="J300" s="99" t="s">
        <v>1139</v>
      </c>
      <c r="K300" s="99" t="s">
        <v>810</v>
      </c>
      <c r="L300" s="24" t="s">
        <v>691</v>
      </c>
      <c r="M300" s="24" t="s">
        <v>2267</v>
      </c>
    </row>
    <row r="301">
      <c r="A301" s="86" t="s">
        <v>2540</v>
      </c>
      <c r="B301" s="58" t="s">
        <v>1662</v>
      </c>
      <c r="C301" s="58" t="s">
        <v>715</v>
      </c>
      <c r="D301" s="79" t="s">
        <v>703</v>
      </c>
      <c r="E301" s="24" t="str">
        <f>IF(ISNA(MATCH(A301, 'A-Z player stats'!A:A, 0)), "Delete", "Keep")</f>
        <v>Delete</v>
      </c>
      <c r="I301" s="7" t="s">
        <v>2540</v>
      </c>
      <c r="J301" s="1" t="s">
        <v>1662</v>
      </c>
      <c r="K301" s="1" t="s">
        <v>715</v>
      </c>
      <c r="L301" s="24" t="s">
        <v>703</v>
      </c>
      <c r="M301" s="24" t="s">
        <v>2270</v>
      </c>
    </row>
    <row r="302">
      <c r="A302" s="86" t="s">
        <v>424</v>
      </c>
      <c r="B302" s="58" t="s">
        <v>1139</v>
      </c>
      <c r="C302" s="58" t="s">
        <v>810</v>
      </c>
      <c r="D302" s="91" t="s">
        <v>708</v>
      </c>
      <c r="E302" s="24" t="str">
        <f>IF(ISNA(MATCH(A302, 'A-Z player stats'!A:A, 0)), "Delete", "Keep")</f>
        <v>Keep</v>
      </c>
      <c r="I302" s="7" t="s">
        <v>424</v>
      </c>
      <c r="J302" s="1" t="s">
        <v>1139</v>
      </c>
      <c r="K302" s="1" t="s">
        <v>810</v>
      </c>
      <c r="L302" s="24" t="s">
        <v>708</v>
      </c>
      <c r="M302" s="24" t="s">
        <v>2267</v>
      </c>
    </row>
    <row r="303">
      <c r="A303" s="86" t="s">
        <v>426</v>
      </c>
      <c r="B303" s="58" t="s">
        <v>1795</v>
      </c>
      <c r="C303" s="58" t="s">
        <v>727</v>
      </c>
      <c r="D303" s="78" t="s">
        <v>2541</v>
      </c>
      <c r="E303" s="24" t="str">
        <f>IF(ISNA(MATCH(A303, 'A-Z player stats'!A:A, 0)), "Delete", "Keep")</f>
        <v>Keep</v>
      </c>
      <c r="F303" s="7"/>
      <c r="G303" s="7"/>
      <c r="H303" s="7"/>
      <c r="I303" s="7" t="s">
        <v>426</v>
      </c>
      <c r="J303" s="1" t="s">
        <v>1795</v>
      </c>
      <c r="K303" s="1" t="s">
        <v>727</v>
      </c>
      <c r="L303" s="1" t="s">
        <v>687</v>
      </c>
      <c r="M303" s="24" t="s">
        <v>2267</v>
      </c>
      <c r="O303" s="84"/>
    </row>
    <row r="304">
      <c r="A304" s="86" t="s">
        <v>2542</v>
      </c>
      <c r="B304" s="58" t="s">
        <v>1881</v>
      </c>
      <c r="C304" s="58" t="s">
        <v>718</v>
      </c>
      <c r="D304" s="91" t="s">
        <v>708</v>
      </c>
      <c r="E304" s="24" t="str">
        <f>IF(ISNA(MATCH(A304, 'A-Z player stats'!A:A, 0)), "Delete", "Keep")</f>
        <v>Delete</v>
      </c>
      <c r="I304" s="7" t="s">
        <v>2542</v>
      </c>
      <c r="J304" s="1" t="s">
        <v>1881</v>
      </c>
      <c r="K304" s="1" t="s">
        <v>718</v>
      </c>
      <c r="L304" s="24" t="s">
        <v>708</v>
      </c>
      <c r="M304" s="24" t="s">
        <v>2270</v>
      </c>
    </row>
    <row r="305">
      <c r="A305" s="86" t="s">
        <v>2543</v>
      </c>
      <c r="B305" s="58" t="s">
        <v>1995</v>
      </c>
      <c r="C305" s="58" t="s">
        <v>676</v>
      </c>
      <c r="D305" s="78" t="s">
        <v>2544</v>
      </c>
      <c r="E305" s="24" t="str">
        <f>IF(ISNA(MATCH(A305, 'A-Z player stats'!A:A, 0)), "Delete", "Keep")</f>
        <v>Delete</v>
      </c>
      <c r="F305" s="7"/>
      <c r="G305" s="7"/>
      <c r="H305" s="7"/>
      <c r="I305" s="7" t="s">
        <v>2543</v>
      </c>
      <c r="J305" s="1" t="s">
        <v>1995</v>
      </c>
      <c r="K305" s="1" t="s">
        <v>676</v>
      </c>
      <c r="L305" s="1" t="s">
        <v>707</v>
      </c>
      <c r="M305" s="24" t="s">
        <v>2270</v>
      </c>
    </row>
    <row r="306">
      <c r="A306" s="86" t="s">
        <v>428</v>
      </c>
      <c r="B306" s="58" t="s">
        <v>1995</v>
      </c>
      <c r="C306" s="58" t="s">
        <v>676</v>
      </c>
      <c r="D306" s="81" t="s">
        <v>2545</v>
      </c>
      <c r="E306" s="24" t="str">
        <f>IF(ISNA(MATCH(A306, 'A-Z player stats'!A:A, 0)), "Delete", "Keep")</f>
        <v>Keep</v>
      </c>
      <c r="I306" s="7" t="s">
        <v>428</v>
      </c>
      <c r="J306" s="1" t="s">
        <v>1995</v>
      </c>
      <c r="K306" s="1" t="s">
        <v>676</v>
      </c>
      <c r="L306" s="1" t="s">
        <v>707</v>
      </c>
      <c r="M306" s="24" t="s">
        <v>2267</v>
      </c>
    </row>
    <row r="307">
      <c r="A307" s="86" t="s">
        <v>2546</v>
      </c>
      <c r="B307" s="58" t="s">
        <v>1252</v>
      </c>
      <c r="C307" s="58" t="s">
        <v>729</v>
      </c>
      <c r="D307" s="78" t="s">
        <v>2547</v>
      </c>
      <c r="E307" s="24" t="str">
        <f>IF(ISNA(MATCH(A307, 'A-Z player stats'!A:A, 0)), "Delete", "Keep")</f>
        <v>Delete</v>
      </c>
      <c r="F307" s="7"/>
      <c r="G307" s="7"/>
      <c r="H307" s="7"/>
      <c r="I307" s="7" t="s">
        <v>2546</v>
      </c>
      <c r="J307" s="1" t="s">
        <v>1252</v>
      </c>
      <c r="K307" s="1" t="s">
        <v>729</v>
      </c>
      <c r="L307" s="1" t="s">
        <v>2548</v>
      </c>
      <c r="M307" s="24" t="s">
        <v>2270</v>
      </c>
      <c r="N307" s="7"/>
      <c r="O307" s="82"/>
    </row>
    <row r="308">
      <c r="A308" s="86" t="s">
        <v>430</v>
      </c>
      <c r="B308" s="58" t="s">
        <v>1781</v>
      </c>
      <c r="C308" s="58" t="s">
        <v>723</v>
      </c>
      <c r="D308" s="81" t="s">
        <v>2549</v>
      </c>
      <c r="E308" s="24" t="str">
        <f>IF(ISNA(MATCH(A308, 'A-Z player stats'!A:A, 0)), "Delete", "Keep")</f>
        <v>Keep</v>
      </c>
      <c r="I308" s="7" t="s">
        <v>430</v>
      </c>
      <c r="J308" s="1" t="s">
        <v>1781</v>
      </c>
      <c r="K308" s="1" t="s">
        <v>723</v>
      </c>
      <c r="L308" s="1" t="s">
        <v>695</v>
      </c>
      <c r="M308" s="24" t="s">
        <v>2267</v>
      </c>
    </row>
    <row r="309">
      <c r="A309" s="86" t="s">
        <v>432</v>
      </c>
      <c r="B309" s="58" t="s">
        <v>1542</v>
      </c>
      <c r="C309" s="58" t="s">
        <v>712</v>
      </c>
      <c r="D309" s="81" t="s">
        <v>2550</v>
      </c>
      <c r="E309" s="24" t="str">
        <f>IF(ISNA(MATCH(A309, 'A-Z player stats'!A:A, 0)), "Delete", "Keep")</f>
        <v>Keep</v>
      </c>
      <c r="I309" s="7" t="s">
        <v>432</v>
      </c>
      <c r="J309" s="1" t="s">
        <v>1542</v>
      </c>
      <c r="K309" s="1" t="s">
        <v>712</v>
      </c>
      <c r="L309" s="1" t="s">
        <v>668</v>
      </c>
      <c r="M309" s="24" t="s">
        <v>2267</v>
      </c>
    </row>
    <row r="310">
      <c r="A310" s="86" t="s">
        <v>434</v>
      </c>
      <c r="B310" s="58" t="s">
        <v>1120</v>
      </c>
      <c r="C310" s="58" t="s">
        <v>690</v>
      </c>
      <c r="D310" s="79" t="s">
        <v>700</v>
      </c>
      <c r="E310" s="24" t="str">
        <f>IF(ISNA(MATCH(A310, 'A-Z player stats'!A:A, 0)), "Delete", "Keep")</f>
        <v>Keep</v>
      </c>
      <c r="F310" s="50"/>
      <c r="I310" s="7" t="s">
        <v>434</v>
      </c>
      <c r="J310" s="99" t="s">
        <v>1120</v>
      </c>
      <c r="K310" s="99" t="s">
        <v>690</v>
      </c>
      <c r="L310" s="24" t="s">
        <v>700</v>
      </c>
      <c r="M310" s="24" t="s">
        <v>2267</v>
      </c>
    </row>
    <row r="311">
      <c r="A311" s="86" t="s">
        <v>436</v>
      </c>
      <c r="B311" s="58" t="s">
        <v>1887</v>
      </c>
      <c r="C311" s="58" t="s">
        <v>688</v>
      </c>
      <c r="D311" s="79" t="s">
        <v>708</v>
      </c>
      <c r="E311" s="24" t="str">
        <f>IF(ISNA(MATCH(A311, 'A-Z player stats'!A:A, 0)), "Delete", "Keep")</f>
        <v>Keep</v>
      </c>
      <c r="I311" s="7" t="s">
        <v>436</v>
      </c>
      <c r="J311" s="1" t="s">
        <v>1887</v>
      </c>
      <c r="K311" s="1" t="s">
        <v>688</v>
      </c>
      <c r="L311" s="24" t="s">
        <v>708</v>
      </c>
      <c r="M311" s="24" t="s">
        <v>2267</v>
      </c>
    </row>
    <row r="312">
      <c r="A312" s="86" t="s">
        <v>2551</v>
      </c>
      <c r="B312" s="58" t="s">
        <v>1131</v>
      </c>
      <c r="C312" s="58" t="s">
        <v>718</v>
      </c>
      <c r="D312" s="83" t="s">
        <v>702</v>
      </c>
      <c r="E312" s="24" t="str">
        <f>IF(ISNA(MATCH(A312, 'A-Z player stats'!A:A, 0)), "Delete", "Keep")</f>
        <v>Delete</v>
      </c>
      <c r="F312" s="7"/>
      <c r="G312" s="7"/>
      <c r="H312" s="7"/>
      <c r="I312" s="7" t="s">
        <v>2551</v>
      </c>
      <c r="J312" s="1" t="s">
        <v>1131</v>
      </c>
      <c r="K312" s="1" t="s">
        <v>718</v>
      </c>
      <c r="L312" s="24" t="s">
        <v>702</v>
      </c>
      <c r="M312" s="24" t="s">
        <v>2270</v>
      </c>
      <c r="O312" s="84"/>
    </row>
    <row r="313">
      <c r="A313" s="86" t="s">
        <v>439</v>
      </c>
      <c r="B313" s="58" t="s">
        <v>1131</v>
      </c>
      <c r="C313" s="58" t="s">
        <v>718</v>
      </c>
      <c r="D313" s="79" t="s">
        <v>677</v>
      </c>
      <c r="E313" s="24" t="str">
        <f>IF(ISNA(MATCH(A313, 'A-Z player stats'!A:A, 0)), "Delete", "Keep")</f>
        <v>Keep</v>
      </c>
      <c r="F313" s="7"/>
      <c r="G313" s="7"/>
      <c r="H313" s="7"/>
      <c r="I313" s="7" t="s">
        <v>439</v>
      </c>
      <c r="J313" s="1" t="s">
        <v>1131</v>
      </c>
      <c r="K313" s="1" t="s">
        <v>718</v>
      </c>
      <c r="L313" s="24" t="s">
        <v>677</v>
      </c>
      <c r="M313" s="24" t="s">
        <v>2267</v>
      </c>
      <c r="O313" s="84"/>
    </row>
    <row r="314">
      <c r="A314" s="86" t="s">
        <v>441</v>
      </c>
      <c r="B314" s="58" t="s">
        <v>1605</v>
      </c>
      <c r="C314" s="58" t="s">
        <v>673</v>
      </c>
      <c r="D314" s="78" t="s">
        <v>2552</v>
      </c>
      <c r="E314" s="24" t="str">
        <f>IF(ISNA(MATCH(A314, 'A-Z player stats'!A:A, 0)), "Delete", "Keep")</f>
        <v>Keep</v>
      </c>
      <c r="F314" s="7"/>
      <c r="G314" s="7"/>
      <c r="H314" s="7"/>
      <c r="I314" s="7" t="s">
        <v>441</v>
      </c>
      <c r="J314" s="1" t="s">
        <v>1605</v>
      </c>
      <c r="K314" s="1" t="s">
        <v>673</v>
      </c>
      <c r="L314" s="1" t="s">
        <v>695</v>
      </c>
      <c r="M314" s="24" t="s">
        <v>2267</v>
      </c>
      <c r="N314" s="7"/>
      <c r="O314" s="82"/>
    </row>
    <row r="315">
      <c r="A315" s="86" t="s">
        <v>2553</v>
      </c>
      <c r="B315" s="58" t="s">
        <v>2228</v>
      </c>
      <c r="C315" s="58" t="s">
        <v>810</v>
      </c>
      <c r="D315" s="91" t="s">
        <v>691</v>
      </c>
      <c r="E315" s="24" t="str">
        <f>IF(ISNA(MATCH(A315, 'A-Z player stats'!A:A, 0)), "Delete", "Keep")</f>
        <v>Delete</v>
      </c>
      <c r="F315" s="50"/>
      <c r="I315" s="7" t="s">
        <v>2553</v>
      </c>
      <c r="J315" s="99" t="s">
        <v>2228</v>
      </c>
      <c r="K315" s="99" t="s">
        <v>810</v>
      </c>
      <c r="L315" s="24" t="s">
        <v>691</v>
      </c>
      <c r="M315" s="24" t="s">
        <v>2270</v>
      </c>
    </row>
    <row r="316">
      <c r="A316" s="86" t="s">
        <v>443</v>
      </c>
      <c r="B316" s="58" t="s">
        <v>1244</v>
      </c>
      <c r="C316" s="58" t="s">
        <v>683</v>
      </c>
      <c r="D316" s="78" t="s">
        <v>2554</v>
      </c>
      <c r="E316" s="24" t="str">
        <f>IF(ISNA(MATCH(A316, 'A-Z player stats'!A:A, 0)), "Delete", "Keep")</f>
        <v>Keep</v>
      </c>
      <c r="F316" s="7"/>
      <c r="G316" s="7"/>
      <c r="H316" s="7"/>
      <c r="I316" s="7" t="s">
        <v>443</v>
      </c>
      <c r="J316" s="1" t="s">
        <v>1244</v>
      </c>
      <c r="K316" s="1" t="s">
        <v>683</v>
      </c>
      <c r="L316" s="1" t="s">
        <v>686</v>
      </c>
      <c r="M316" s="24" t="s">
        <v>2267</v>
      </c>
      <c r="N316" s="7"/>
      <c r="O316" s="82"/>
    </row>
    <row r="317">
      <c r="A317" s="86" t="s">
        <v>445</v>
      </c>
      <c r="B317" s="58" t="s">
        <v>1647</v>
      </c>
      <c r="C317" s="58" t="s">
        <v>685</v>
      </c>
      <c r="D317" s="91" t="s">
        <v>697</v>
      </c>
      <c r="E317" s="24" t="str">
        <f>IF(ISNA(MATCH(A317, 'A-Z player stats'!A:A, 0)), "Delete", "Keep")</f>
        <v>Keep</v>
      </c>
      <c r="I317" s="7" t="s">
        <v>445</v>
      </c>
      <c r="J317" s="1" t="s">
        <v>1647</v>
      </c>
      <c r="K317" s="1" t="s">
        <v>685</v>
      </c>
      <c r="L317" s="24" t="s">
        <v>697</v>
      </c>
      <c r="M317" s="24" t="s">
        <v>2267</v>
      </c>
    </row>
    <row r="318">
      <c r="A318" s="86" t="s">
        <v>2555</v>
      </c>
      <c r="B318" s="58" t="s">
        <v>2174</v>
      </c>
      <c r="C318" s="58" t="s">
        <v>810</v>
      </c>
      <c r="D318" s="79" t="s">
        <v>691</v>
      </c>
      <c r="E318" s="24" t="str">
        <f>IF(ISNA(MATCH(A318, 'A-Z player stats'!A:A, 0)), "Delete", "Keep")</f>
        <v>Delete</v>
      </c>
      <c r="F318" s="50"/>
      <c r="I318" s="7" t="s">
        <v>2555</v>
      </c>
      <c r="J318" s="99" t="s">
        <v>2174</v>
      </c>
      <c r="K318" s="99" t="s">
        <v>810</v>
      </c>
      <c r="L318" s="24" t="s">
        <v>691</v>
      </c>
      <c r="M318" s="24" t="s">
        <v>2270</v>
      </c>
    </row>
    <row r="319">
      <c r="A319" s="86" t="s">
        <v>451</v>
      </c>
      <c r="B319" s="58" t="s">
        <v>1277</v>
      </c>
      <c r="C319" s="58" t="s">
        <v>810</v>
      </c>
      <c r="D319" s="91" t="s">
        <v>702</v>
      </c>
      <c r="E319" s="24" t="str">
        <f>IF(ISNA(MATCH(A319, 'A-Z player stats'!A:A, 0)), "Delete", "Keep")</f>
        <v>Keep</v>
      </c>
      <c r="I319" s="7" t="s">
        <v>451</v>
      </c>
      <c r="J319" s="1" t="s">
        <v>1277</v>
      </c>
      <c r="K319" s="1" t="s">
        <v>810</v>
      </c>
      <c r="L319" s="24" t="s">
        <v>702</v>
      </c>
      <c r="M319" s="24" t="s">
        <v>2267</v>
      </c>
    </row>
    <row r="320">
      <c r="A320" s="86" t="s">
        <v>453</v>
      </c>
      <c r="B320" s="58" t="s">
        <v>2020</v>
      </c>
      <c r="C320" s="58" t="s">
        <v>685</v>
      </c>
      <c r="D320" s="79" t="s">
        <v>706</v>
      </c>
      <c r="E320" s="24" t="str">
        <f>IF(ISNA(MATCH(A320, 'A-Z player stats'!A:A, 0)), "Delete", "Keep")</f>
        <v>Keep</v>
      </c>
      <c r="I320" s="7" t="s">
        <v>453</v>
      </c>
      <c r="J320" s="1" t="s">
        <v>2020</v>
      </c>
      <c r="K320" s="1" t="s">
        <v>685</v>
      </c>
      <c r="L320" s="24" t="s">
        <v>706</v>
      </c>
      <c r="M320" s="24" t="s">
        <v>2267</v>
      </c>
    </row>
    <row r="321">
      <c r="A321" s="86" t="s">
        <v>2556</v>
      </c>
      <c r="B321" s="58" t="s">
        <v>1139</v>
      </c>
      <c r="C321" s="58" t="s">
        <v>810</v>
      </c>
      <c r="D321" s="91" t="s">
        <v>697</v>
      </c>
      <c r="E321" s="24" t="str">
        <f>IF(ISNA(MATCH(A321, 'A-Z player stats'!A:A, 0)), "Delete", "Keep")</f>
        <v>Delete</v>
      </c>
      <c r="I321" s="7" t="s">
        <v>2556</v>
      </c>
      <c r="J321" s="1" t="s">
        <v>1139</v>
      </c>
      <c r="K321" s="1" t="s">
        <v>810</v>
      </c>
      <c r="L321" s="24" t="s">
        <v>697</v>
      </c>
      <c r="M321" s="24" t="s">
        <v>2270</v>
      </c>
    </row>
    <row r="322">
      <c r="A322" s="86" t="s">
        <v>455</v>
      </c>
      <c r="B322" s="58" t="s">
        <v>2149</v>
      </c>
      <c r="C322" s="58" t="s">
        <v>693</v>
      </c>
      <c r="D322" s="78" t="s">
        <v>2557</v>
      </c>
      <c r="E322" s="24" t="str">
        <f>IF(ISNA(MATCH(A322, 'A-Z player stats'!A:A, 0)), "Delete", "Keep")</f>
        <v>Keep</v>
      </c>
      <c r="F322" s="50"/>
      <c r="I322" s="7" t="s">
        <v>455</v>
      </c>
      <c r="J322" s="99" t="s">
        <v>2149</v>
      </c>
      <c r="K322" s="99" t="s">
        <v>693</v>
      </c>
      <c r="L322" s="1" t="s">
        <v>716</v>
      </c>
      <c r="M322" s="24" t="s">
        <v>2267</v>
      </c>
    </row>
    <row r="323">
      <c r="A323" s="86" t="s">
        <v>2558</v>
      </c>
      <c r="B323" s="58" t="s">
        <v>1380</v>
      </c>
      <c r="C323" s="58" t="s">
        <v>698</v>
      </c>
      <c r="D323" s="81" t="s">
        <v>2559</v>
      </c>
      <c r="E323" s="24" t="str">
        <f>IF(ISNA(MATCH(A323, 'A-Z player stats'!A:A, 0)), "Delete", "Keep")</f>
        <v>Delete</v>
      </c>
      <c r="I323" s="7" t="s">
        <v>2558</v>
      </c>
      <c r="J323" s="1" t="s">
        <v>1380</v>
      </c>
      <c r="K323" s="1" t="s">
        <v>698</v>
      </c>
      <c r="L323" s="1" t="s">
        <v>687</v>
      </c>
      <c r="M323" s="24" t="s">
        <v>2270</v>
      </c>
    </row>
    <row r="324">
      <c r="A324" s="86" t="s">
        <v>2560</v>
      </c>
      <c r="B324" s="58" t="s">
        <v>2103</v>
      </c>
      <c r="C324" s="58" t="s">
        <v>688</v>
      </c>
      <c r="D324" s="89" t="s">
        <v>2561</v>
      </c>
      <c r="E324" s="24" t="str">
        <f>IF(ISNA(MATCH(A324, 'A-Z player stats'!A:A, 0)), "Delete", "Keep")</f>
        <v>Delete</v>
      </c>
      <c r="F324" s="50"/>
      <c r="I324" s="7" t="s">
        <v>2560</v>
      </c>
      <c r="J324" s="99" t="s">
        <v>2103</v>
      </c>
      <c r="K324" s="99" t="s">
        <v>688</v>
      </c>
      <c r="L324" s="1" t="s">
        <v>726</v>
      </c>
      <c r="M324" s="24" t="s">
        <v>2270</v>
      </c>
    </row>
    <row r="325">
      <c r="A325" s="86" t="s">
        <v>457</v>
      </c>
      <c r="B325" s="58" t="s">
        <v>2131</v>
      </c>
      <c r="C325" s="58" t="s">
        <v>712</v>
      </c>
      <c r="D325" s="91" t="s">
        <v>691</v>
      </c>
      <c r="E325" s="24" t="str">
        <f>IF(ISNA(MATCH(A325, 'A-Z player stats'!A:A, 0)), "Delete", "Keep")</f>
        <v>Keep</v>
      </c>
      <c r="F325" s="50"/>
      <c r="I325" s="7" t="s">
        <v>457</v>
      </c>
      <c r="J325" s="99" t="s">
        <v>2131</v>
      </c>
      <c r="K325" s="99" t="s">
        <v>712</v>
      </c>
      <c r="L325" s="24" t="s">
        <v>691</v>
      </c>
      <c r="M325" s="24" t="s">
        <v>2267</v>
      </c>
    </row>
    <row r="326">
      <c r="A326" s="86" t="s">
        <v>2562</v>
      </c>
      <c r="B326" s="58" t="s">
        <v>1472</v>
      </c>
      <c r="C326" s="58" t="s">
        <v>810</v>
      </c>
      <c r="D326" s="91" t="s">
        <v>697</v>
      </c>
      <c r="E326" s="24" t="str">
        <f>IF(ISNA(MATCH(A326, 'A-Z player stats'!A:A, 0)), "Delete", "Keep")</f>
        <v>Delete</v>
      </c>
      <c r="I326" s="7" t="s">
        <v>2562</v>
      </c>
      <c r="J326" s="1" t="s">
        <v>1472</v>
      </c>
      <c r="K326" s="1" t="s">
        <v>810</v>
      </c>
      <c r="L326" s="24" t="s">
        <v>697</v>
      </c>
      <c r="M326" s="24" t="s">
        <v>2270</v>
      </c>
    </row>
    <row r="327">
      <c r="A327" s="86" t="s">
        <v>459</v>
      </c>
      <c r="B327" s="58" t="s">
        <v>1141</v>
      </c>
      <c r="C327" s="58" t="s">
        <v>690</v>
      </c>
      <c r="D327" s="81" t="s">
        <v>2563</v>
      </c>
      <c r="E327" s="24" t="str">
        <f>IF(ISNA(MATCH(A327, 'A-Z player stats'!A:A, 0)), "Delete", "Keep")</f>
        <v>Keep</v>
      </c>
      <c r="I327" s="7" t="s">
        <v>459</v>
      </c>
      <c r="J327" s="1" t="s">
        <v>1141</v>
      </c>
      <c r="K327" s="1" t="s">
        <v>690</v>
      </c>
      <c r="L327" s="1" t="s">
        <v>689</v>
      </c>
      <c r="M327" s="24" t="s">
        <v>2267</v>
      </c>
    </row>
    <row r="328">
      <c r="A328" s="86" t="s">
        <v>461</v>
      </c>
      <c r="B328" s="58" t="s">
        <v>1970</v>
      </c>
      <c r="C328" s="58" t="s">
        <v>688</v>
      </c>
      <c r="D328" s="92" t="s">
        <v>2564</v>
      </c>
      <c r="E328" s="24" t="str">
        <f>IF(ISNA(MATCH(A328, 'A-Z player stats'!A:A, 0)), "Delete", "Keep")</f>
        <v>Keep</v>
      </c>
      <c r="I328" s="7" t="s">
        <v>461</v>
      </c>
      <c r="J328" s="1" t="s">
        <v>1970</v>
      </c>
      <c r="K328" s="1" t="s">
        <v>688</v>
      </c>
      <c r="L328" s="1" t="s">
        <v>671</v>
      </c>
      <c r="M328" s="24" t="s">
        <v>2267</v>
      </c>
    </row>
    <row r="329">
      <c r="A329" s="86" t="s">
        <v>2565</v>
      </c>
      <c r="B329" s="58" t="s">
        <v>2231</v>
      </c>
      <c r="C329" s="58" t="s">
        <v>698</v>
      </c>
      <c r="D329" s="89" t="s">
        <v>2566</v>
      </c>
      <c r="E329" s="24" t="str">
        <f>IF(ISNA(MATCH(A329, 'A-Z player stats'!A:A, 0)), "Delete", "Keep")</f>
        <v>Delete</v>
      </c>
      <c r="F329" s="50"/>
      <c r="I329" s="7" t="s">
        <v>2565</v>
      </c>
      <c r="J329" s="99" t="s">
        <v>2231</v>
      </c>
      <c r="K329" s="99" t="s">
        <v>698</v>
      </c>
      <c r="L329" s="1" t="s">
        <v>668</v>
      </c>
      <c r="M329" s="24" t="s">
        <v>2270</v>
      </c>
    </row>
    <row r="330">
      <c r="A330" s="86" t="s">
        <v>465</v>
      </c>
      <c r="B330" s="58" t="s">
        <v>2096</v>
      </c>
      <c r="C330" s="58" t="s">
        <v>810</v>
      </c>
      <c r="D330" s="79" t="s">
        <v>708</v>
      </c>
      <c r="E330" s="24" t="str">
        <f>IF(ISNA(MATCH(A330, 'A-Z player stats'!A:A, 0)), "Delete", "Keep")</f>
        <v>Keep</v>
      </c>
      <c r="I330" s="7" t="s">
        <v>465</v>
      </c>
      <c r="J330" s="1" t="s">
        <v>2096</v>
      </c>
      <c r="K330" s="1" t="s">
        <v>810</v>
      </c>
      <c r="L330" s="24" t="s">
        <v>708</v>
      </c>
      <c r="M330" s="24" t="s">
        <v>2267</v>
      </c>
    </row>
    <row r="331">
      <c r="A331" s="86" t="s">
        <v>467</v>
      </c>
      <c r="B331" s="58" t="s">
        <v>1967</v>
      </c>
      <c r="C331" s="58" t="s">
        <v>693</v>
      </c>
      <c r="D331" s="89" t="s">
        <v>2567</v>
      </c>
      <c r="E331" s="24" t="str">
        <f>IF(ISNA(MATCH(A331, 'A-Z player stats'!A:A, 0)), "Delete", "Keep")</f>
        <v>Keep</v>
      </c>
      <c r="F331" s="7"/>
      <c r="G331" s="7"/>
      <c r="H331" s="7"/>
      <c r="I331" s="7" t="s">
        <v>467</v>
      </c>
      <c r="J331" s="1" t="s">
        <v>1967</v>
      </c>
      <c r="K331" s="1" t="s">
        <v>693</v>
      </c>
      <c r="L331" s="1" t="s">
        <v>721</v>
      </c>
      <c r="M331" s="24" t="s">
        <v>2267</v>
      </c>
      <c r="N331" s="7"/>
      <c r="O331" s="82"/>
    </row>
    <row r="332">
      <c r="A332" s="86" t="s">
        <v>469</v>
      </c>
      <c r="B332" s="58" t="s">
        <v>1410</v>
      </c>
      <c r="C332" s="58" t="s">
        <v>810</v>
      </c>
      <c r="D332" s="83" t="s">
        <v>702</v>
      </c>
      <c r="E332" s="24" t="str">
        <f>IF(ISNA(MATCH(A332, 'A-Z player stats'!A:A, 0)), "Delete", "Keep")</f>
        <v>Keep</v>
      </c>
      <c r="F332" s="7"/>
      <c r="G332" s="7"/>
      <c r="H332" s="7"/>
      <c r="I332" s="7" t="s">
        <v>469</v>
      </c>
      <c r="J332" s="1" t="s">
        <v>1410</v>
      </c>
      <c r="K332" s="1" t="s">
        <v>810</v>
      </c>
      <c r="L332" s="24" t="s">
        <v>702</v>
      </c>
      <c r="M332" s="24" t="s">
        <v>2267</v>
      </c>
    </row>
    <row r="333">
      <c r="A333" s="86" t="s">
        <v>471</v>
      </c>
      <c r="B333" s="58" t="s">
        <v>1397</v>
      </c>
      <c r="C333" s="58" t="s">
        <v>715</v>
      </c>
      <c r="D333" s="89" t="s">
        <v>2568</v>
      </c>
      <c r="E333" s="24" t="str">
        <f>IF(ISNA(MATCH(A333, 'A-Z player stats'!A:A, 0)), "Delete", "Keep")</f>
        <v>Keep</v>
      </c>
      <c r="F333" s="7"/>
      <c r="G333" s="7"/>
      <c r="H333" s="7"/>
      <c r="I333" s="7" t="s">
        <v>471</v>
      </c>
      <c r="J333" s="1" t="s">
        <v>1397</v>
      </c>
      <c r="K333" s="1" t="s">
        <v>715</v>
      </c>
      <c r="L333" s="1" t="s">
        <v>728</v>
      </c>
      <c r="M333" s="24" t="s">
        <v>2267</v>
      </c>
    </row>
    <row r="334">
      <c r="A334" s="86" t="s">
        <v>473</v>
      </c>
      <c r="B334" s="58" t="s">
        <v>2264</v>
      </c>
      <c r="C334" s="58" t="s">
        <v>810</v>
      </c>
      <c r="D334" s="91" t="s">
        <v>691</v>
      </c>
      <c r="E334" s="24" t="str">
        <f>IF(ISNA(MATCH(A334, 'A-Z player stats'!A:A, 0)), "Delete", "Keep")</f>
        <v>Keep</v>
      </c>
      <c r="F334" s="50"/>
      <c r="I334" s="7" t="s">
        <v>473</v>
      </c>
      <c r="J334" s="99" t="s">
        <v>2264</v>
      </c>
      <c r="K334" s="99" t="s">
        <v>810</v>
      </c>
      <c r="L334" s="24" t="s">
        <v>691</v>
      </c>
      <c r="M334" s="24" t="s">
        <v>2267</v>
      </c>
    </row>
    <row r="335">
      <c r="A335" s="86" t="s">
        <v>2569</v>
      </c>
      <c r="B335" s="58" t="s">
        <v>2135</v>
      </c>
      <c r="C335" s="58" t="s">
        <v>810</v>
      </c>
      <c r="D335" s="79" t="s">
        <v>691</v>
      </c>
      <c r="E335" s="24" t="str">
        <f>IF(ISNA(MATCH(A335, 'A-Z player stats'!A:A, 0)), "Delete", "Keep")</f>
        <v>Delete</v>
      </c>
      <c r="F335" s="50"/>
      <c r="I335" s="7" t="s">
        <v>2569</v>
      </c>
      <c r="J335" s="99" t="s">
        <v>2135</v>
      </c>
      <c r="K335" s="99" t="s">
        <v>810</v>
      </c>
      <c r="L335" s="24" t="s">
        <v>691</v>
      </c>
      <c r="M335" s="24" t="s">
        <v>2270</v>
      </c>
    </row>
    <row r="336">
      <c r="A336" s="86" t="s">
        <v>2570</v>
      </c>
      <c r="B336" s="58" t="s">
        <v>2120</v>
      </c>
      <c r="C336" s="58" t="s">
        <v>810</v>
      </c>
      <c r="D336" s="79" t="s">
        <v>701</v>
      </c>
      <c r="E336" s="24" t="str">
        <f>IF(ISNA(MATCH(A336, 'A-Z player stats'!A:A, 0)), "Delete", "Keep")</f>
        <v>Delete</v>
      </c>
      <c r="F336" s="50"/>
      <c r="I336" s="7" t="s">
        <v>2570</v>
      </c>
      <c r="J336" s="99" t="s">
        <v>2120</v>
      </c>
      <c r="K336" s="99" t="s">
        <v>810</v>
      </c>
      <c r="L336" s="24" t="s">
        <v>701</v>
      </c>
      <c r="M336" s="24" t="s">
        <v>2270</v>
      </c>
    </row>
    <row r="337">
      <c r="A337" s="86" t="s">
        <v>2571</v>
      </c>
      <c r="B337" s="58" t="s">
        <v>1113</v>
      </c>
      <c r="C337" s="58" t="s">
        <v>727</v>
      </c>
      <c r="D337" s="79" t="s">
        <v>700</v>
      </c>
      <c r="E337" s="24" t="str">
        <f>IF(ISNA(MATCH(A337, 'A-Z player stats'!A:A, 0)), "Delete", "Keep")</f>
        <v>Delete</v>
      </c>
      <c r="F337" s="50"/>
      <c r="I337" s="7" t="s">
        <v>2571</v>
      </c>
      <c r="J337" s="99" t="s">
        <v>1113</v>
      </c>
      <c r="K337" s="99" t="s">
        <v>727</v>
      </c>
      <c r="L337" s="24" t="s">
        <v>700</v>
      </c>
      <c r="M337" s="24" t="s">
        <v>2270</v>
      </c>
    </row>
    <row r="338">
      <c r="A338" s="86" t="s">
        <v>475</v>
      </c>
      <c r="B338" s="58" t="s">
        <v>1659</v>
      </c>
      <c r="C338" s="58" t="s">
        <v>688</v>
      </c>
      <c r="D338" s="79" t="s">
        <v>677</v>
      </c>
      <c r="E338" s="24" t="str">
        <f>IF(ISNA(MATCH(A338, 'A-Z player stats'!A:A, 0)), "Delete", "Keep")</f>
        <v>Keep</v>
      </c>
      <c r="F338" s="7"/>
      <c r="G338" s="7"/>
      <c r="H338" s="7"/>
      <c r="I338" s="7" t="s">
        <v>475</v>
      </c>
      <c r="J338" s="1" t="s">
        <v>1659</v>
      </c>
      <c r="K338" s="1" t="s">
        <v>688</v>
      </c>
      <c r="L338" s="24" t="s">
        <v>677</v>
      </c>
      <c r="M338" s="24" t="s">
        <v>2267</v>
      </c>
      <c r="O338" s="84"/>
    </row>
    <row r="339">
      <c r="A339" s="86" t="s">
        <v>2572</v>
      </c>
      <c r="B339" s="58" t="s">
        <v>1620</v>
      </c>
      <c r="C339" s="58" t="s">
        <v>688</v>
      </c>
      <c r="D339" s="79" t="s">
        <v>677</v>
      </c>
      <c r="E339" s="24" t="str">
        <f>IF(ISNA(MATCH(A339, 'A-Z player stats'!A:A, 0)), "Delete", "Keep")</f>
        <v>Delete</v>
      </c>
      <c r="F339" s="7"/>
      <c r="G339" s="7"/>
      <c r="H339" s="7"/>
      <c r="I339" s="7" t="s">
        <v>2572</v>
      </c>
      <c r="J339" s="1" t="s">
        <v>1620</v>
      </c>
      <c r="K339" s="1" t="s">
        <v>688</v>
      </c>
      <c r="L339" s="24" t="s">
        <v>677</v>
      </c>
      <c r="M339" s="24" t="s">
        <v>2270</v>
      </c>
      <c r="O339" s="84"/>
    </row>
    <row r="340">
      <c r="A340" s="86" t="s">
        <v>477</v>
      </c>
      <c r="B340" s="58" t="s">
        <v>1616</v>
      </c>
      <c r="C340" s="58" t="s">
        <v>810</v>
      </c>
      <c r="D340" s="91" t="s">
        <v>691</v>
      </c>
      <c r="E340" s="24" t="str">
        <f>IF(ISNA(MATCH(A340, 'A-Z player stats'!A:A, 0)), "Delete", "Keep")</f>
        <v>Keep</v>
      </c>
      <c r="F340" s="50"/>
      <c r="I340" s="7" t="s">
        <v>477</v>
      </c>
      <c r="J340" s="99" t="s">
        <v>1616</v>
      </c>
      <c r="K340" s="99" t="s">
        <v>810</v>
      </c>
      <c r="L340" s="24" t="s">
        <v>691</v>
      </c>
      <c r="M340" s="24" t="s">
        <v>2267</v>
      </c>
    </row>
    <row r="341">
      <c r="A341" s="86" t="s">
        <v>479</v>
      </c>
      <c r="B341" s="58" t="s">
        <v>2060</v>
      </c>
      <c r="C341" s="58" t="s">
        <v>685</v>
      </c>
      <c r="D341" s="81" t="s">
        <v>2573</v>
      </c>
      <c r="E341" s="24" t="str">
        <f>IF(ISNA(MATCH(A341, 'A-Z player stats'!A:A, 0)), "Delete", "Keep")</f>
        <v>Keep</v>
      </c>
      <c r="I341" s="7" t="s">
        <v>479</v>
      </c>
      <c r="J341" s="1" t="s">
        <v>2060</v>
      </c>
      <c r="K341" s="1" t="s">
        <v>685</v>
      </c>
      <c r="L341" s="1" t="s">
        <v>707</v>
      </c>
      <c r="M341" s="24" t="s">
        <v>2267</v>
      </c>
    </row>
    <row r="342">
      <c r="A342" s="86" t="s">
        <v>481</v>
      </c>
      <c r="B342" s="58" t="s">
        <v>1509</v>
      </c>
      <c r="C342" s="58" t="s">
        <v>810</v>
      </c>
      <c r="D342" s="91" t="s">
        <v>703</v>
      </c>
      <c r="E342" s="24" t="str">
        <f>IF(ISNA(MATCH(A342, 'A-Z player stats'!A:A, 0)), "Delete", "Keep")</f>
        <v>Keep</v>
      </c>
      <c r="I342" s="7" t="s">
        <v>481</v>
      </c>
      <c r="J342" s="1" t="s">
        <v>1509</v>
      </c>
      <c r="K342" s="1" t="s">
        <v>810</v>
      </c>
      <c r="L342" s="24" t="s">
        <v>703</v>
      </c>
      <c r="M342" s="24" t="s">
        <v>2267</v>
      </c>
    </row>
    <row r="343">
      <c r="A343" s="86" t="s">
        <v>483</v>
      </c>
      <c r="B343" s="58" t="s">
        <v>1677</v>
      </c>
      <c r="C343" s="58" t="s">
        <v>729</v>
      </c>
      <c r="D343" s="91" t="s">
        <v>701</v>
      </c>
      <c r="E343" s="24" t="str">
        <f>IF(ISNA(MATCH(A343, 'A-Z player stats'!A:A, 0)), "Delete", "Keep")</f>
        <v>Keep</v>
      </c>
      <c r="F343" s="80"/>
      <c r="G343" s="100"/>
      <c r="H343" s="100"/>
      <c r="I343" s="7" t="s">
        <v>483</v>
      </c>
      <c r="J343" s="99" t="s">
        <v>1677</v>
      </c>
      <c r="K343" s="99" t="s">
        <v>729</v>
      </c>
      <c r="L343" s="24" t="s">
        <v>701</v>
      </c>
      <c r="M343" s="24" t="s">
        <v>2267</v>
      </c>
    </row>
    <row r="344">
      <c r="A344" s="86" t="s">
        <v>2574</v>
      </c>
      <c r="B344" s="58" t="s">
        <v>1998</v>
      </c>
      <c r="C344" s="58" t="s">
        <v>693</v>
      </c>
      <c r="D344" s="92" t="s">
        <v>2575</v>
      </c>
      <c r="E344" s="24" t="str">
        <f>IF(ISNA(MATCH(A344, 'A-Z player stats'!A:A, 0)), "Delete", "Keep")</f>
        <v>Delete</v>
      </c>
      <c r="I344" s="7" t="s">
        <v>2574</v>
      </c>
      <c r="J344" s="1" t="s">
        <v>1998</v>
      </c>
      <c r="K344" s="1" t="s">
        <v>693</v>
      </c>
      <c r="L344" s="1" t="s">
        <v>721</v>
      </c>
      <c r="M344" s="24" t="s">
        <v>2270</v>
      </c>
    </row>
    <row r="345">
      <c r="A345" s="86" t="s">
        <v>2576</v>
      </c>
      <c r="B345" s="58" t="s">
        <v>1551</v>
      </c>
      <c r="C345" s="58" t="s">
        <v>709</v>
      </c>
      <c r="D345" s="92" t="s">
        <v>2577</v>
      </c>
      <c r="E345" s="24" t="str">
        <f>IF(ISNA(MATCH(A345, 'A-Z player stats'!A:A, 0)), "Delete", "Keep")</f>
        <v>Delete</v>
      </c>
      <c r="I345" s="7" t="s">
        <v>2576</v>
      </c>
      <c r="J345" s="1" t="s">
        <v>1551</v>
      </c>
      <c r="K345" s="1" t="s">
        <v>709</v>
      </c>
      <c r="L345" s="1" t="s">
        <v>695</v>
      </c>
      <c r="M345" s="24" t="s">
        <v>2270</v>
      </c>
    </row>
    <row r="346">
      <c r="A346" s="86" t="s">
        <v>485</v>
      </c>
      <c r="B346" s="58" t="s">
        <v>1336</v>
      </c>
      <c r="C346" s="58" t="s">
        <v>685</v>
      </c>
      <c r="D346" s="92" t="s">
        <v>2578</v>
      </c>
      <c r="E346" s="24" t="str">
        <f>IF(ISNA(MATCH(A346, 'A-Z player stats'!A:A, 0)), "Delete", "Keep")</f>
        <v>Keep</v>
      </c>
      <c r="I346" s="7" t="s">
        <v>485</v>
      </c>
      <c r="J346" s="1" t="s">
        <v>1336</v>
      </c>
      <c r="K346" s="1" t="s">
        <v>685</v>
      </c>
      <c r="L346" s="1" t="s">
        <v>716</v>
      </c>
      <c r="M346" s="24" t="s">
        <v>2267</v>
      </c>
    </row>
    <row r="347">
      <c r="A347" s="86" t="s">
        <v>2579</v>
      </c>
      <c r="B347" s="58" t="s">
        <v>1259</v>
      </c>
      <c r="C347" s="58" t="s">
        <v>715</v>
      </c>
      <c r="D347" s="89" t="s">
        <v>2580</v>
      </c>
      <c r="E347" s="24" t="str">
        <f>IF(ISNA(MATCH(A347, 'A-Z player stats'!A:A, 0)), "Delete", "Keep")</f>
        <v>Delete</v>
      </c>
      <c r="F347" s="7"/>
      <c r="G347" s="7"/>
      <c r="H347" s="7"/>
      <c r="I347" s="7" t="s">
        <v>2579</v>
      </c>
      <c r="J347" s="1" t="s">
        <v>1259</v>
      </c>
      <c r="K347" s="1" t="s">
        <v>715</v>
      </c>
      <c r="L347" s="1" t="s">
        <v>694</v>
      </c>
      <c r="M347" s="24" t="s">
        <v>2270</v>
      </c>
      <c r="N347" s="7"/>
      <c r="O347" s="82"/>
    </row>
    <row r="348">
      <c r="A348" s="86" t="s">
        <v>2581</v>
      </c>
      <c r="B348" s="58" t="s">
        <v>2088</v>
      </c>
      <c r="C348" s="58" t="s">
        <v>810</v>
      </c>
      <c r="D348" s="79" t="s">
        <v>691</v>
      </c>
      <c r="E348" s="24" t="str">
        <f>IF(ISNA(MATCH(A348, 'A-Z player stats'!A:A, 0)), "Delete", "Keep")</f>
        <v>Delete</v>
      </c>
      <c r="F348" s="50"/>
      <c r="I348" s="7" t="s">
        <v>2581</v>
      </c>
      <c r="J348" s="99" t="s">
        <v>2088</v>
      </c>
      <c r="K348" s="99" t="s">
        <v>810</v>
      </c>
      <c r="L348" s="24" t="s">
        <v>691</v>
      </c>
      <c r="M348" s="24" t="s">
        <v>2270</v>
      </c>
    </row>
    <row r="349">
      <c r="A349" s="86" t="s">
        <v>2582</v>
      </c>
      <c r="B349" s="58" t="s">
        <v>1269</v>
      </c>
      <c r="C349" s="58" t="s">
        <v>667</v>
      </c>
      <c r="D349" s="79" t="s">
        <v>700</v>
      </c>
      <c r="E349" s="24" t="str">
        <f>IF(ISNA(MATCH(A349, 'A-Z player stats'!A:A, 0)), "Delete", "Keep")</f>
        <v>Delete</v>
      </c>
      <c r="I349" s="7" t="s">
        <v>2582</v>
      </c>
      <c r="J349" s="1" t="s">
        <v>1269</v>
      </c>
      <c r="K349" s="1" t="s">
        <v>667</v>
      </c>
      <c r="L349" s="24" t="s">
        <v>700</v>
      </c>
      <c r="M349" s="24" t="s">
        <v>2270</v>
      </c>
    </row>
    <row r="350">
      <c r="A350" s="86" t="s">
        <v>2583</v>
      </c>
      <c r="B350" s="58" t="s">
        <v>1951</v>
      </c>
      <c r="C350" s="58" t="s">
        <v>810</v>
      </c>
      <c r="D350" s="79" t="s">
        <v>701</v>
      </c>
      <c r="E350" s="24" t="str">
        <f>IF(ISNA(MATCH(A350, 'A-Z player stats'!A:A, 0)), "Delete", "Keep")</f>
        <v>Delete</v>
      </c>
      <c r="F350" s="7"/>
      <c r="G350" s="7"/>
      <c r="H350" s="7"/>
      <c r="I350" s="7" t="s">
        <v>2583</v>
      </c>
      <c r="J350" s="1" t="s">
        <v>1951</v>
      </c>
      <c r="K350" s="1" t="s">
        <v>810</v>
      </c>
      <c r="L350" s="24" t="s">
        <v>701</v>
      </c>
      <c r="M350" s="24" t="s">
        <v>2270</v>
      </c>
      <c r="N350" s="7"/>
      <c r="O350" s="82"/>
    </row>
    <row r="351">
      <c r="A351" s="86" t="s">
        <v>2584</v>
      </c>
      <c r="B351" s="58" t="s">
        <v>2074</v>
      </c>
      <c r="C351" s="58" t="s">
        <v>673</v>
      </c>
      <c r="D351" s="91" t="s">
        <v>701</v>
      </c>
      <c r="E351" s="24" t="str">
        <f>IF(ISNA(MATCH(A351, 'A-Z player stats'!A:A, 0)), "Delete", "Keep")</f>
        <v>Delete</v>
      </c>
      <c r="F351" s="80"/>
      <c r="G351" s="100"/>
      <c r="H351" s="100"/>
      <c r="I351" s="7" t="s">
        <v>2584</v>
      </c>
      <c r="J351" s="99" t="s">
        <v>2074</v>
      </c>
      <c r="K351" s="99" t="s">
        <v>673</v>
      </c>
      <c r="L351" s="24" t="s">
        <v>701</v>
      </c>
      <c r="M351" s="24" t="s">
        <v>2270</v>
      </c>
    </row>
    <row r="352">
      <c r="A352" s="86" t="s">
        <v>491</v>
      </c>
      <c r="B352" s="58" t="s">
        <v>1818</v>
      </c>
      <c r="C352" s="58" t="s">
        <v>717</v>
      </c>
      <c r="D352" s="81" t="s">
        <v>2585</v>
      </c>
      <c r="E352" s="24" t="str">
        <f>IF(ISNA(MATCH(A352, 'A-Z player stats'!A:A, 0)), "Delete", "Keep")</f>
        <v>Keep</v>
      </c>
      <c r="I352" s="7" t="s">
        <v>491</v>
      </c>
      <c r="J352" s="1" t="s">
        <v>1818</v>
      </c>
      <c r="K352" s="1" t="s">
        <v>717</v>
      </c>
      <c r="L352" s="1" t="s">
        <v>716</v>
      </c>
      <c r="M352" s="24" t="s">
        <v>2267</v>
      </c>
    </row>
    <row r="353">
      <c r="A353" s="86" t="s">
        <v>493</v>
      </c>
      <c r="B353" s="58" t="s">
        <v>1451</v>
      </c>
      <c r="C353" s="58" t="s">
        <v>719</v>
      </c>
      <c r="D353" s="92" t="s">
        <v>2586</v>
      </c>
      <c r="E353" s="24" t="str">
        <f>IF(ISNA(MATCH(A353, 'A-Z player stats'!A:A, 0)), "Delete", "Keep")</f>
        <v>Keep</v>
      </c>
      <c r="I353" s="7" t="s">
        <v>493</v>
      </c>
      <c r="J353" s="1" t="s">
        <v>1451</v>
      </c>
      <c r="K353" s="1" t="s">
        <v>719</v>
      </c>
      <c r="L353" s="1" t="s">
        <v>707</v>
      </c>
      <c r="M353" s="24" t="s">
        <v>2267</v>
      </c>
    </row>
    <row r="354">
      <c r="A354" s="86" t="s">
        <v>495</v>
      </c>
      <c r="B354" s="58" t="s">
        <v>1973</v>
      </c>
      <c r="C354" s="58" t="s">
        <v>719</v>
      </c>
      <c r="D354" s="78" t="s">
        <v>2587</v>
      </c>
      <c r="E354" s="24" t="str">
        <f>IF(ISNA(MATCH(A354, 'A-Z player stats'!A:A, 0)), "Delete", "Keep")</f>
        <v>Keep</v>
      </c>
      <c r="F354" s="7"/>
      <c r="G354" s="7"/>
      <c r="H354" s="7"/>
      <c r="I354" s="7" t="s">
        <v>495</v>
      </c>
      <c r="J354" s="1" t="s">
        <v>1973</v>
      </c>
      <c r="K354" s="1" t="s">
        <v>719</v>
      </c>
      <c r="L354" s="1" t="s">
        <v>711</v>
      </c>
      <c r="M354" s="24" t="s">
        <v>2267</v>
      </c>
    </row>
    <row r="355">
      <c r="A355" s="86" t="s">
        <v>2588</v>
      </c>
      <c r="B355" s="58" t="s">
        <v>1902</v>
      </c>
      <c r="C355" s="58" t="s">
        <v>699</v>
      </c>
      <c r="D355" s="92" t="s">
        <v>2589</v>
      </c>
      <c r="E355" s="24" t="str">
        <f>IF(ISNA(MATCH(A355, 'A-Z player stats'!A:A, 0)), "Delete", "Keep")</f>
        <v>Delete</v>
      </c>
      <c r="I355" s="7" t="s">
        <v>2588</v>
      </c>
      <c r="J355" s="1" t="s">
        <v>1902</v>
      </c>
      <c r="K355" s="1" t="s">
        <v>699</v>
      </c>
      <c r="L355" s="1" t="s">
        <v>707</v>
      </c>
      <c r="M355" s="24" t="s">
        <v>2270</v>
      </c>
    </row>
    <row r="356">
      <c r="A356" s="86" t="s">
        <v>2590</v>
      </c>
      <c r="B356" s="58" t="s">
        <v>1307</v>
      </c>
      <c r="C356" s="58" t="s">
        <v>673</v>
      </c>
      <c r="D356" s="91" t="s">
        <v>700</v>
      </c>
      <c r="E356" s="24" t="str">
        <f>IF(ISNA(MATCH(A356, 'A-Z player stats'!A:A, 0)), "Delete", "Keep")</f>
        <v>Delete</v>
      </c>
      <c r="I356" s="7" t="s">
        <v>2590</v>
      </c>
      <c r="J356" s="1" t="s">
        <v>1307</v>
      </c>
      <c r="K356" s="1" t="s">
        <v>673</v>
      </c>
      <c r="L356" s="24" t="s">
        <v>700</v>
      </c>
      <c r="M356" s="24" t="s">
        <v>2270</v>
      </c>
    </row>
    <row r="357">
      <c r="A357" s="86" t="s">
        <v>499</v>
      </c>
      <c r="B357" s="58" t="s">
        <v>1427</v>
      </c>
      <c r="C357" s="58" t="s">
        <v>810</v>
      </c>
      <c r="D357" s="83" t="s">
        <v>702</v>
      </c>
      <c r="E357" s="24" t="str">
        <f>IF(ISNA(MATCH(A357, 'A-Z player stats'!A:A, 0)), "Delete", "Keep")</f>
        <v>Keep</v>
      </c>
      <c r="I357" s="7" t="s">
        <v>499</v>
      </c>
      <c r="J357" s="1" t="s">
        <v>1427</v>
      </c>
      <c r="K357" s="1" t="s">
        <v>810</v>
      </c>
      <c r="L357" s="24" t="s">
        <v>702</v>
      </c>
      <c r="M357" s="24" t="s">
        <v>2267</v>
      </c>
    </row>
    <row r="358">
      <c r="A358" s="86" t="s">
        <v>503</v>
      </c>
      <c r="B358" s="58" t="s">
        <v>1139</v>
      </c>
      <c r="C358" s="58" t="s">
        <v>810</v>
      </c>
      <c r="D358" s="79" t="s">
        <v>697</v>
      </c>
      <c r="E358" s="24" t="str">
        <f>IF(ISNA(MATCH(A358, 'A-Z player stats'!A:A, 0)), "Delete", "Keep")</f>
        <v>Keep</v>
      </c>
      <c r="I358" s="7" t="s">
        <v>503</v>
      </c>
      <c r="J358" s="1" t="s">
        <v>1139</v>
      </c>
      <c r="K358" s="1" t="s">
        <v>810</v>
      </c>
      <c r="L358" s="24" t="s">
        <v>697</v>
      </c>
      <c r="M358" s="24" t="s">
        <v>2267</v>
      </c>
    </row>
    <row r="359">
      <c r="A359" s="86" t="s">
        <v>505</v>
      </c>
      <c r="B359" s="58" t="s">
        <v>2152</v>
      </c>
      <c r="C359" s="58" t="s">
        <v>727</v>
      </c>
      <c r="D359" s="78" t="s">
        <v>2591</v>
      </c>
      <c r="E359" s="24" t="str">
        <f>IF(ISNA(MATCH(A359, 'A-Z player stats'!A:A, 0)), "Delete", "Keep")</f>
        <v>Keep</v>
      </c>
      <c r="F359" s="50"/>
      <c r="I359" s="7" t="s">
        <v>505</v>
      </c>
      <c r="J359" s="99" t="s">
        <v>2152</v>
      </c>
      <c r="K359" s="99" t="s">
        <v>727</v>
      </c>
      <c r="L359" s="1" t="s">
        <v>707</v>
      </c>
      <c r="M359" s="24" t="s">
        <v>2267</v>
      </c>
    </row>
    <row r="360">
      <c r="A360" s="86" t="s">
        <v>507</v>
      </c>
      <c r="B360" s="58" t="s">
        <v>1753</v>
      </c>
      <c r="C360" s="58" t="s">
        <v>670</v>
      </c>
      <c r="D360" s="81" t="s">
        <v>2592</v>
      </c>
      <c r="E360" s="24" t="str">
        <f>IF(ISNA(MATCH(A360, 'A-Z player stats'!A:A, 0)), "Delete", "Keep")</f>
        <v>Keep</v>
      </c>
      <c r="I360" s="7" t="s">
        <v>507</v>
      </c>
      <c r="J360" s="1" t="s">
        <v>1753</v>
      </c>
      <c r="K360" s="1" t="s">
        <v>670</v>
      </c>
      <c r="L360" s="1" t="s">
        <v>687</v>
      </c>
      <c r="M360" s="24" t="s">
        <v>2267</v>
      </c>
    </row>
    <row r="361">
      <c r="A361" s="86" t="s">
        <v>2593</v>
      </c>
      <c r="B361" s="58" t="s">
        <v>1139</v>
      </c>
      <c r="C361" s="58" t="s">
        <v>810</v>
      </c>
      <c r="D361" s="79" t="s">
        <v>700</v>
      </c>
      <c r="E361" s="24" t="str">
        <f>IF(ISNA(MATCH(A361, 'A-Z player stats'!A:A, 0)), "Delete", "Keep")</f>
        <v>Delete</v>
      </c>
      <c r="I361" s="7" t="s">
        <v>2593</v>
      </c>
      <c r="J361" s="1" t="s">
        <v>1139</v>
      </c>
      <c r="K361" s="1" t="s">
        <v>810</v>
      </c>
      <c r="L361" s="24" t="s">
        <v>700</v>
      </c>
      <c r="M361" s="24" t="s">
        <v>2270</v>
      </c>
    </row>
    <row r="362">
      <c r="A362" s="86" t="s">
        <v>2594</v>
      </c>
      <c r="B362" s="58" t="s">
        <v>1639</v>
      </c>
      <c r="C362" s="58" t="s">
        <v>685</v>
      </c>
      <c r="D362" s="79" t="s">
        <v>677</v>
      </c>
      <c r="E362" s="24" t="str">
        <f>IF(ISNA(MATCH(A362, 'A-Z player stats'!A:A, 0)), "Delete", "Keep")</f>
        <v>Delete</v>
      </c>
      <c r="F362" s="7"/>
      <c r="G362" s="7"/>
      <c r="H362" s="7"/>
      <c r="I362" s="7" t="s">
        <v>2594</v>
      </c>
      <c r="J362" s="1" t="s">
        <v>1639</v>
      </c>
      <c r="K362" s="1" t="s">
        <v>685</v>
      </c>
      <c r="L362" s="24" t="s">
        <v>677</v>
      </c>
      <c r="M362" s="24" t="s">
        <v>2270</v>
      </c>
      <c r="O362" s="84"/>
    </row>
    <row r="363">
      <c r="A363" s="86" t="s">
        <v>512</v>
      </c>
      <c r="B363" s="58" t="s">
        <v>1402</v>
      </c>
      <c r="C363" s="58" t="s">
        <v>720</v>
      </c>
      <c r="D363" s="81" t="s">
        <v>2595</v>
      </c>
      <c r="E363" s="24" t="str">
        <f>IF(ISNA(MATCH(A363, 'A-Z player stats'!A:A, 0)), "Delete", "Keep")</f>
        <v>Keep</v>
      </c>
      <c r="I363" s="7" t="s">
        <v>512</v>
      </c>
      <c r="J363" s="1" t="s">
        <v>1402</v>
      </c>
      <c r="K363" s="1" t="s">
        <v>720</v>
      </c>
      <c r="L363" s="1" t="s">
        <v>684</v>
      </c>
      <c r="M363" s="24" t="s">
        <v>2267</v>
      </c>
    </row>
    <row r="364">
      <c r="A364" s="86" t="s">
        <v>2596</v>
      </c>
      <c r="B364" s="58" t="s">
        <v>1444</v>
      </c>
      <c r="C364" s="58" t="s">
        <v>712</v>
      </c>
      <c r="D364" s="95" t="s">
        <v>702</v>
      </c>
      <c r="E364" s="24" t="str">
        <f>IF(ISNA(MATCH(A364, 'A-Z player stats'!A:A, 0)), "Delete", "Keep")</f>
        <v>Delete</v>
      </c>
      <c r="I364" s="7" t="s">
        <v>2596</v>
      </c>
      <c r="J364" s="1" t="s">
        <v>1444</v>
      </c>
      <c r="K364" s="1" t="s">
        <v>712</v>
      </c>
      <c r="L364" s="24" t="s">
        <v>702</v>
      </c>
      <c r="M364" s="24" t="s">
        <v>2270</v>
      </c>
    </row>
    <row r="365">
      <c r="A365" s="86" t="s">
        <v>514</v>
      </c>
      <c r="B365" s="58" t="s">
        <v>1580</v>
      </c>
      <c r="C365" s="58" t="s">
        <v>685</v>
      </c>
      <c r="D365" s="91" t="s">
        <v>677</v>
      </c>
      <c r="E365" s="24" t="str">
        <f>IF(ISNA(MATCH(A365, 'A-Z player stats'!A:A, 0)), "Delete", "Keep")</f>
        <v>Keep</v>
      </c>
      <c r="F365" s="7"/>
      <c r="G365" s="7"/>
      <c r="H365" s="7"/>
      <c r="I365" s="7" t="s">
        <v>514</v>
      </c>
      <c r="J365" s="1" t="s">
        <v>1580</v>
      </c>
      <c r="K365" s="1" t="s">
        <v>685</v>
      </c>
      <c r="L365" s="24" t="s">
        <v>677</v>
      </c>
      <c r="M365" s="24" t="s">
        <v>2267</v>
      </c>
      <c r="O365" s="84"/>
    </row>
    <row r="366">
      <c r="A366" s="86" t="s">
        <v>2597</v>
      </c>
      <c r="B366" s="58" t="s">
        <v>2027</v>
      </c>
      <c r="C366" s="58" t="s">
        <v>729</v>
      </c>
      <c r="D366" s="79" t="s">
        <v>706</v>
      </c>
      <c r="E366" s="24" t="str">
        <f>IF(ISNA(MATCH(A366, 'A-Z player stats'!A:A, 0)), "Delete", "Keep")</f>
        <v>Delete</v>
      </c>
      <c r="I366" s="7" t="s">
        <v>2597</v>
      </c>
      <c r="J366" s="1" t="s">
        <v>2027</v>
      </c>
      <c r="K366" s="1" t="s">
        <v>729</v>
      </c>
      <c r="L366" s="24" t="s">
        <v>706</v>
      </c>
      <c r="M366" s="24" t="s">
        <v>2270</v>
      </c>
    </row>
    <row r="367">
      <c r="A367" s="86" t="s">
        <v>518</v>
      </c>
      <c r="B367" s="58" t="s">
        <v>1848</v>
      </c>
      <c r="C367" s="58" t="s">
        <v>720</v>
      </c>
      <c r="D367" s="81" t="s">
        <v>2598</v>
      </c>
      <c r="E367" s="24" t="str">
        <f>IF(ISNA(MATCH(A367, 'A-Z player stats'!A:A, 0)), "Delete", "Keep")</f>
        <v>Keep</v>
      </c>
      <c r="I367" s="7" t="s">
        <v>518</v>
      </c>
      <c r="J367" s="1" t="s">
        <v>1848</v>
      </c>
      <c r="K367" s="1" t="s">
        <v>720</v>
      </c>
      <c r="L367" s="1" t="s">
        <v>695</v>
      </c>
      <c r="M367" s="24" t="s">
        <v>2267</v>
      </c>
    </row>
    <row r="368">
      <c r="A368" s="86" t="s">
        <v>2599</v>
      </c>
      <c r="B368" s="58" t="s">
        <v>1216</v>
      </c>
      <c r="C368" s="58" t="s">
        <v>673</v>
      </c>
      <c r="D368" s="78" t="s">
        <v>2600</v>
      </c>
      <c r="E368" s="24" t="str">
        <f>IF(ISNA(MATCH(A368, 'A-Z player stats'!A:A, 0)), "Delete", "Keep")</f>
        <v>Delete</v>
      </c>
      <c r="F368" s="7"/>
      <c r="G368" s="7"/>
      <c r="H368" s="7"/>
      <c r="I368" s="7" t="s">
        <v>2599</v>
      </c>
      <c r="J368" s="1" t="s">
        <v>1216</v>
      </c>
      <c r="K368" s="1" t="s">
        <v>673</v>
      </c>
      <c r="L368" s="1" t="s">
        <v>711</v>
      </c>
      <c r="M368" s="24" t="s">
        <v>2270</v>
      </c>
      <c r="N368" s="7"/>
      <c r="O368" s="82"/>
    </row>
    <row r="369">
      <c r="A369" s="86" t="s">
        <v>520</v>
      </c>
      <c r="B369" s="58" t="s">
        <v>1400</v>
      </c>
      <c r="C369" s="58" t="s">
        <v>685</v>
      </c>
      <c r="D369" s="91" t="s">
        <v>700</v>
      </c>
      <c r="E369" s="24" t="str">
        <f>IF(ISNA(MATCH(A369, 'A-Z player stats'!A:A, 0)), "Delete", "Keep")</f>
        <v>Keep</v>
      </c>
      <c r="I369" s="7" t="s">
        <v>520</v>
      </c>
      <c r="J369" s="1" t="s">
        <v>1400</v>
      </c>
      <c r="K369" s="1" t="s">
        <v>685</v>
      </c>
      <c r="L369" s="24" t="s">
        <v>700</v>
      </c>
      <c r="M369" s="24" t="s">
        <v>2267</v>
      </c>
    </row>
    <row r="370">
      <c r="A370" s="86" t="s">
        <v>2601</v>
      </c>
      <c r="B370" s="58" t="s">
        <v>1368</v>
      </c>
      <c r="C370" s="58" t="s">
        <v>685</v>
      </c>
      <c r="D370" s="92" t="s">
        <v>2602</v>
      </c>
      <c r="E370" s="24" t="str">
        <f>IF(ISNA(MATCH(A370, 'A-Z player stats'!A:A, 0)), "Delete", "Keep")</f>
        <v>Delete</v>
      </c>
      <c r="I370" s="7" t="s">
        <v>2601</v>
      </c>
      <c r="J370" s="1" t="s">
        <v>1368</v>
      </c>
      <c r="K370" s="1" t="s">
        <v>685</v>
      </c>
      <c r="L370" s="1" t="s">
        <v>711</v>
      </c>
      <c r="M370" s="24" t="s">
        <v>2270</v>
      </c>
    </row>
    <row r="371">
      <c r="A371" s="86" t="s">
        <v>2603</v>
      </c>
      <c r="B371" s="58" t="s">
        <v>1368</v>
      </c>
      <c r="C371" s="58" t="s">
        <v>685</v>
      </c>
      <c r="D371" s="81" t="s">
        <v>2604</v>
      </c>
      <c r="E371" s="24" t="str">
        <f>IF(ISNA(MATCH(A371, 'A-Z player stats'!A:A, 0)), "Delete", "Keep")</f>
        <v>Delete</v>
      </c>
      <c r="I371" s="7" t="s">
        <v>2603</v>
      </c>
      <c r="J371" s="1" t="s">
        <v>1368</v>
      </c>
      <c r="K371" s="1" t="s">
        <v>685</v>
      </c>
      <c r="L371" s="1" t="s">
        <v>711</v>
      </c>
      <c r="M371" s="24" t="s">
        <v>2270</v>
      </c>
    </row>
    <row r="372">
      <c r="A372" s="86" t="s">
        <v>522</v>
      </c>
      <c r="B372" s="58" t="s">
        <v>1603</v>
      </c>
      <c r="C372" s="58" t="s">
        <v>730</v>
      </c>
      <c r="D372" s="91" t="s">
        <v>703</v>
      </c>
      <c r="E372" s="24" t="str">
        <f>IF(ISNA(MATCH(A372, 'A-Z player stats'!A:A, 0)), "Delete", "Keep")</f>
        <v>Keep</v>
      </c>
      <c r="I372" s="7" t="s">
        <v>522</v>
      </c>
      <c r="J372" s="1" t="s">
        <v>1603</v>
      </c>
      <c r="K372" s="1" t="s">
        <v>730</v>
      </c>
      <c r="L372" s="24" t="s">
        <v>703</v>
      </c>
      <c r="M372" s="24" t="s">
        <v>2267</v>
      </c>
    </row>
    <row r="373">
      <c r="A373" s="86" t="s">
        <v>2605</v>
      </c>
      <c r="B373" s="58" t="s">
        <v>1301</v>
      </c>
      <c r="C373" s="58" t="s">
        <v>720</v>
      </c>
      <c r="D373" s="92" t="s">
        <v>2606</v>
      </c>
      <c r="E373" s="24" t="str">
        <f>IF(ISNA(MATCH(A373, 'A-Z player stats'!A:A, 0)), "Delete", "Keep")</f>
        <v>Delete</v>
      </c>
      <c r="I373" s="7" t="s">
        <v>2605</v>
      </c>
      <c r="J373" s="1" t="s">
        <v>1301</v>
      </c>
      <c r="K373" s="1" t="s">
        <v>720</v>
      </c>
      <c r="L373" s="1" t="s">
        <v>716</v>
      </c>
      <c r="M373" s="24" t="s">
        <v>2270</v>
      </c>
    </row>
    <row r="374">
      <c r="A374" s="86" t="s">
        <v>524</v>
      </c>
      <c r="B374" s="58" t="s">
        <v>1701</v>
      </c>
      <c r="C374" s="58" t="s">
        <v>715</v>
      </c>
      <c r="D374" s="81" t="s">
        <v>2607</v>
      </c>
      <c r="E374" s="24" t="str">
        <f>IF(ISNA(MATCH(A374, 'A-Z player stats'!A:A, 0)), "Delete", "Keep")</f>
        <v>Keep</v>
      </c>
      <c r="I374" s="7" t="s">
        <v>524</v>
      </c>
      <c r="J374" s="1" t="s">
        <v>1701</v>
      </c>
      <c r="K374" s="1" t="s">
        <v>715</v>
      </c>
      <c r="L374" s="1" t="s">
        <v>668</v>
      </c>
      <c r="M374" s="24" t="s">
        <v>2267</v>
      </c>
    </row>
    <row r="375">
      <c r="A375" s="86" t="s">
        <v>526</v>
      </c>
      <c r="B375" s="58" t="s">
        <v>1284</v>
      </c>
      <c r="C375" s="58" t="s">
        <v>670</v>
      </c>
      <c r="D375" s="81" t="s">
        <v>2608</v>
      </c>
      <c r="E375" s="24" t="str">
        <f>IF(ISNA(MATCH(A375, 'A-Z player stats'!A:A, 0)), "Delete", "Keep")</f>
        <v>Keep</v>
      </c>
      <c r="I375" s="7" t="s">
        <v>526</v>
      </c>
      <c r="J375" s="1" t="s">
        <v>1284</v>
      </c>
      <c r="K375" s="1" t="s">
        <v>670</v>
      </c>
      <c r="L375" s="1" t="s">
        <v>726</v>
      </c>
      <c r="M375" s="24" t="s">
        <v>2267</v>
      </c>
    </row>
    <row r="376">
      <c r="A376" s="86" t="s">
        <v>528</v>
      </c>
      <c r="B376" s="58" t="s">
        <v>1466</v>
      </c>
      <c r="C376" s="58" t="s">
        <v>678</v>
      </c>
      <c r="D376" s="81" t="s">
        <v>2609</v>
      </c>
      <c r="E376" s="24" t="str">
        <f>IF(ISNA(MATCH(A376, 'A-Z player stats'!A:A, 0)), "Delete", "Keep")</f>
        <v>Keep</v>
      </c>
      <c r="I376" s="7" t="s">
        <v>528</v>
      </c>
      <c r="J376" s="1" t="s">
        <v>1466</v>
      </c>
      <c r="K376" s="1" t="s">
        <v>678</v>
      </c>
      <c r="L376" s="1" t="s">
        <v>731</v>
      </c>
      <c r="M376" s="24" t="s">
        <v>2267</v>
      </c>
    </row>
    <row r="377">
      <c r="A377" s="86" t="s">
        <v>530</v>
      </c>
      <c r="B377" s="58" t="s">
        <v>1274</v>
      </c>
      <c r="C377" s="58" t="s">
        <v>810</v>
      </c>
      <c r="D377" s="95" t="s">
        <v>702</v>
      </c>
      <c r="E377" s="24" t="str">
        <f>IF(ISNA(MATCH(A377, 'A-Z player stats'!A:A, 0)), "Delete", "Keep")</f>
        <v>Keep</v>
      </c>
      <c r="F377" s="7"/>
      <c r="G377" s="7"/>
      <c r="H377" s="7"/>
      <c r="I377" s="7" t="s">
        <v>530</v>
      </c>
      <c r="J377" s="1" t="s">
        <v>1274</v>
      </c>
      <c r="K377" s="1" t="s">
        <v>810</v>
      </c>
      <c r="L377" s="24" t="s">
        <v>702</v>
      </c>
      <c r="M377" s="24" t="s">
        <v>2267</v>
      </c>
      <c r="O377" s="84"/>
    </row>
    <row r="378">
      <c r="A378" s="86" t="s">
        <v>2610</v>
      </c>
      <c r="B378" s="58" t="s">
        <v>2050</v>
      </c>
      <c r="C378" s="58" t="s">
        <v>688</v>
      </c>
      <c r="D378" s="81" t="s">
        <v>2611</v>
      </c>
      <c r="E378" s="24" t="str">
        <f>IF(ISNA(MATCH(A378, 'A-Z player stats'!A:A, 0)), "Delete", "Keep")</f>
        <v>Delete</v>
      </c>
      <c r="I378" s="7" t="s">
        <v>2610</v>
      </c>
      <c r="J378" s="1" t="s">
        <v>2050</v>
      </c>
      <c r="K378" s="1" t="s">
        <v>688</v>
      </c>
      <c r="L378" s="1" t="s">
        <v>684</v>
      </c>
      <c r="M378" s="24" t="s">
        <v>2270</v>
      </c>
    </row>
    <row r="379">
      <c r="A379" s="86" t="s">
        <v>532</v>
      </c>
      <c r="B379" s="58" t="s">
        <v>1900</v>
      </c>
      <c r="C379" s="58" t="s">
        <v>705</v>
      </c>
      <c r="D379" s="79" t="s">
        <v>708</v>
      </c>
      <c r="E379" s="24" t="str">
        <f>IF(ISNA(MATCH(A379, 'A-Z player stats'!A:A, 0)), "Delete", "Keep")</f>
        <v>Keep</v>
      </c>
      <c r="I379" s="7" t="s">
        <v>532</v>
      </c>
      <c r="J379" s="1" t="s">
        <v>1900</v>
      </c>
      <c r="K379" s="1" t="s">
        <v>705</v>
      </c>
      <c r="L379" s="24" t="s">
        <v>708</v>
      </c>
      <c r="M379" s="24" t="s">
        <v>2267</v>
      </c>
    </row>
    <row r="380">
      <c r="A380" s="86" t="s">
        <v>2612</v>
      </c>
      <c r="B380" s="58" t="s">
        <v>1851</v>
      </c>
      <c r="C380" s="58" t="s">
        <v>715</v>
      </c>
      <c r="D380" s="92" t="s">
        <v>2613</v>
      </c>
      <c r="E380" s="24" t="str">
        <f>IF(ISNA(MATCH(A380, 'A-Z player stats'!A:A, 0)), "Delete", "Keep")</f>
        <v>Delete</v>
      </c>
      <c r="I380" s="7" t="s">
        <v>2612</v>
      </c>
      <c r="J380" s="1" t="s">
        <v>1851</v>
      </c>
      <c r="K380" s="1" t="s">
        <v>715</v>
      </c>
      <c r="L380" s="1" t="s">
        <v>694</v>
      </c>
      <c r="M380" s="24" t="s">
        <v>2270</v>
      </c>
    </row>
    <row r="381">
      <c r="A381" s="86" t="s">
        <v>536</v>
      </c>
      <c r="B381" s="58" t="s">
        <v>1530</v>
      </c>
      <c r="C381" s="58" t="s">
        <v>725</v>
      </c>
      <c r="D381" s="92" t="s">
        <v>2614</v>
      </c>
      <c r="E381" s="24" t="str">
        <f>IF(ISNA(MATCH(A381, 'A-Z player stats'!A:A, 0)), "Delete", "Keep")</f>
        <v>Keep</v>
      </c>
      <c r="I381" s="7" t="s">
        <v>536</v>
      </c>
      <c r="J381" s="1" t="s">
        <v>1530</v>
      </c>
      <c r="K381" s="1" t="s">
        <v>725</v>
      </c>
      <c r="L381" s="1" t="s">
        <v>671</v>
      </c>
      <c r="M381" s="24" t="s">
        <v>2267</v>
      </c>
    </row>
    <row r="382">
      <c r="A382" s="86" t="s">
        <v>538</v>
      </c>
      <c r="B382" s="58" t="s">
        <v>2007</v>
      </c>
      <c r="C382" s="58" t="s">
        <v>678</v>
      </c>
      <c r="D382" s="92" t="s">
        <v>2615</v>
      </c>
      <c r="E382" s="24" t="str">
        <f>IF(ISNA(MATCH(A382, 'A-Z player stats'!A:A, 0)), "Delete", "Keep")</f>
        <v>Keep</v>
      </c>
      <c r="I382" s="7" t="s">
        <v>538</v>
      </c>
      <c r="J382" s="1" t="s">
        <v>2007</v>
      </c>
      <c r="K382" s="1" t="s">
        <v>678</v>
      </c>
      <c r="L382" s="1" t="s">
        <v>732</v>
      </c>
      <c r="M382" s="24" t="s">
        <v>2267</v>
      </c>
    </row>
    <row r="383">
      <c r="A383" s="86" t="s">
        <v>540</v>
      </c>
      <c r="B383" s="58" t="s">
        <v>2218</v>
      </c>
      <c r="C383" s="58" t="s">
        <v>810</v>
      </c>
      <c r="D383" s="79" t="s">
        <v>691</v>
      </c>
      <c r="E383" s="24" t="str">
        <f>IF(ISNA(MATCH(A383, 'A-Z player stats'!A:A, 0)), "Delete", "Keep")</f>
        <v>Keep</v>
      </c>
      <c r="F383" s="50"/>
      <c r="I383" s="7" t="s">
        <v>540</v>
      </c>
      <c r="J383" s="99" t="s">
        <v>2218</v>
      </c>
      <c r="K383" s="99" t="s">
        <v>810</v>
      </c>
      <c r="L383" s="24" t="s">
        <v>691</v>
      </c>
      <c r="M383" s="24" t="s">
        <v>2267</v>
      </c>
    </row>
    <row r="384">
      <c r="A384" s="86" t="s">
        <v>2616</v>
      </c>
      <c r="B384" s="58" t="s">
        <v>1386</v>
      </c>
      <c r="C384" s="58" t="s">
        <v>810</v>
      </c>
      <c r="D384" s="95" t="s">
        <v>702</v>
      </c>
      <c r="E384" s="24" t="str">
        <f>IF(ISNA(MATCH(A384, 'A-Z player stats'!A:A, 0)), "Delete", "Keep")</f>
        <v>Delete</v>
      </c>
      <c r="F384" s="7"/>
      <c r="G384" s="7"/>
      <c r="H384" s="7"/>
      <c r="I384" s="7" t="s">
        <v>2616</v>
      </c>
      <c r="J384" s="1" t="s">
        <v>1386</v>
      </c>
      <c r="K384" s="1" t="s">
        <v>810</v>
      </c>
      <c r="L384" s="24" t="s">
        <v>702</v>
      </c>
      <c r="M384" s="24" t="s">
        <v>2270</v>
      </c>
      <c r="O384" s="84"/>
    </row>
    <row r="385">
      <c r="A385" s="86" t="s">
        <v>2617</v>
      </c>
      <c r="B385" s="58" t="s">
        <v>1139</v>
      </c>
      <c r="C385" s="58" t="s">
        <v>810</v>
      </c>
      <c r="D385" s="91" t="s">
        <v>697</v>
      </c>
      <c r="E385" s="24" t="str">
        <f>IF(ISNA(MATCH(A385, 'A-Z player stats'!A:A, 0)), "Delete", "Keep")</f>
        <v>Delete</v>
      </c>
      <c r="I385" s="7" t="s">
        <v>2617</v>
      </c>
      <c r="J385" s="1" t="s">
        <v>1139</v>
      </c>
      <c r="K385" s="1" t="s">
        <v>810</v>
      </c>
      <c r="L385" s="24" t="s">
        <v>697</v>
      </c>
      <c r="M385" s="24" t="s">
        <v>2270</v>
      </c>
    </row>
    <row r="386">
      <c r="A386" s="86" t="s">
        <v>542</v>
      </c>
      <c r="B386" s="58" t="s">
        <v>1137</v>
      </c>
      <c r="C386" s="58" t="s">
        <v>718</v>
      </c>
      <c r="D386" s="83" t="s">
        <v>702</v>
      </c>
      <c r="E386" s="24" t="str">
        <f>IF(ISNA(MATCH(A386, 'A-Z player stats'!A:A, 0)), "Delete", "Keep")</f>
        <v>Keep</v>
      </c>
      <c r="F386" s="7"/>
      <c r="G386" s="7"/>
      <c r="H386" s="7"/>
      <c r="I386" s="7" t="s">
        <v>542</v>
      </c>
      <c r="J386" s="1" t="s">
        <v>1137</v>
      </c>
      <c r="K386" s="1" t="s">
        <v>718</v>
      </c>
      <c r="L386" s="24" t="s">
        <v>702</v>
      </c>
      <c r="M386" s="24" t="s">
        <v>2267</v>
      </c>
      <c r="N386" s="7"/>
      <c r="O386" s="82"/>
    </row>
    <row r="387">
      <c r="A387" s="86" t="s">
        <v>544</v>
      </c>
      <c r="B387" s="58" t="s">
        <v>1792</v>
      </c>
      <c r="C387" s="58" t="s">
        <v>693</v>
      </c>
      <c r="D387" s="92" t="s">
        <v>2618</v>
      </c>
      <c r="E387" s="24" t="str">
        <f>IF(ISNA(MATCH(A387, 'A-Z player stats'!A:A, 0)), "Delete", "Keep")</f>
        <v>Keep</v>
      </c>
      <c r="I387" s="7" t="s">
        <v>544</v>
      </c>
      <c r="J387" s="1" t="s">
        <v>1792</v>
      </c>
      <c r="K387" s="1" t="s">
        <v>693</v>
      </c>
      <c r="L387" s="1" t="s">
        <v>731</v>
      </c>
      <c r="M387" s="24" t="s">
        <v>2267</v>
      </c>
    </row>
    <row r="388">
      <c r="A388" s="86" t="s">
        <v>546</v>
      </c>
      <c r="B388" s="58" t="s">
        <v>2010</v>
      </c>
      <c r="C388" s="58" t="s">
        <v>720</v>
      </c>
      <c r="D388" s="91" t="s">
        <v>701</v>
      </c>
      <c r="E388" s="24" t="str">
        <f>IF(ISNA(MATCH(A388, 'A-Z player stats'!A:A, 0)), "Delete", "Keep")</f>
        <v>Keep</v>
      </c>
      <c r="F388" s="7"/>
      <c r="G388" s="7"/>
      <c r="H388" s="7"/>
      <c r="I388" s="7" t="s">
        <v>546</v>
      </c>
      <c r="J388" s="1" t="s">
        <v>2010</v>
      </c>
      <c r="K388" s="1" t="s">
        <v>720</v>
      </c>
      <c r="L388" s="24" t="s">
        <v>701</v>
      </c>
      <c r="M388" s="24" t="s">
        <v>2267</v>
      </c>
      <c r="O388" s="84"/>
    </row>
    <row r="389">
      <c r="A389" s="86" t="s">
        <v>735</v>
      </c>
      <c r="B389" s="58" t="s">
        <v>1976</v>
      </c>
      <c r="C389" s="58" t="s">
        <v>729</v>
      </c>
      <c r="D389" s="78" t="s">
        <v>2619</v>
      </c>
      <c r="E389" s="24" t="str">
        <f>IF(ISNA(MATCH(A389, 'A-Z player stats'!A:A, 0)), "Delete", "Keep")</f>
        <v>Delete</v>
      </c>
      <c r="F389" s="7"/>
      <c r="G389" s="7"/>
      <c r="H389" s="7"/>
      <c r="I389" s="7" t="s">
        <v>735</v>
      </c>
      <c r="J389" s="1" t="s">
        <v>1976</v>
      </c>
      <c r="K389" s="1" t="s">
        <v>729</v>
      </c>
      <c r="L389" s="1" t="s">
        <v>684</v>
      </c>
      <c r="M389" s="24" t="s">
        <v>2267</v>
      </c>
      <c r="N389" s="7"/>
      <c r="O389" s="82"/>
    </row>
    <row r="390">
      <c r="A390" s="86" t="s">
        <v>550</v>
      </c>
      <c r="B390" s="58" t="s">
        <v>1158</v>
      </c>
      <c r="C390" s="58" t="s">
        <v>698</v>
      </c>
      <c r="D390" s="78" t="s">
        <v>2620</v>
      </c>
      <c r="E390" s="24" t="str">
        <f>IF(ISNA(MATCH(A390, 'A-Z player stats'!A:A, 0)), "Delete", "Keep")</f>
        <v>Keep</v>
      </c>
      <c r="F390" s="7"/>
      <c r="G390" s="7"/>
      <c r="H390" s="7"/>
      <c r="I390" s="7" t="s">
        <v>550</v>
      </c>
      <c r="J390" s="1" t="s">
        <v>1158</v>
      </c>
      <c r="K390" s="1" t="s">
        <v>698</v>
      </c>
      <c r="L390" s="1" t="s">
        <v>716</v>
      </c>
      <c r="M390" s="24" t="s">
        <v>2267</v>
      </c>
      <c r="N390" s="7"/>
      <c r="O390" s="82"/>
    </row>
    <row r="391">
      <c r="A391" s="86" t="s">
        <v>2621</v>
      </c>
      <c r="B391" s="58" t="s">
        <v>1495</v>
      </c>
      <c r="C391" s="58" t="s">
        <v>719</v>
      </c>
      <c r="D391" s="81" t="s">
        <v>2622</v>
      </c>
      <c r="E391" s="24" t="str">
        <f>IF(ISNA(MATCH(A391, 'A-Z player stats'!A:A, 0)), "Delete", "Keep")</f>
        <v>Delete</v>
      </c>
      <c r="I391" s="7" t="s">
        <v>2621</v>
      </c>
      <c r="J391" s="1" t="s">
        <v>1495</v>
      </c>
      <c r="K391" s="1" t="s">
        <v>719</v>
      </c>
      <c r="L391" s="1" t="s">
        <v>671</v>
      </c>
      <c r="M391" s="24" t="s">
        <v>2270</v>
      </c>
    </row>
    <row r="392">
      <c r="A392" s="86" t="s">
        <v>552</v>
      </c>
      <c r="B392" s="58" t="s">
        <v>1736</v>
      </c>
      <c r="C392" s="58" t="s">
        <v>673</v>
      </c>
      <c r="D392" s="92" t="s">
        <v>2623</v>
      </c>
      <c r="E392" s="24" t="str">
        <f>IF(ISNA(MATCH(A392, 'A-Z player stats'!A:A, 0)), "Delete", "Keep")</f>
        <v>Keep</v>
      </c>
      <c r="I392" s="7" t="s">
        <v>552</v>
      </c>
      <c r="J392" s="1" t="s">
        <v>1736</v>
      </c>
      <c r="K392" s="1" t="s">
        <v>673</v>
      </c>
      <c r="L392" s="1" t="s">
        <v>711</v>
      </c>
      <c r="M392" s="24" t="s">
        <v>2267</v>
      </c>
    </row>
    <row r="393">
      <c r="A393" s="86" t="s">
        <v>554</v>
      </c>
      <c r="B393" s="58" t="s">
        <v>1750</v>
      </c>
      <c r="C393" s="58" t="s">
        <v>688</v>
      </c>
      <c r="D393" s="81" t="s">
        <v>2624</v>
      </c>
      <c r="E393" s="24" t="str">
        <f>IF(ISNA(MATCH(A393, 'A-Z player stats'!A:A, 0)), "Delete", "Keep")</f>
        <v>Keep</v>
      </c>
      <c r="I393" s="7" t="s">
        <v>554</v>
      </c>
      <c r="J393" s="1" t="s">
        <v>1750</v>
      </c>
      <c r="K393" s="1" t="s">
        <v>688</v>
      </c>
      <c r="L393" s="1" t="s">
        <v>687</v>
      </c>
      <c r="M393" s="24" t="s">
        <v>2267</v>
      </c>
    </row>
    <row r="394">
      <c r="A394" s="86" t="s">
        <v>2625</v>
      </c>
      <c r="B394" s="58" t="s">
        <v>1211</v>
      </c>
      <c r="C394" s="58" t="s">
        <v>688</v>
      </c>
      <c r="D394" s="81" t="s">
        <v>2626</v>
      </c>
      <c r="E394" s="24" t="str">
        <f>IF(ISNA(MATCH(A394, 'A-Z player stats'!A:A, 0)), "Delete", "Keep")</f>
        <v>Delete</v>
      </c>
      <c r="I394" s="7" t="s">
        <v>2625</v>
      </c>
      <c r="J394" s="1" t="s">
        <v>1211</v>
      </c>
      <c r="K394" s="1" t="s">
        <v>688</v>
      </c>
      <c r="L394" s="1" t="s">
        <v>695</v>
      </c>
      <c r="M394" s="24" t="s">
        <v>2270</v>
      </c>
    </row>
    <row r="395">
      <c r="A395" s="86" t="s">
        <v>556</v>
      </c>
      <c r="B395" s="58" t="s">
        <v>1211</v>
      </c>
      <c r="C395" s="58" t="s">
        <v>688</v>
      </c>
      <c r="D395" s="81" t="s">
        <v>2627</v>
      </c>
      <c r="E395" s="24" t="str">
        <f>IF(ISNA(MATCH(A395, 'A-Z player stats'!A:A, 0)), "Delete", "Keep")</f>
        <v>Keep</v>
      </c>
      <c r="I395" s="7" t="s">
        <v>556</v>
      </c>
      <c r="J395" s="1" t="s">
        <v>1211</v>
      </c>
      <c r="K395" s="1" t="s">
        <v>688</v>
      </c>
      <c r="L395" s="1" t="s">
        <v>695</v>
      </c>
      <c r="M395" s="24" t="s">
        <v>2267</v>
      </c>
    </row>
    <row r="396">
      <c r="A396" s="86" t="s">
        <v>558</v>
      </c>
      <c r="B396" s="58" t="s">
        <v>1312</v>
      </c>
      <c r="C396" s="58" t="s">
        <v>693</v>
      </c>
      <c r="D396" s="78" t="s">
        <v>2628</v>
      </c>
      <c r="E396" s="24" t="str">
        <f>IF(ISNA(MATCH(A396, 'A-Z player stats'!A:A, 0)), "Delete", "Keep")</f>
        <v>Keep</v>
      </c>
      <c r="F396" s="7"/>
      <c r="G396" s="7"/>
      <c r="H396" s="7"/>
      <c r="I396" s="7" t="s">
        <v>558</v>
      </c>
      <c r="J396" s="1" t="s">
        <v>1312</v>
      </c>
      <c r="K396" s="1" t="s">
        <v>693</v>
      </c>
      <c r="L396" s="1" t="s">
        <v>716</v>
      </c>
      <c r="M396" s="24" t="s">
        <v>2267</v>
      </c>
      <c r="N396" s="7"/>
      <c r="O396" s="82"/>
    </row>
    <row r="397">
      <c r="A397" s="86" t="s">
        <v>2629</v>
      </c>
      <c r="B397" s="58" t="s">
        <v>2198</v>
      </c>
      <c r="C397" s="58" t="s">
        <v>670</v>
      </c>
      <c r="D397" s="78" t="s">
        <v>2630</v>
      </c>
      <c r="E397" s="24" t="str">
        <f>IF(ISNA(MATCH(A397, 'A-Z player stats'!A:A, 0)), "Delete", "Keep")</f>
        <v>Delete</v>
      </c>
      <c r="F397" s="50"/>
      <c r="I397" s="7" t="s">
        <v>2629</v>
      </c>
      <c r="J397" s="99" t="s">
        <v>2198</v>
      </c>
      <c r="K397" s="99" t="s">
        <v>670</v>
      </c>
      <c r="L397" s="1" t="s">
        <v>686</v>
      </c>
      <c r="M397" s="24" t="s">
        <v>2270</v>
      </c>
    </row>
    <row r="398">
      <c r="A398" s="86" t="s">
        <v>560</v>
      </c>
      <c r="B398" s="58" t="s">
        <v>1329</v>
      </c>
      <c r="C398" s="58" t="s">
        <v>810</v>
      </c>
      <c r="D398" s="79" t="s">
        <v>700</v>
      </c>
      <c r="E398" s="24" t="str">
        <f>IF(ISNA(MATCH(A398, 'A-Z player stats'!A:A, 0)), "Delete", "Keep")</f>
        <v>Keep</v>
      </c>
      <c r="I398" s="7" t="s">
        <v>560</v>
      </c>
      <c r="J398" s="1" t="s">
        <v>1329</v>
      </c>
      <c r="K398" s="1" t="s">
        <v>810</v>
      </c>
      <c r="L398" s="24" t="s">
        <v>700</v>
      </c>
      <c r="M398" s="24" t="s">
        <v>2267</v>
      </c>
    </row>
    <row r="399">
      <c r="A399" s="86" t="s">
        <v>562</v>
      </c>
      <c r="B399" s="58" t="s">
        <v>1205</v>
      </c>
      <c r="C399" s="58" t="s">
        <v>685</v>
      </c>
      <c r="D399" s="81" t="s">
        <v>2631</v>
      </c>
      <c r="E399" s="24" t="str">
        <f>IF(ISNA(MATCH(A399, 'A-Z player stats'!A:A, 0)), "Delete", "Keep")</f>
        <v>Keep</v>
      </c>
      <c r="I399" s="7" t="s">
        <v>562</v>
      </c>
      <c r="J399" s="1" t="s">
        <v>1205</v>
      </c>
      <c r="K399" s="1" t="s">
        <v>685</v>
      </c>
      <c r="L399" s="1" t="s">
        <v>668</v>
      </c>
      <c r="M399" s="24" t="s">
        <v>2267</v>
      </c>
    </row>
    <row r="400">
      <c r="A400" s="86" t="s">
        <v>564</v>
      </c>
      <c r="B400" s="58" t="s">
        <v>2001</v>
      </c>
      <c r="C400" s="58" t="s">
        <v>690</v>
      </c>
      <c r="D400" s="78" t="s">
        <v>2632</v>
      </c>
      <c r="E400" s="24" t="str">
        <f>IF(ISNA(MATCH(A400, 'A-Z player stats'!A:A, 0)), "Delete", "Keep")</f>
        <v>Keep</v>
      </c>
      <c r="F400" s="7"/>
      <c r="G400" s="7"/>
      <c r="H400" s="7"/>
      <c r="I400" s="7" t="s">
        <v>564</v>
      </c>
      <c r="J400" s="1" t="s">
        <v>2001</v>
      </c>
      <c r="K400" s="1" t="s">
        <v>690</v>
      </c>
      <c r="L400" s="1" t="s">
        <v>671</v>
      </c>
      <c r="M400" s="24" t="s">
        <v>2267</v>
      </c>
      <c r="N400" s="7"/>
      <c r="O400" s="82"/>
    </row>
    <row r="401">
      <c r="A401" s="86" t="s">
        <v>2633</v>
      </c>
      <c r="B401" s="58" t="s">
        <v>1189</v>
      </c>
      <c r="C401" s="58" t="s">
        <v>722</v>
      </c>
      <c r="D401" s="79" t="s">
        <v>700</v>
      </c>
      <c r="E401" s="24" t="str">
        <f>IF(ISNA(MATCH(A401, 'A-Z player stats'!A:A, 0)), "Delete", "Keep")</f>
        <v>Delete</v>
      </c>
      <c r="I401" s="7" t="s">
        <v>2633</v>
      </c>
      <c r="J401" s="1" t="s">
        <v>1189</v>
      </c>
      <c r="K401" s="1" t="s">
        <v>722</v>
      </c>
      <c r="L401" s="24" t="s">
        <v>700</v>
      </c>
      <c r="M401" s="24" t="s">
        <v>2270</v>
      </c>
    </row>
    <row r="402">
      <c r="A402" s="86" t="s">
        <v>566</v>
      </c>
      <c r="B402" s="58" t="s">
        <v>2108</v>
      </c>
      <c r="C402" s="58" t="s">
        <v>709</v>
      </c>
      <c r="D402" s="89" t="s">
        <v>2634</v>
      </c>
      <c r="E402" s="24" t="str">
        <f>IF(ISNA(MATCH(A402, 'A-Z player stats'!A:A, 0)), "Delete", "Keep")</f>
        <v>Keep</v>
      </c>
      <c r="F402" s="50"/>
      <c r="I402" s="7" t="s">
        <v>566</v>
      </c>
      <c r="J402" s="99" t="s">
        <v>2108</v>
      </c>
      <c r="K402" s="99" t="s">
        <v>709</v>
      </c>
      <c r="L402" s="1" t="s">
        <v>668</v>
      </c>
      <c r="M402" s="24" t="s">
        <v>2267</v>
      </c>
    </row>
    <row r="403">
      <c r="A403" s="86" t="s">
        <v>2635</v>
      </c>
      <c r="B403" s="58" t="s">
        <v>1459</v>
      </c>
      <c r="C403" s="58" t="s">
        <v>720</v>
      </c>
      <c r="D403" s="81" t="s">
        <v>2636</v>
      </c>
      <c r="E403" s="24" t="str">
        <f>IF(ISNA(MATCH(A403, 'A-Z player stats'!A:A, 0)), "Delete", "Keep")</f>
        <v>Delete</v>
      </c>
      <c r="I403" s="7" t="s">
        <v>2635</v>
      </c>
      <c r="J403" s="1" t="s">
        <v>1459</v>
      </c>
      <c r="K403" s="1" t="s">
        <v>720</v>
      </c>
      <c r="L403" s="1" t="s">
        <v>668</v>
      </c>
      <c r="M403" s="24" t="s">
        <v>2270</v>
      </c>
    </row>
    <row r="404">
      <c r="A404" s="86" t="s">
        <v>569</v>
      </c>
      <c r="B404" s="58" t="s">
        <v>1287</v>
      </c>
      <c r="C404" s="58" t="s">
        <v>682</v>
      </c>
      <c r="D404" s="78" t="s">
        <v>2637</v>
      </c>
      <c r="E404" s="24" t="str">
        <f>IF(ISNA(MATCH(A404, 'A-Z player stats'!A:A, 0)), "Delete", "Keep")</f>
        <v>Keep</v>
      </c>
      <c r="F404" s="7"/>
      <c r="G404" s="7"/>
      <c r="H404" s="7"/>
      <c r="I404" s="7" t="s">
        <v>569</v>
      </c>
      <c r="J404" s="1" t="s">
        <v>1287</v>
      </c>
      <c r="K404" s="1" t="s">
        <v>682</v>
      </c>
      <c r="L404" s="1" t="s">
        <v>689</v>
      </c>
      <c r="M404" s="24" t="s">
        <v>2267</v>
      </c>
      <c r="O404" s="84"/>
    </row>
    <row r="405">
      <c r="A405" s="86" t="s">
        <v>2638</v>
      </c>
      <c r="B405" s="58" t="s">
        <v>1262</v>
      </c>
      <c r="C405" s="58" t="s">
        <v>685</v>
      </c>
      <c r="D405" s="91" t="s">
        <v>700</v>
      </c>
      <c r="E405" s="24" t="str">
        <f>IF(ISNA(MATCH(A405, 'A-Z player stats'!A:A, 0)), "Delete", "Keep")</f>
        <v>Delete</v>
      </c>
      <c r="I405" s="7" t="s">
        <v>2638</v>
      </c>
      <c r="J405" s="1" t="s">
        <v>1262</v>
      </c>
      <c r="K405" s="1" t="s">
        <v>685</v>
      </c>
      <c r="L405" s="24" t="s">
        <v>700</v>
      </c>
      <c r="M405" s="24" t="s">
        <v>2270</v>
      </c>
    </row>
    <row r="406">
      <c r="A406" s="86" t="s">
        <v>571</v>
      </c>
      <c r="B406" s="58" t="s">
        <v>2254</v>
      </c>
      <c r="C406" s="58" t="s">
        <v>690</v>
      </c>
      <c r="D406" s="78" t="s">
        <v>2639</v>
      </c>
      <c r="E406" s="24" t="str">
        <f>IF(ISNA(MATCH(A406, 'A-Z player stats'!A:A, 0)), "Delete", "Keep")</f>
        <v>Keep</v>
      </c>
      <c r="F406" s="50"/>
      <c r="I406" s="7" t="s">
        <v>571</v>
      </c>
      <c r="J406" s="99" t="s">
        <v>2254</v>
      </c>
      <c r="K406" s="99" t="s">
        <v>690</v>
      </c>
      <c r="L406" s="1" t="s">
        <v>695</v>
      </c>
      <c r="M406" s="24" t="s">
        <v>2267</v>
      </c>
    </row>
    <row r="407">
      <c r="A407" s="86" t="s">
        <v>2640</v>
      </c>
      <c r="B407" s="58" t="s">
        <v>1139</v>
      </c>
      <c r="C407" s="58" t="s">
        <v>810</v>
      </c>
      <c r="D407" s="79" t="s">
        <v>691</v>
      </c>
      <c r="E407" s="24" t="str">
        <f>IF(ISNA(MATCH(A407, 'A-Z player stats'!A:A, 0)), "Delete", "Keep")</f>
        <v>Delete</v>
      </c>
      <c r="F407" s="50"/>
      <c r="I407" s="7" t="s">
        <v>2640</v>
      </c>
      <c r="J407" s="99" t="s">
        <v>1139</v>
      </c>
      <c r="K407" s="99" t="s">
        <v>810</v>
      </c>
      <c r="L407" s="24" t="s">
        <v>691</v>
      </c>
      <c r="M407" s="24" t="s">
        <v>2270</v>
      </c>
    </row>
    <row r="408">
      <c r="A408" s="86" t="s">
        <v>2641</v>
      </c>
      <c r="B408" s="58" t="s">
        <v>1599</v>
      </c>
      <c r="C408" s="58" t="s">
        <v>685</v>
      </c>
      <c r="D408" s="78" t="s">
        <v>2642</v>
      </c>
      <c r="E408" s="24" t="str">
        <f>IF(ISNA(MATCH(A408, 'A-Z player stats'!A:A, 0)), "Delete", "Keep")</f>
        <v>Delete</v>
      </c>
      <c r="F408" s="7"/>
      <c r="G408" s="7"/>
      <c r="H408" s="7"/>
      <c r="I408" s="7" t="s">
        <v>2641</v>
      </c>
      <c r="J408" s="1" t="s">
        <v>1599</v>
      </c>
      <c r="K408" s="1" t="s">
        <v>685</v>
      </c>
      <c r="L408" s="1" t="s">
        <v>695</v>
      </c>
      <c r="M408" s="24" t="s">
        <v>2270</v>
      </c>
      <c r="O408" s="84"/>
    </row>
    <row r="409">
      <c r="A409" s="86" t="s">
        <v>2643</v>
      </c>
      <c r="B409" s="58" t="s">
        <v>1219</v>
      </c>
      <c r="C409" s="58" t="s">
        <v>715</v>
      </c>
      <c r="D409" s="92" t="s">
        <v>2644</v>
      </c>
      <c r="E409" s="24" t="str">
        <f>IF(ISNA(MATCH(A409, 'A-Z player stats'!A:A, 0)), "Delete", "Keep")</f>
        <v>Delete</v>
      </c>
      <c r="I409" s="7" t="s">
        <v>2643</v>
      </c>
      <c r="J409" s="1" t="s">
        <v>1219</v>
      </c>
      <c r="K409" s="1" t="s">
        <v>715</v>
      </c>
      <c r="L409" s="1" t="s">
        <v>671</v>
      </c>
      <c r="M409" s="24" t="s">
        <v>2270</v>
      </c>
    </row>
    <row r="410">
      <c r="A410" s="86" t="s">
        <v>575</v>
      </c>
      <c r="B410" s="58" t="s">
        <v>1464</v>
      </c>
      <c r="C410" s="58" t="s">
        <v>678</v>
      </c>
      <c r="D410" s="91" t="s">
        <v>677</v>
      </c>
      <c r="E410" s="24" t="str">
        <f>IF(ISNA(MATCH(A410, 'A-Z player stats'!A:A, 0)), "Delete", "Keep")</f>
        <v>Keep</v>
      </c>
      <c r="F410" s="7"/>
      <c r="G410" s="7"/>
      <c r="H410" s="7"/>
      <c r="I410" s="7" t="s">
        <v>575</v>
      </c>
      <c r="J410" s="1" t="s">
        <v>1464</v>
      </c>
      <c r="K410" s="1" t="s">
        <v>678</v>
      </c>
      <c r="L410" s="24" t="s">
        <v>677</v>
      </c>
      <c r="M410" s="24" t="s">
        <v>2267</v>
      </c>
      <c r="O410" s="84"/>
    </row>
    <row r="411">
      <c r="A411" s="86" t="s">
        <v>577</v>
      </c>
      <c r="B411" s="58" t="s">
        <v>2185</v>
      </c>
      <c r="C411" s="58" t="s">
        <v>729</v>
      </c>
      <c r="D411" s="78" t="s">
        <v>2645</v>
      </c>
      <c r="E411" s="24" t="str">
        <f>IF(ISNA(MATCH(A411, 'A-Z player stats'!A:A, 0)), "Delete", "Keep")</f>
        <v>Keep</v>
      </c>
      <c r="F411" s="50"/>
      <c r="I411" s="7" t="s">
        <v>577</v>
      </c>
      <c r="J411" s="99" t="s">
        <v>2185</v>
      </c>
      <c r="K411" s="99" t="s">
        <v>729</v>
      </c>
      <c r="L411" s="1" t="s">
        <v>707</v>
      </c>
      <c r="M411" s="24" t="s">
        <v>2267</v>
      </c>
    </row>
    <row r="412">
      <c r="A412" s="86" t="s">
        <v>579</v>
      </c>
      <c r="B412" s="58" t="s">
        <v>1743</v>
      </c>
      <c r="C412" s="58" t="s">
        <v>704</v>
      </c>
      <c r="D412" s="92" t="s">
        <v>2646</v>
      </c>
      <c r="E412" s="24" t="str">
        <f>IF(ISNA(MATCH(A412, 'A-Z player stats'!A:A, 0)), "Delete", "Keep")</f>
        <v>Keep</v>
      </c>
      <c r="I412" s="7" t="s">
        <v>579</v>
      </c>
      <c r="J412" s="1" t="s">
        <v>1743</v>
      </c>
      <c r="K412" s="1" t="s">
        <v>704</v>
      </c>
      <c r="L412" s="1" t="s">
        <v>695</v>
      </c>
      <c r="M412" s="24" t="s">
        <v>2267</v>
      </c>
    </row>
    <row r="413">
      <c r="A413" s="86" t="s">
        <v>2647</v>
      </c>
      <c r="B413" s="58" t="s">
        <v>2022</v>
      </c>
      <c r="C413" s="58" t="s">
        <v>698</v>
      </c>
      <c r="D413" s="79" t="s">
        <v>701</v>
      </c>
      <c r="E413" s="24" t="str">
        <f>IF(ISNA(MATCH(A413, 'A-Z player stats'!A:A, 0)), "Delete", "Keep")</f>
        <v>Delete</v>
      </c>
      <c r="F413" s="7"/>
      <c r="G413" s="7"/>
      <c r="H413" s="7"/>
      <c r="I413" s="7" t="s">
        <v>2647</v>
      </c>
      <c r="J413" s="1" t="s">
        <v>2022</v>
      </c>
      <c r="K413" s="1" t="s">
        <v>698</v>
      </c>
      <c r="L413" s="24" t="s">
        <v>701</v>
      </c>
      <c r="M413" s="24" t="s">
        <v>2270</v>
      </c>
      <c r="O413" s="84"/>
    </row>
    <row r="414">
      <c r="A414" s="86" t="s">
        <v>581</v>
      </c>
      <c r="B414" s="58" t="s">
        <v>1230</v>
      </c>
      <c r="C414" s="58" t="s">
        <v>678</v>
      </c>
      <c r="D414" s="92" t="s">
        <v>2648</v>
      </c>
      <c r="E414" s="24" t="str">
        <f>IF(ISNA(MATCH(A414, 'A-Z player stats'!A:A, 0)), "Delete", "Keep")</f>
        <v>Keep</v>
      </c>
      <c r="I414" s="7" t="s">
        <v>581</v>
      </c>
      <c r="J414" s="1" t="s">
        <v>1230</v>
      </c>
      <c r="K414" s="1" t="s">
        <v>678</v>
      </c>
      <c r="L414" s="1" t="s">
        <v>695</v>
      </c>
      <c r="M414" s="24" t="s">
        <v>2267</v>
      </c>
    </row>
    <row r="415">
      <c r="A415" s="86" t="s">
        <v>583</v>
      </c>
      <c r="B415" s="58" t="s">
        <v>1412</v>
      </c>
      <c r="C415" s="58" t="s">
        <v>810</v>
      </c>
      <c r="D415" s="91" t="s">
        <v>700</v>
      </c>
      <c r="E415" s="24" t="str">
        <f>IF(ISNA(MATCH(A415, 'A-Z player stats'!A:A, 0)), "Delete", "Keep")</f>
        <v>Keep</v>
      </c>
      <c r="I415" s="7" t="s">
        <v>583</v>
      </c>
      <c r="J415" s="1" t="s">
        <v>1412</v>
      </c>
      <c r="K415" s="1" t="s">
        <v>810</v>
      </c>
      <c r="L415" s="24" t="s">
        <v>700</v>
      </c>
      <c r="M415" s="24" t="s">
        <v>2267</v>
      </c>
    </row>
    <row r="416">
      <c r="A416" s="86" t="s">
        <v>585</v>
      </c>
      <c r="B416" s="58" t="s">
        <v>1833</v>
      </c>
      <c r="C416" s="58" t="s">
        <v>719</v>
      </c>
      <c r="D416" s="81" t="s">
        <v>2649</v>
      </c>
      <c r="E416" s="24" t="str">
        <f>IF(ISNA(MATCH(A416, 'A-Z player stats'!A:A, 0)), "Delete", "Keep")</f>
        <v>Keep</v>
      </c>
      <c r="I416" s="7" t="s">
        <v>585</v>
      </c>
      <c r="J416" s="1" t="s">
        <v>1833</v>
      </c>
      <c r="K416" s="1" t="s">
        <v>719</v>
      </c>
      <c r="L416" s="1" t="s">
        <v>668</v>
      </c>
      <c r="M416" s="24" t="s">
        <v>2267</v>
      </c>
    </row>
    <row r="417">
      <c r="A417" s="86" t="s">
        <v>2650</v>
      </c>
      <c r="B417" s="58" t="s">
        <v>1457</v>
      </c>
      <c r="C417" s="58" t="s">
        <v>690</v>
      </c>
      <c r="D417" s="78" t="s">
        <v>2651</v>
      </c>
      <c r="E417" s="24" t="str">
        <f>IF(ISNA(MATCH(A417, 'A-Z player stats'!A:A, 0)), "Delete", "Keep")</f>
        <v>Delete</v>
      </c>
      <c r="F417" s="50"/>
      <c r="I417" s="7" t="s">
        <v>2650</v>
      </c>
      <c r="J417" s="99" t="s">
        <v>1457</v>
      </c>
      <c r="K417" s="99" t="s">
        <v>690</v>
      </c>
      <c r="L417" s="1" t="s">
        <v>668</v>
      </c>
      <c r="M417" s="24" t="s">
        <v>2270</v>
      </c>
    </row>
    <row r="418">
      <c r="A418" s="86" t="s">
        <v>587</v>
      </c>
      <c r="B418" s="58" t="s">
        <v>1746</v>
      </c>
      <c r="C418" s="58" t="s">
        <v>688</v>
      </c>
      <c r="D418" s="91" t="s">
        <v>697</v>
      </c>
      <c r="E418" s="24" t="str">
        <f>IF(ISNA(MATCH(A418, 'A-Z player stats'!A:A, 0)), "Delete", "Keep")</f>
        <v>Keep</v>
      </c>
      <c r="I418" s="7" t="s">
        <v>587</v>
      </c>
      <c r="J418" s="1" t="s">
        <v>1746</v>
      </c>
      <c r="K418" s="1" t="s">
        <v>688</v>
      </c>
      <c r="L418" s="24" t="s">
        <v>697</v>
      </c>
      <c r="M418" s="24" t="s">
        <v>2267</v>
      </c>
    </row>
    <row r="419">
      <c r="A419" s="86" t="s">
        <v>590</v>
      </c>
      <c r="B419" s="58" t="s">
        <v>1298</v>
      </c>
      <c r="C419" s="58" t="s">
        <v>685</v>
      </c>
      <c r="D419" s="81" t="s">
        <v>2652</v>
      </c>
      <c r="E419" s="24" t="str">
        <f>IF(ISNA(MATCH(A419, 'A-Z player stats'!A:A, 0)), "Delete", "Keep")</f>
        <v>Keep</v>
      </c>
      <c r="I419" s="7" t="s">
        <v>590</v>
      </c>
      <c r="J419" s="1" t="s">
        <v>1298</v>
      </c>
      <c r="K419" s="1" t="s">
        <v>685</v>
      </c>
      <c r="L419" s="1" t="s">
        <v>687</v>
      </c>
      <c r="M419" s="24" t="s">
        <v>2267</v>
      </c>
    </row>
    <row r="420">
      <c r="A420" s="86" t="s">
        <v>2653</v>
      </c>
      <c r="B420" s="58" t="s">
        <v>1133</v>
      </c>
      <c r="C420" s="58" t="s">
        <v>719</v>
      </c>
      <c r="D420" s="91" t="s">
        <v>700</v>
      </c>
      <c r="E420" s="24" t="str">
        <f>IF(ISNA(MATCH(A420, 'A-Z player stats'!A:A, 0)), "Delete", "Keep")</f>
        <v>Delete</v>
      </c>
      <c r="I420" s="7" t="s">
        <v>2653</v>
      </c>
      <c r="J420" s="1" t="s">
        <v>1133</v>
      </c>
      <c r="K420" s="1" t="s">
        <v>719</v>
      </c>
      <c r="L420" s="24" t="s">
        <v>700</v>
      </c>
      <c r="M420" s="24" t="s">
        <v>2270</v>
      </c>
    </row>
    <row r="421">
      <c r="A421" s="86" t="s">
        <v>2654</v>
      </c>
      <c r="B421" s="58" t="s">
        <v>1139</v>
      </c>
      <c r="C421" s="58" t="s">
        <v>722</v>
      </c>
      <c r="D421" s="91" t="s">
        <v>691</v>
      </c>
      <c r="E421" s="24" t="str">
        <f>IF(ISNA(MATCH(A421, 'A-Z player stats'!A:A, 0)), "Delete", "Keep")</f>
        <v>Delete</v>
      </c>
      <c r="F421" s="50"/>
      <c r="I421" s="7" t="s">
        <v>2654</v>
      </c>
      <c r="J421" s="99" t="s">
        <v>1139</v>
      </c>
      <c r="K421" s="99" t="s">
        <v>722</v>
      </c>
      <c r="L421" s="24" t="s">
        <v>691</v>
      </c>
      <c r="M421" s="24" t="s">
        <v>2270</v>
      </c>
    </row>
    <row r="422">
      <c r="A422" s="86" t="s">
        <v>2655</v>
      </c>
      <c r="B422" s="58" t="s">
        <v>1164</v>
      </c>
      <c r="C422" s="58" t="s">
        <v>690</v>
      </c>
      <c r="D422" s="92" t="s">
        <v>2656</v>
      </c>
      <c r="E422" s="24" t="str">
        <f>IF(ISNA(MATCH(A422, 'A-Z player stats'!A:A, 0)), "Delete", "Keep")</f>
        <v>Delete</v>
      </c>
      <c r="I422" s="7" t="s">
        <v>2655</v>
      </c>
      <c r="J422" s="1" t="s">
        <v>1164</v>
      </c>
      <c r="K422" s="1" t="s">
        <v>690</v>
      </c>
      <c r="L422" s="1" t="s">
        <v>695</v>
      </c>
      <c r="M422" s="24" t="s">
        <v>2270</v>
      </c>
    </row>
    <row r="423">
      <c r="A423" s="86" t="s">
        <v>592</v>
      </c>
      <c r="B423" s="58" t="s">
        <v>1664</v>
      </c>
      <c r="C423" s="58" t="s">
        <v>810</v>
      </c>
      <c r="D423" s="91" t="s">
        <v>677</v>
      </c>
      <c r="E423" s="24" t="str">
        <f>IF(ISNA(MATCH(A423, 'A-Z player stats'!A:A, 0)), "Delete", "Keep")</f>
        <v>Keep</v>
      </c>
      <c r="F423" s="7"/>
      <c r="G423" s="7"/>
      <c r="H423" s="7"/>
      <c r="I423" s="7" t="s">
        <v>592</v>
      </c>
      <c r="J423" s="1" t="s">
        <v>1664</v>
      </c>
      <c r="K423" s="1" t="s">
        <v>810</v>
      </c>
      <c r="L423" s="24" t="s">
        <v>677</v>
      </c>
      <c r="M423" s="24" t="s">
        <v>2267</v>
      </c>
      <c r="O423" s="84"/>
    </row>
    <row r="424">
      <c r="A424" s="86" t="s">
        <v>2657</v>
      </c>
      <c r="B424" s="58" t="s">
        <v>1664</v>
      </c>
      <c r="C424" s="58" t="s">
        <v>810</v>
      </c>
      <c r="D424" s="79" t="s">
        <v>697</v>
      </c>
      <c r="E424" s="24" t="str">
        <f>IF(ISNA(MATCH(A424, 'A-Z player stats'!A:A, 0)), "Delete", "Keep")</f>
        <v>Delete</v>
      </c>
      <c r="I424" s="7" t="s">
        <v>2657</v>
      </c>
      <c r="J424" s="1" t="s">
        <v>1664</v>
      </c>
      <c r="K424" s="1" t="s">
        <v>810</v>
      </c>
      <c r="L424" s="24" t="s">
        <v>697</v>
      </c>
      <c r="M424" s="24" t="s">
        <v>2270</v>
      </c>
    </row>
    <row r="425">
      <c r="A425" s="86" t="s">
        <v>594</v>
      </c>
      <c r="B425" s="58" t="s">
        <v>1501</v>
      </c>
      <c r="C425" s="58" t="s">
        <v>810</v>
      </c>
      <c r="D425" s="79" t="s">
        <v>697</v>
      </c>
      <c r="E425" s="24" t="str">
        <f>IF(ISNA(MATCH(A425, 'A-Z player stats'!A:A, 0)), "Delete", "Keep")</f>
        <v>Keep</v>
      </c>
      <c r="I425" s="7" t="s">
        <v>594</v>
      </c>
      <c r="J425" s="1" t="s">
        <v>1501</v>
      </c>
      <c r="K425" s="1" t="s">
        <v>810</v>
      </c>
      <c r="L425" s="24" t="s">
        <v>697</v>
      </c>
      <c r="M425" s="24" t="s">
        <v>2267</v>
      </c>
    </row>
    <row r="426">
      <c r="A426" s="86" t="s">
        <v>596</v>
      </c>
      <c r="B426" s="58" t="s">
        <v>1684</v>
      </c>
      <c r="C426" s="58" t="s">
        <v>698</v>
      </c>
      <c r="D426" s="79" t="s">
        <v>697</v>
      </c>
      <c r="E426" s="24" t="str">
        <f>IF(ISNA(MATCH(A426, 'A-Z player stats'!A:A, 0)), "Delete", "Keep")</f>
        <v>Keep</v>
      </c>
      <c r="I426" s="7" t="s">
        <v>596</v>
      </c>
      <c r="J426" s="1" t="s">
        <v>1684</v>
      </c>
      <c r="K426" s="1" t="s">
        <v>698</v>
      </c>
      <c r="L426" s="24" t="s">
        <v>697</v>
      </c>
      <c r="M426" s="24" t="s">
        <v>2267</v>
      </c>
    </row>
    <row r="427">
      <c r="A427" s="86" t="s">
        <v>600</v>
      </c>
      <c r="B427" s="58" t="s">
        <v>1691</v>
      </c>
      <c r="C427" s="58" t="s">
        <v>715</v>
      </c>
      <c r="D427" s="81" t="s">
        <v>2658</v>
      </c>
      <c r="E427" s="24" t="str">
        <f>IF(ISNA(MATCH(A427, 'A-Z player stats'!A:A, 0)), "Delete", "Keep")</f>
        <v>Keep</v>
      </c>
      <c r="I427" s="7" t="s">
        <v>600</v>
      </c>
      <c r="J427" s="1" t="s">
        <v>1691</v>
      </c>
      <c r="K427" s="1" t="s">
        <v>715</v>
      </c>
      <c r="L427" s="1" t="s">
        <v>733</v>
      </c>
      <c r="M427" s="24" t="s">
        <v>2267</v>
      </c>
    </row>
    <row r="428">
      <c r="A428" s="86" t="s">
        <v>603</v>
      </c>
      <c r="B428" s="58" t="s">
        <v>1706</v>
      </c>
      <c r="C428" s="58" t="s">
        <v>698</v>
      </c>
      <c r="D428" s="81" t="s">
        <v>2659</v>
      </c>
      <c r="E428" s="24" t="str">
        <f>IF(ISNA(MATCH(A428, 'A-Z player stats'!A:A, 0)), "Delete", "Keep")</f>
        <v>Keep</v>
      </c>
      <c r="I428" s="7" t="s">
        <v>603</v>
      </c>
      <c r="J428" s="1" t="s">
        <v>1706</v>
      </c>
      <c r="K428" s="1" t="s">
        <v>698</v>
      </c>
      <c r="L428" s="1" t="s">
        <v>668</v>
      </c>
      <c r="M428" s="24" t="s">
        <v>2267</v>
      </c>
    </row>
    <row r="429">
      <c r="A429" s="86" t="s">
        <v>2660</v>
      </c>
      <c r="B429" s="58" t="s">
        <v>2066</v>
      </c>
      <c r="C429" s="58" t="s">
        <v>718</v>
      </c>
      <c r="D429" s="81" t="s">
        <v>2661</v>
      </c>
      <c r="E429" s="24" t="str">
        <f>IF(ISNA(MATCH(A429, 'A-Z player stats'!A:A, 0)), "Delete", "Keep")</f>
        <v>Delete</v>
      </c>
      <c r="I429" s="7" t="s">
        <v>2660</v>
      </c>
      <c r="J429" s="1" t="s">
        <v>2066</v>
      </c>
      <c r="K429" s="1" t="s">
        <v>718</v>
      </c>
      <c r="L429" s="1" t="s">
        <v>668</v>
      </c>
      <c r="M429" s="24" t="s">
        <v>2270</v>
      </c>
    </row>
    <row r="430">
      <c r="A430" s="86" t="s">
        <v>605</v>
      </c>
      <c r="B430" s="58" t="s">
        <v>2018</v>
      </c>
      <c r="C430" s="58" t="s">
        <v>673</v>
      </c>
      <c r="D430" s="79" t="s">
        <v>708</v>
      </c>
      <c r="E430" s="24" t="str">
        <f>IF(ISNA(MATCH(A430, 'A-Z player stats'!A:A, 0)), "Delete", "Keep")</f>
        <v>Keep</v>
      </c>
      <c r="I430" s="7" t="s">
        <v>605</v>
      </c>
      <c r="J430" s="1" t="s">
        <v>2018</v>
      </c>
      <c r="K430" s="1" t="s">
        <v>673</v>
      </c>
      <c r="L430" s="24" t="s">
        <v>708</v>
      </c>
      <c r="M430" s="24" t="s">
        <v>2267</v>
      </c>
    </row>
    <row r="431">
      <c r="A431" s="86" t="s">
        <v>2662</v>
      </c>
      <c r="B431" s="58" t="s">
        <v>1931</v>
      </c>
      <c r="C431" s="58" t="s">
        <v>698</v>
      </c>
      <c r="D431" s="89" t="s">
        <v>2663</v>
      </c>
      <c r="E431" s="24" t="str">
        <f>IF(ISNA(MATCH(A431, 'A-Z player stats'!A:A, 0)), "Delete", "Keep")</f>
        <v>Delete</v>
      </c>
      <c r="F431" s="7"/>
      <c r="G431" s="7"/>
      <c r="H431" s="7"/>
      <c r="I431" s="7" t="s">
        <v>2662</v>
      </c>
      <c r="J431" s="1" t="s">
        <v>1931</v>
      </c>
      <c r="K431" s="1" t="s">
        <v>698</v>
      </c>
      <c r="L431" s="1" t="s">
        <v>711</v>
      </c>
      <c r="M431" s="24" t="s">
        <v>2270</v>
      </c>
      <c r="N431" s="7"/>
      <c r="O431" s="82"/>
    </row>
    <row r="432">
      <c r="A432" s="86" t="s">
        <v>2664</v>
      </c>
      <c r="B432" s="58" t="s">
        <v>1931</v>
      </c>
      <c r="C432" s="58" t="s">
        <v>698</v>
      </c>
      <c r="D432" s="92" t="s">
        <v>2665</v>
      </c>
      <c r="E432" s="24" t="str">
        <f>IF(ISNA(MATCH(A432, 'A-Z player stats'!A:A, 0)), "Delete", "Keep")</f>
        <v>Delete</v>
      </c>
      <c r="I432" s="7" t="s">
        <v>2664</v>
      </c>
      <c r="J432" s="1" t="s">
        <v>1931</v>
      </c>
      <c r="K432" s="1" t="s">
        <v>698</v>
      </c>
      <c r="L432" s="1" t="s">
        <v>711</v>
      </c>
      <c r="M432" s="24" t="s">
        <v>2270</v>
      </c>
    </row>
    <row r="433">
      <c r="A433" s="86" t="s">
        <v>2666</v>
      </c>
      <c r="B433" s="58" t="s">
        <v>1838</v>
      </c>
      <c r="C433" s="58" t="s">
        <v>720</v>
      </c>
      <c r="D433" s="78" t="s">
        <v>2667</v>
      </c>
      <c r="E433" s="24" t="str">
        <f>IF(ISNA(MATCH(A433, 'A-Z player stats'!A:A, 0)), "Delete", "Keep")</f>
        <v>Delete</v>
      </c>
      <c r="F433" s="7"/>
      <c r="G433" s="7"/>
      <c r="H433" s="7"/>
      <c r="I433" s="7" t="s">
        <v>2666</v>
      </c>
      <c r="J433" s="1" t="s">
        <v>1838</v>
      </c>
      <c r="K433" s="1" t="s">
        <v>720</v>
      </c>
      <c r="L433" s="1" t="s">
        <v>716</v>
      </c>
      <c r="M433" s="24" t="s">
        <v>2270</v>
      </c>
      <c r="O433" s="84"/>
    </row>
    <row r="434">
      <c r="A434" s="86" t="s">
        <v>2668</v>
      </c>
      <c r="B434" s="58" t="s">
        <v>1905</v>
      </c>
      <c r="C434" s="58" t="s">
        <v>682</v>
      </c>
      <c r="D434" s="78" t="s">
        <v>2669</v>
      </c>
      <c r="E434" s="24" t="str">
        <f>IF(ISNA(MATCH(A434, 'A-Z player stats'!A:A, 0)), "Delete", "Keep")</f>
        <v>Delete</v>
      </c>
      <c r="F434" s="7"/>
      <c r="G434" s="7"/>
      <c r="H434" s="7"/>
      <c r="I434" s="7" t="s">
        <v>2668</v>
      </c>
      <c r="J434" s="1" t="s">
        <v>1905</v>
      </c>
      <c r="K434" s="1" t="s">
        <v>682</v>
      </c>
      <c r="L434" s="1" t="s">
        <v>711</v>
      </c>
      <c r="M434" s="24" t="s">
        <v>2270</v>
      </c>
      <c r="N434" s="7"/>
      <c r="O434" s="82"/>
    </row>
    <row r="435">
      <c r="A435" s="86" t="s">
        <v>2670</v>
      </c>
      <c r="B435" s="58" t="s">
        <v>1139</v>
      </c>
      <c r="C435" s="58" t="s">
        <v>810</v>
      </c>
      <c r="D435" s="79" t="s">
        <v>700</v>
      </c>
      <c r="E435" s="24" t="str">
        <f>IF(ISNA(MATCH(A435, 'A-Z player stats'!A:A, 0)), "Delete", "Keep")</f>
        <v>Delete</v>
      </c>
      <c r="I435" s="7" t="s">
        <v>2670</v>
      </c>
      <c r="J435" s="1" t="s">
        <v>1139</v>
      </c>
      <c r="K435" s="1" t="s">
        <v>810</v>
      </c>
      <c r="L435" s="24" t="s">
        <v>700</v>
      </c>
      <c r="M435" s="24" t="s">
        <v>2270</v>
      </c>
    </row>
    <row r="436">
      <c r="A436" s="86" t="s">
        <v>607</v>
      </c>
      <c r="B436" s="58" t="s">
        <v>1616</v>
      </c>
      <c r="C436" s="58" t="s">
        <v>688</v>
      </c>
      <c r="D436" s="91" t="s">
        <v>697</v>
      </c>
      <c r="E436" s="24" t="str">
        <f>IF(ISNA(MATCH(A436, 'A-Z player stats'!A:A, 0)), "Delete", "Keep")</f>
        <v>Keep</v>
      </c>
      <c r="I436" s="7" t="s">
        <v>607</v>
      </c>
      <c r="J436" s="1" t="s">
        <v>1616</v>
      </c>
      <c r="K436" s="1" t="s">
        <v>688</v>
      </c>
      <c r="L436" s="24" t="s">
        <v>697</v>
      </c>
      <c r="M436" s="24" t="s">
        <v>2267</v>
      </c>
    </row>
    <row r="437">
      <c r="A437" s="86" t="s">
        <v>2671</v>
      </c>
      <c r="B437" s="58" t="s">
        <v>1889</v>
      </c>
      <c r="C437" s="58" t="s">
        <v>810</v>
      </c>
      <c r="D437" s="91" t="s">
        <v>706</v>
      </c>
      <c r="E437" s="24" t="str">
        <f>IF(ISNA(MATCH(A437, 'A-Z player stats'!A:A, 0)), "Delete", "Keep")</f>
        <v>Delete</v>
      </c>
      <c r="I437" s="7" t="s">
        <v>2671</v>
      </c>
      <c r="J437" s="1" t="s">
        <v>1889</v>
      </c>
      <c r="K437" s="1" t="s">
        <v>810</v>
      </c>
      <c r="L437" s="24" t="s">
        <v>706</v>
      </c>
      <c r="M437" s="24" t="s">
        <v>2270</v>
      </c>
    </row>
    <row r="438">
      <c r="A438" s="86" t="s">
        <v>612</v>
      </c>
      <c r="B438" s="58" t="s">
        <v>1238</v>
      </c>
      <c r="C438" s="58" t="s">
        <v>688</v>
      </c>
      <c r="D438" s="83" t="s">
        <v>702</v>
      </c>
      <c r="E438" s="24" t="str">
        <f>IF(ISNA(MATCH(A438, 'A-Z player stats'!A:A, 0)), "Delete", "Keep")</f>
        <v>Keep</v>
      </c>
      <c r="F438" s="7"/>
      <c r="G438" s="7"/>
      <c r="H438" s="7"/>
      <c r="I438" s="7" t="s">
        <v>612</v>
      </c>
      <c r="J438" s="1" t="s">
        <v>1238</v>
      </c>
      <c r="K438" s="1" t="s">
        <v>688</v>
      </c>
      <c r="L438" s="24" t="s">
        <v>702</v>
      </c>
      <c r="M438" s="24" t="s">
        <v>2267</v>
      </c>
      <c r="O438" s="84"/>
    </row>
    <row r="439">
      <c r="A439" s="86" t="s">
        <v>614</v>
      </c>
      <c r="B439" s="58" t="s">
        <v>1238</v>
      </c>
      <c r="C439" s="58" t="s">
        <v>688</v>
      </c>
      <c r="D439" s="91" t="s">
        <v>677</v>
      </c>
      <c r="E439" s="24" t="str">
        <f>IF(ISNA(MATCH(A439, 'A-Z player stats'!A:A, 0)), "Delete", "Keep")</f>
        <v>Keep</v>
      </c>
      <c r="F439" s="7"/>
      <c r="G439" s="7"/>
      <c r="H439" s="7"/>
      <c r="I439" s="7" t="s">
        <v>614</v>
      </c>
      <c r="J439" s="1" t="s">
        <v>1238</v>
      </c>
      <c r="K439" s="1" t="s">
        <v>688</v>
      </c>
      <c r="L439" s="24" t="s">
        <v>677</v>
      </c>
      <c r="M439" s="24" t="s">
        <v>2267</v>
      </c>
      <c r="N439" s="7"/>
      <c r="O439" s="82"/>
    </row>
    <row r="440">
      <c r="A440" s="86" t="s">
        <v>616</v>
      </c>
      <c r="B440" s="58" t="s">
        <v>2166</v>
      </c>
      <c r="C440" s="58" t="s">
        <v>734</v>
      </c>
      <c r="D440" s="91" t="s">
        <v>691</v>
      </c>
      <c r="E440" s="24" t="str">
        <f>IF(ISNA(MATCH(A440, 'A-Z player stats'!A:A, 0)), "Delete", "Keep")</f>
        <v>Keep</v>
      </c>
      <c r="F440" s="50"/>
      <c r="I440" s="7" t="s">
        <v>616</v>
      </c>
      <c r="J440" s="99" t="s">
        <v>2166</v>
      </c>
      <c r="K440" s="99" t="s">
        <v>734</v>
      </c>
      <c r="L440" s="24" t="s">
        <v>691</v>
      </c>
      <c r="M440" s="24" t="s">
        <v>2267</v>
      </c>
    </row>
    <row r="441">
      <c r="A441" s="86" t="s">
        <v>2672</v>
      </c>
      <c r="B441" s="58" t="s">
        <v>1139</v>
      </c>
      <c r="C441" s="58" t="s">
        <v>810</v>
      </c>
      <c r="D441" s="95" t="s">
        <v>702</v>
      </c>
      <c r="E441" s="24" t="str">
        <f>IF(ISNA(MATCH(A441, 'A-Z player stats'!A:A, 0)), "Delete", "Keep")</f>
        <v>Delete</v>
      </c>
      <c r="F441" s="7"/>
      <c r="G441" s="7"/>
      <c r="H441" s="7"/>
      <c r="I441" s="7" t="s">
        <v>2672</v>
      </c>
      <c r="J441" s="1" t="s">
        <v>1139</v>
      </c>
      <c r="K441" s="1" t="s">
        <v>810</v>
      </c>
      <c r="L441" s="24" t="s">
        <v>702</v>
      </c>
      <c r="M441" s="24" t="s">
        <v>2270</v>
      </c>
      <c r="N441" s="7"/>
      <c r="O441" s="82"/>
    </row>
    <row r="442">
      <c r="A442" s="86" t="s">
        <v>2673</v>
      </c>
      <c r="B442" s="58" t="s">
        <v>1493</v>
      </c>
      <c r="C442" s="58" t="s">
        <v>810</v>
      </c>
      <c r="D442" s="79" t="s">
        <v>697</v>
      </c>
      <c r="E442" s="24" t="str">
        <f>IF(ISNA(MATCH(A442, 'A-Z player stats'!A:A, 0)), "Delete", "Keep")</f>
        <v>Delete</v>
      </c>
      <c r="I442" s="7" t="s">
        <v>2673</v>
      </c>
      <c r="J442" s="1" t="s">
        <v>1493</v>
      </c>
      <c r="K442" s="1" t="s">
        <v>810</v>
      </c>
      <c r="L442" s="24" t="s">
        <v>697</v>
      </c>
      <c r="M442" s="24" t="s">
        <v>2270</v>
      </c>
    </row>
    <row r="443">
      <c r="A443" s="86" t="s">
        <v>2674</v>
      </c>
      <c r="B443" s="58" t="s">
        <v>1279</v>
      </c>
      <c r="C443" s="58" t="s">
        <v>673</v>
      </c>
      <c r="D443" s="83" t="s">
        <v>702</v>
      </c>
      <c r="E443" s="24" t="str">
        <f>IF(ISNA(MATCH(A443, 'A-Z player stats'!A:A, 0)), "Delete", "Keep")</f>
        <v>Delete</v>
      </c>
      <c r="F443" s="7"/>
      <c r="G443" s="7"/>
      <c r="H443" s="7"/>
      <c r="I443" s="7" t="s">
        <v>2674</v>
      </c>
      <c r="J443" s="1" t="s">
        <v>1279</v>
      </c>
      <c r="K443" s="1" t="s">
        <v>673</v>
      </c>
      <c r="L443" s="24" t="s">
        <v>702</v>
      </c>
      <c r="M443" s="24" t="s">
        <v>2270</v>
      </c>
      <c r="N443" s="7"/>
      <c r="O443" s="82"/>
    </row>
    <row r="444">
      <c r="A444" s="86" t="s">
        <v>2675</v>
      </c>
      <c r="B444" s="58" t="s">
        <v>1390</v>
      </c>
      <c r="C444" s="58" t="s">
        <v>688</v>
      </c>
      <c r="D444" s="79" t="s">
        <v>702</v>
      </c>
      <c r="E444" s="24" t="str">
        <f>IF(ISNA(MATCH(A444, 'A-Z player stats'!A:A, 0)), "Delete", "Keep")</f>
        <v>Delete</v>
      </c>
      <c r="I444" s="7" t="s">
        <v>2675</v>
      </c>
      <c r="J444" s="1" t="s">
        <v>1390</v>
      </c>
      <c r="K444" s="1" t="s">
        <v>688</v>
      </c>
      <c r="L444" s="24" t="s">
        <v>702</v>
      </c>
      <c r="M444" s="24" t="s">
        <v>2270</v>
      </c>
    </row>
    <row r="445">
      <c r="A445" s="86" t="s">
        <v>2676</v>
      </c>
      <c r="B445" s="58" t="s">
        <v>1293</v>
      </c>
      <c r="C445" s="58" t="s">
        <v>810</v>
      </c>
      <c r="D445" s="79" t="s">
        <v>702</v>
      </c>
      <c r="E445" s="24" t="str">
        <f>IF(ISNA(MATCH(A445, 'A-Z player stats'!A:A, 0)), "Delete", "Keep")</f>
        <v>Delete</v>
      </c>
      <c r="I445" s="7" t="s">
        <v>2676</v>
      </c>
      <c r="J445" s="1" t="s">
        <v>1293</v>
      </c>
      <c r="K445" s="1" t="s">
        <v>810</v>
      </c>
      <c r="L445" s="24" t="s">
        <v>702</v>
      </c>
      <c r="M445" s="24" t="s">
        <v>2270</v>
      </c>
    </row>
    <row r="446">
      <c r="A446" s="86" t="s">
        <v>2677</v>
      </c>
      <c r="B446" s="58" t="s">
        <v>1592</v>
      </c>
      <c r="C446" s="58" t="s">
        <v>715</v>
      </c>
      <c r="D446" s="78" t="s">
        <v>2678</v>
      </c>
      <c r="E446" s="24" t="str">
        <f>IF(ISNA(MATCH(A446, 'A-Z player stats'!A:A, 0)), "Delete", "Keep")</f>
        <v>Delete</v>
      </c>
      <c r="F446" s="7"/>
      <c r="G446" s="7"/>
      <c r="H446" s="7"/>
      <c r="I446" s="7" t="s">
        <v>2677</v>
      </c>
      <c r="J446" s="1" t="s">
        <v>1592</v>
      </c>
      <c r="K446" s="1" t="s">
        <v>715</v>
      </c>
      <c r="L446" s="1" t="s">
        <v>668</v>
      </c>
      <c r="M446" s="24" t="s">
        <v>2270</v>
      </c>
      <c r="O446" s="84"/>
    </row>
    <row r="447">
      <c r="A447" s="86" t="s">
        <v>618</v>
      </c>
      <c r="B447" s="58" t="s">
        <v>1592</v>
      </c>
      <c r="C447" s="58" t="s">
        <v>715</v>
      </c>
      <c r="D447" s="92" t="s">
        <v>2679</v>
      </c>
      <c r="E447" s="24" t="str">
        <f>IF(ISNA(MATCH(A447, 'A-Z player stats'!A:A, 0)), "Delete", "Keep")</f>
        <v>Keep</v>
      </c>
      <c r="I447" s="7" t="s">
        <v>618</v>
      </c>
      <c r="J447" s="1" t="s">
        <v>1592</v>
      </c>
      <c r="K447" s="1" t="s">
        <v>715</v>
      </c>
      <c r="L447" s="1" t="s">
        <v>668</v>
      </c>
      <c r="M447" s="24" t="s">
        <v>2267</v>
      </c>
    </row>
    <row r="448">
      <c r="A448" s="86" t="s">
        <v>620</v>
      </c>
      <c r="B448" s="58" t="s">
        <v>1234</v>
      </c>
      <c r="C448" s="58" t="s">
        <v>810</v>
      </c>
      <c r="D448" s="79" t="s">
        <v>700</v>
      </c>
      <c r="E448" s="24" t="str">
        <f>IF(ISNA(MATCH(A448, 'A-Z player stats'!A:A, 0)), "Delete", "Keep")</f>
        <v>Keep</v>
      </c>
      <c r="I448" s="7" t="s">
        <v>620</v>
      </c>
      <c r="J448" s="1" t="s">
        <v>1234</v>
      </c>
      <c r="K448" s="1" t="s">
        <v>810</v>
      </c>
      <c r="L448" s="24" t="s">
        <v>700</v>
      </c>
      <c r="M448" s="24" t="s">
        <v>2267</v>
      </c>
    </row>
    <row r="449">
      <c r="A449" s="86" t="s">
        <v>622</v>
      </c>
      <c r="B449" s="58" t="s">
        <v>1916</v>
      </c>
      <c r="C449" s="58" t="s">
        <v>688</v>
      </c>
      <c r="D449" s="92" t="s">
        <v>2680</v>
      </c>
      <c r="E449" s="24" t="str">
        <f>IF(ISNA(MATCH(A449, 'A-Z player stats'!A:A, 0)), "Delete", "Keep")</f>
        <v>Keep</v>
      </c>
      <c r="I449" s="7" t="s">
        <v>622</v>
      </c>
      <c r="J449" s="1" t="s">
        <v>1916</v>
      </c>
      <c r="K449" s="1" t="s">
        <v>688</v>
      </c>
      <c r="L449" s="1" t="s">
        <v>695</v>
      </c>
      <c r="M449" s="24" t="s">
        <v>2267</v>
      </c>
    </row>
    <row r="450">
      <c r="A450" s="86" t="s">
        <v>2681</v>
      </c>
      <c r="B450" s="58" t="s">
        <v>1155</v>
      </c>
      <c r="C450" s="58" t="s">
        <v>722</v>
      </c>
      <c r="D450" s="81" t="s">
        <v>2682</v>
      </c>
      <c r="E450" s="24" t="str">
        <f>IF(ISNA(MATCH(A450, 'A-Z player stats'!A:A, 0)), "Delete", "Keep")</f>
        <v>Delete</v>
      </c>
      <c r="I450" s="7" t="s">
        <v>2681</v>
      </c>
      <c r="J450" s="1" t="s">
        <v>1155</v>
      </c>
      <c r="K450" s="1" t="s">
        <v>722</v>
      </c>
      <c r="L450" s="1" t="s">
        <v>695</v>
      </c>
      <c r="M450" s="24" t="s">
        <v>2270</v>
      </c>
    </row>
    <row r="451">
      <c r="A451" s="86" t="s">
        <v>2683</v>
      </c>
      <c r="B451" s="58" t="s">
        <v>1139</v>
      </c>
      <c r="C451" s="58" t="s">
        <v>810</v>
      </c>
      <c r="D451" s="79" t="s">
        <v>700</v>
      </c>
      <c r="E451" s="24" t="str">
        <f>IF(ISNA(MATCH(A451, 'A-Z player stats'!A:A, 0)), "Delete", "Keep")</f>
        <v>Delete</v>
      </c>
      <c r="I451" s="7" t="s">
        <v>2683</v>
      </c>
      <c r="J451" s="1" t="s">
        <v>1139</v>
      </c>
      <c r="K451" s="1" t="s">
        <v>810</v>
      </c>
      <c r="L451" s="24" t="s">
        <v>700</v>
      </c>
      <c r="M451" s="24" t="s">
        <v>2270</v>
      </c>
    </row>
    <row r="452">
      <c r="A452" s="86" t="s">
        <v>2684</v>
      </c>
      <c r="B452" s="58" t="s">
        <v>1339</v>
      </c>
      <c r="C452" s="58" t="s">
        <v>810</v>
      </c>
      <c r="D452" s="83" t="s">
        <v>702</v>
      </c>
      <c r="E452" s="24" t="str">
        <f>IF(ISNA(MATCH(A452, 'A-Z player stats'!A:A, 0)), "Delete", "Keep")</f>
        <v>Delete</v>
      </c>
      <c r="F452" s="7"/>
      <c r="G452" s="7"/>
      <c r="H452" s="7"/>
      <c r="I452" s="7" t="s">
        <v>2684</v>
      </c>
      <c r="J452" s="1" t="s">
        <v>1339</v>
      </c>
      <c r="K452" s="1" t="s">
        <v>810</v>
      </c>
      <c r="L452" s="24" t="s">
        <v>702</v>
      </c>
      <c r="M452" s="24" t="s">
        <v>2270</v>
      </c>
      <c r="N452" s="7"/>
      <c r="O452" s="82"/>
    </row>
    <row r="453">
      <c r="A453" s="86" t="s">
        <v>624</v>
      </c>
      <c r="B453" s="58" t="s">
        <v>2139</v>
      </c>
      <c r="C453" s="58" t="s">
        <v>670</v>
      </c>
      <c r="D453" s="79" t="s">
        <v>691</v>
      </c>
      <c r="E453" s="24" t="str">
        <f>IF(ISNA(MATCH(A453, 'A-Z player stats'!A:A, 0)), "Delete", "Keep")</f>
        <v>Keep</v>
      </c>
      <c r="F453" s="50"/>
      <c r="I453" s="7" t="s">
        <v>624</v>
      </c>
      <c r="J453" s="99" t="s">
        <v>2139</v>
      </c>
      <c r="K453" s="99" t="s">
        <v>670</v>
      </c>
      <c r="L453" s="24" t="s">
        <v>691</v>
      </c>
      <c r="M453" s="24" t="s">
        <v>2267</v>
      </c>
    </row>
    <row r="454">
      <c r="A454" s="86" t="s">
        <v>2685</v>
      </c>
      <c r="B454" s="58" t="s">
        <v>1139</v>
      </c>
      <c r="C454" s="58" t="s">
        <v>810</v>
      </c>
      <c r="D454" s="79" t="s">
        <v>700</v>
      </c>
      <c r="E454" s="24" t="str">
        <f>IF(ISNA(MATCH(A454, 'A-Z player stats'!A:A, 0)), "Delete", "Keep")</f>
        <v>Delete</v>
      </c>
      <c r="I454" s="7" t="s">
        <v>2685</v>
      </c>
      <c r="J454" s="1" t="s">
        <v>1139</v>
      </c>
      <c r="K454" s="1" t="s">
        <v>810</v>
      </c>
      <c r="L454" s="24" t="s">
        <v>700</v>
      </c>
      <c r="M454" s="24" t="s">
        <v>2270</v>
      </c>
    </row>
    <row r="455">
      <c r="A455" s="86" t="s">
        <v>2686</v>
      </c>
      <c r="B455" s="58" t="s">
        <v>1919</v>
      </c>
      <c r="C455" s="58" t="s">
        <v>690</v>
      </c>
      <c r="D455" s="79" t="s">
        <v>706</v>
      </c>
      <c r="E455" s="24" t="str">
        <f>IF(ISNA(MATCH(A455, 'A-Z player stats'!A:A, 0)), "Delete", "Keep")</f>
        <v>Delete</v>
      </c>
      <c r="I455" s="7" t="s">
        <v>2686</v>
      </c>
      <c r="J455" s="1" t="s">
        <v>1919</v>
      </c>
      <c r="K455" s="1" t="s">
        <v>690</v>
      </c>
      <c r="L455" s="24" t="s">
        <v>706</v>
      </c>
      <c r="M455" s="24" t="s">
        <v>2270</v>
      </c>
    </row>
    <row r="456">
      <c r="A456" s="86" t="s">
        <v>626</v>
      </c>
      <c r="B456" s="58" t="s">
        <v>1926</v>
      </c>
      <c r="C456" s="58" t="s">
        <v>715</v>
      </c>
      <c r="D456" s="89" t="s">
        <v>2687</v>
      </c>
      <c r="E456" s="24" t="str">
        <f>IF(ISNA(MATCH(A456, 'A-Z player stats'!A:A, 0)), "Delete", "Keep")</f>
        <v>Keep</v>
      </c>
      <c r="F456" s="7"/>
      <c r="G456" s="7"/>
      <c r="H456" s="7"/>
      <c r="I456" s="7" t="s">
        <v>626</v>
      </c>
      <c r="J456" s="1" t="s">
        <v>1926</v>
      </c>
      <c r="K456" s="1" t="s">
        <v>715</v>
      </c>
      <c r="L456" s="1" t="s">
        <v>711</v>
      </c>
      <c r="M456" s="24" t="s">
        <v>2267</v>
      </c>
    </row>
    <row r="457">
      <c r="A457" s="86" t="s">
        <v>2688</v>
      </c>
      <c r="B457" s="58" t="s">
        <v>1926</v>
      </c>
      <c r="C457" s="58" t="s">
        <v>715</v>
      </c>
      <c r="D457" s="92" t="s">
        <v>2689</v>
      </c>
      <c r="E457" s="24" t="str">
        <f>IF(ISNA(MATCH(A457, 'A-Z player stats'!A:A, 0)), "Delete", "Keep")</f>
        <v>Delete</v>
      </c>
      <c r="I457" s="7" t="s">
        <v>2688</v>
      </c>
      <c r="J457" s="1" t="s">
        <v>1926</v>
      </c>
      <c r="K457" s="1" t="s">
        <v>715</v>
      </c>
      <c r="L457" s="1" t="s">
        <v>711</v>
      </c>
      <c r="M457" s="24" t="s">
        <v>2270</v>
      </c>
    </row>
    <row r="458">
      <c r="A458" s="86" t="s">
        <v>2690</v>
      </c>
      <c r="B458" s="58" t="s">
        <v>1948</v>
      </c>
      <c r="C458" s="58" t="s">
        <v>670</v>
      </c>
      <c r="D458" s="81" t="s">
        <v>2691</v>
      </c>
      <c r="E458" s="24" t="str">
        <f>IF(ISNA(MATCH(A458, 'A-Z player stats'!A:A, 0)), "Delete", "Keep")</f>
        <v>Delete</v>
      </c>
      <c r="I458" s="7" t="s">
        <v>2690</v>
      </c>
      <c r="J458" s="1" t="s">
        <v>1948</v>
      </c>
      <c r="K458" s="1" t="s">
        <v>670</v>
      </c>
      <c r="L458" s="1" t="s">
        <v>668</v>
      </c>
      <c r="M458" s="24" t="s">
        <v>2270</v>
      </c>
    </row>
    <row r="459">
      <c r="A459" s="86" t="s">
        <v>628</v>
      </c>
      <c r="B459" s="58" t="s">
        <v>1435</v>
      </c>
      <c r="C459" s="58" t="s">
        <v>693</v>
      </c>
      <c r="D459" s="78" t="s">
        <v>2692</v>
      </c>
      <c r="E459" s="24" t="str">
        <f>IF(ISNA(MATCH(A459, 'A-Z player stats'!A:A, 0)), "Delete", "Keep")</f>
        <v>Keep</v>
      </c>
      <c r="I459" s="7" t="s">
        <v>628</v>
      </c>
      <c r="J459" s="1" t="s">
        <v>1435</v>
      </c>
      <c r="K459" s="1" t="s">
        <v>693</v>
      </c>
      <c r="L459" s="1" t="s">
        <v>684</v>
      </c>
      <c r="M459" s="24" t="s">
        <v>2267</v>
      </c>
    </row>
    <row r="460">
      <c r="A460" s="86" t="s">
        <v>2693</v>
      </c>
      <c r="B460" s="58" t="s">
        <v>1981</v>
      </c>
      <c r="C460" s="58" t="s">
        <v>688</v>
      </c>
      <c r="D460" s="92" t="s">
        <v>2694</v>
      </c>
      <c r="E460" s="24" t="str">
        <f>IF(ISNA(MATCH(A460, 'A-Z player stats'!A:A, 0)), "Delete", "Keep")</f>
        <v>Delete</v>
      </c>
      <c r="I460" s="7" t="s">
        <v>2693</v>
      </c>
      <c r="J460" s="1" t="s">
        <v>1981</v>
      </c>
      <c r="K460" s="1" t="s">
        <v>688</v>
      </c>
      <c r="L460" s="1" t="s">
        <v>671</v>
      </c>
      <c r="M460" s="24" t="s">
        <v>2270</v>
      </c>
    </row>
    <row r="461">
      <c r="A461" s="86" t="s">
        <v>632</v>
      </c>
      <c r="B461" s="58" t="s">
        <v>1649</v>
      </c>
      <c r="C461" s="58" t="s">
        <v>698</v>
      </c>
      <c r="D461" s="79" t="s">
        <v>703</v>
      </c>
      <c r="E461" s="24" t="str">
        <f>IF(ISNA(MATCH(A461, 'A-Z player stats'!A:A, 0)), "Delete", "Keep")</f>
        <v>Keep</v>
      </c>
      <c r="I461" s="7" t="s">
        <v>632</v>
      </c>
      <c r="J461" s="1" t="s">
        <v>1649</v>
      </c>
      <c r="K461" s="1" t="s">
        <v>698</v>
      </c>
      <c r="L461" s="24" t="s">
        <v>703</v>
      </c>
      <c r="M461" s="24" t="s">
        <v>2267</v>
      </c>
    </row>
    <row r="462">
      <c r="A462" s="86" t="s">
        <v>634</v>
      </c>
      <c r="B462" s="58" t="s">
        <v>1590</v>
      </c>
      <c r="C462" s="58" t="s">
        <v>810</v>
      </c>
      <c r="D462" s="91" t="s">
        <v>703</v>
      </c>
      <c r="E462" s="24" t="str">
        <f>IF(ISNA(MATCH(A462, 'A-Z player stats'!A:A, 0)), "Delete", "Keep")</f>
        <v>Keep</v>
      </c>
      <c r="I462" s="7" t="s">
        <v>634</v>
      </c>
      <c r="J462" s="1" t="s">
        <v>1590</v>
      </c>
      <c r="K462" s="1" t="s">
        <v>810</v>
      </c>
      <c r="L462" s="24" t="s">
        <v>703</v>
      </c>
      <c r="M462" s="24" t="s">
        <v>2267</v>
      </c>
    </row>
    <row r="463">
      <c r="A463" s="86" t="s">
        <v>2695</v>
      </c>
      <c r="B463" s="58" t="s">
        <v>1122</v>
      </c>
      <c r="C463" s="58" t="s">
        <v>690</v>
      </c>
      <c r="D463" s="81" t="s">
        <v>2696</v>
      </c>
      <c r="E463" s="24" t="str">
        <f>IF(ISNA(MATCH(A463, 'A-Z player stats'!A:A, 0)), "Delete", "Keep")</f>
        <v>Delete</v>
      </c>
      <c r="I463" s="7" t="s">
        <v>2695</v>
      </c>
      <c r="J463" s="1" t="s">
        <v>1122</v>
      </c>
      <c r="K463" s="1" t="s">
        <v>690</v>
      </c>
      <c r="L463" s="1" t="s">
        <v>695</v>
      </c>
      <c r="M463" s="24" t="s">
        <v>2270</v>
      </c>
    </row>
    <row r="464">
      <c r="A464" s="86" t="s">
        <v>2697</v>
      </c>
      <c r="B464" s="58" t="s">
        <v>1893</v>
      </c>
      <c r="C464" s="58" t="s">
        <v>810</v>
      </c>
      <c r="D464" s="91" t="s">
        <v>708</v>
      </c>
      <c r="E464" s="24" t="str">
        <f>IF(ISNA(MATCH(A464, 'A-Z player stats'!A:A, 0)), "Delete", "Keep")</f>
        <v>Delete</v>
      </c>
      <c r="I464" s="7" t="s">
        <v>2697</v>
      </c>
      <c r="J464" s="1" t="s">
        <v>1893</v>
      </c>
      <c r="K464" s="1" t="s">
        <v>810</v>
      </c>
      <c r="L464" s="24" t="s">
        <v>708</v>
      </c>
      <c r="M464" s="24" t="s">
        <v>2270</v>
      </c>
    </row>
    <row r="465">
      <c r="A465" s="86" t="s">
        <v>637</v>
      </c>
      <c r="B465" s="58" t="s">
        <v>1446</v>
      </c>
      <c r="C465" s="58" t="s">
        <v>810</v>
      </c>
      <c r="D465" s="83" t="s">
        <v>702</v>
      </c>
      <c r="E465" s="24" t="str">
        <f>IF(ISNA(MATCH(A465, 'A-Z player stats'!A:A, 0)), "Delete", "Keep")</f>
        <v>Keep</v>
      </c>
      <c r="I465" s="7" t="s">
        <v>637</v>
      </c>
      <c r="J465" s="1" t="s">
        <v>1446</v>
      </c>
      <c r="K465" s="1" t="s">
        <v>810</v>
      </c>
      <c r="L465" s="24" t="s">
        <v>702</v>
      </c>
      <c r="M465" s="24" t="s">
        <v>2267</v>
      </c>
    </row>
    <row r="466">
      <c r="A466" s="86" t="s">
        <v>643</v>
      </c>
      <c r="B466" s="58" t="s">
        <v>2204</v>
      </c>
      <c r="C466" s="58" t="s">
        <v>709</v>
      </c>
      <c r="D466" s="89" t="s">
        <v>2698</v>
      </c>
      <c r="E466" s="24" t="str">
        <f>IF(ISNA(MATCH(A466, 'A-Z player stats'!A:A, 0)), "Delete", "Keep")</f>
        <v>Keep</v>
      </c>
      <c r="F466" s="50"/>
      <c r="I466" s="7" t="s">
        <v>643</v>
      </c>
      <c r="J466" s="99" t="s">
        <v>2204</v>
      </c>
      <c r="K466" s="99" t="s">
        <v>709</v>
      </c>
      <c r="L466" s="1" t="s">
        <v>668</v>
      </c>
      <c r="M466" s="24" t="s">
        <v>2267</v>
      </c>
    </row>
    <row r="467">
      <c r="A467" s="86" t="s">
        <v>2699</v>
      </c>
      <c r="B467" s="58" t="s">
        <v>1317</v>
      </c>
      <c r="C467" s="58" t="s">
        <v>810</v>
      </c>
      <c r="D467" s="79" t="s">
        <v>702</v>
      </c>
      <c r="E467" s="24" t="str">
        <f>IF(ISNA(MATCH(A467, 'A-Z player stats'!A:A, 0)), "Delete", "Keep")</f>
        <v>Delete</v>
      </c>
      <c r="I467" s="7" t="s">
        <v>2699</v>
      </c>
      <c r="J467" s="1" t="s">
        <v>1317</v>
      </c>
      <c r="K467" s="1" t="s">
        <v>810</v>
      </c>
      <c r="L467" s="24" t="s">
        <v>702</v>
      </c>
      <c r="M467" s="24" t="s">
        <v>2270</v>
      </c>
    </row>
    <row r="468">
      <c r="A468" s="86" t="s">
        <v>649</v>
      </c>
      <c r="B468" s="58" t="s">
        <v>1756</v>
      </c>
      <c r="C468" s="58" t="s">
        <v>810</v>
      </c>
      <c r="D468" s="91" t="s">
        <v>697</v>
      </c>
      <c r="E468" s="24" t="str">
        <f>IF(ISNA(MATCH(A468, 'A-Z player stats'!A:A, 0)), "Delete", "Keep")</f>
        <v>Keep</v>
      </c>
      <c r="I468" s="7" t="s">
        <v>649</v>
      </c>
      <c r="J468" s="1" t="s">
        <v>1756</v>
      </c>
      <c r="K468" s="1" t="s">
        <v>810</v>
      </c>
      <c r="L468" s="24" t="s">
        <v>697</v>
      </c>
      <c r="M468" s="24" t="s">
        <v>2267</v>
      </c>
    </row>
    <row r="469">
      <c r="A469" s="86" t="s">
        <v>2700</v>
      </c>
      <c r="B469" s="58" t="s">
        <v>1667</v>
      </c>
      <c r="C469" s="58" t="s">
        <v>810</v>
      </c>
      <c r="D469" s="91" t="s">
        <v>703</v>
      </c>
      <c r="E469" s="24" t="str">
        <f>IF(ISNA(MATCH(A469, 'A-Z player stats'!A:A, 0)), "Delete", "Keep")</f>
        <v>Delete</v>
      </c>
      <c r="I469" s="7" t="s">
        <v>2700</v>
      </c>
      <c r="J469" s="1" t="s">
        <v>1667</v>
      </c>
      <c r="K469" s="1" t="s">
        <v>810</v>
      </c>
      <c r="L469" s="24" t="s">
        <v>703</v>
      </c>
      <c r="M469" s="24" t="s">
        <v>2270</v>
      </c>
    </row>
    <row r="470">
      <c r="A470" s="86" t="s">
        <v>2701</v>
      </c>
      <c r="B470" s="58" t="s">
        <v>2143</v>
      </c>
      <c r="C470" s="58" t="s">
        <v>690</v>
      </c>
      <c r="D470" s="89" t="s">
        <v>2702</v>
      </c>
      <c r="E470" s="24" t="str">
        <f>IF(ISNA(MATCH(A470, 'A-Z player stats'!A:A, 0)), "Delete", "Keep")</f>
        <v>Delete</v>
      </c>
      <c r="F470" s="50"/>
      <c r="I470" s="7" t="s">
        <v>2701</v>
      </c>
      <c r="J470" s="99" t="s">
        <v>2143</v>
      </c>
      <c r="K470" s="99" t="s">
        <v>690</v>
      </c>
      <c r="L470" s="1" t="s">
        <v>694</v>
      </c>
      <c r="M470" s="24" t="s">
        <v>2270</v>
      </c>
    </row>
    <row r="471">
      <c r="A471" s="86" t="s">
        <v>2703</v>
      </c>
      <c r="B471" s="58" t="s">
        <v>1139</v>
      </c>
      <c r="C471" s="58" t="s">
        <v>810</v>
      </c>
      <c r="D471" s="79" t="s">
        <v>697</v>
      </c>
      <c r="E471" s="24" t="str">
        <f>IF(ISNA(MATCH(A471, 'A-Z player stats'!A:A, 0)), "Delete", "Keep")</f>
        <v>Delete</v>
      </c>
      <c r="I471" s="7" t="s">
        <v>2703</v>
      </c>
      <c r="J471" s="1" t="s">
        <v>1139</v>
      </c>
      <c r="K471" s="1" t="s">
        <v>810</v>
      </c>
      <c r="L471" s="24" t="s">
        <v>697</v>
      </c>
      <c r="M471" s="24" t="s">
        <v>2270</v>
      </c>
    </row>
    <row r="472">
      <c r="A472" s="86" t="s">
        <v>651</v>
      </c>
      <c r="B472" s="58" t="s">
        <v>1659</v>
      </c>
      <c r="C472" s="58" t="s">
        <v>698</v>
      </c>
      <c r="D472" s="89" t="s">
        <v>2704</v>
      </c>
      <c r="E472" s="24" t="str">
        <f>IF(ISNA(MATCH(A472, 'A-Z player stats'!A:A, 0)), "Delete", "Keep")</f>
        <v>Keep</v>
      </c>
      <c r="F472" s="50"/>
      <c r="I472" s="7" t="s">
        <v>651</v>
      </c>
      <c r="J472" s="99" t="s">
        <v>1659</v>
      </c>
      <c r="K472" s="99" t="s">
        <v>698</v>
      </c>
      <c r="L472" s="1" t="s">
        <v>668</v>
      </c>
      <c r="M472" s="24" t="s">
        <v>2267</v>
      </c>
    </row>
    <row r="473">
      <c r="A473" s="7" t="e">
        <v>#VALUE!</v>
      </c>
      <c r="B473" s="58" t="s">
        <v>1808</v>
      </c>
      <c r="C473" s="58" t="s">
        <v>810</v>
      </c>
      <c r="D473" s="79" t="s">
        <v>701</v>
      </c>
      <c r="E473" s="24" t="str">
        <f>IF(ISNA(MATCH(A473, 'A-Z player stats'!A:A, 0)), "Delete", "Keep")</f>
        <v>Keep</v>
      </c>
      <c r="F473" s="7"/>
      <c r="G473" s="7"/>
      <c r="H473" s="7"/>
      <c r="I473" s="7" t="e">
        <v>#VALUE!</v>
      </c>
      <c r="J473" s="1" t="s">
        <v>1808</v>
      </c>
      <c r="K473" s="1" t="s">
        <v>810</v>
      </c>
      <c r="L473" s="24" t="s">
        <v>701</v>
      </c>
      <c r="M473" s="24" t="s">
        <v>2267</v>
      </c>
      <c r="N473" s="7"/>
      <c r="O473" s="82"/>
    </row>
    <row r="474">
      <c r="A474" s="7" t="e">
        <v>#VALUE!</v>
      </c>
      <c r="B474" s="58" t="s">
        <v>1896</v>
      </c>
      <c r="C474" s="58" t="s">
        <v>1897</v>
      </c>
      <c r="D474" s="89" t="s">
        <v>2705</v>
      </c>
      <c r="E474" s="24" t="str">
        <f>IF(ISNA(MATCH(A474, 'A-Z player stats'!A:A, 0)), "Delete", "Keep")</f>
        <v>Keep</v>
      </c>
      <c r="F474" s="7"/>
      <c r="G474" s="7"/>
      <c r="H474" s="7"/>
      <c r="I474" s="7" t="e">
        <v>#VALUE!</v>
      </c>
      <c r="J474" s="1" t="s">
        <v>1896</v>
      </c>
      <c r="K474" s="1" t="s">
        <v>1897</v>
      </c>
      <c r="L474" s="1" t="s">
        <v>707</v>
      </c>
      <c r="M474" s="24" t="s">
        <v>2267</v>
      </c>
      <c r="N474" s="7"/>
      <c r="O474" s="82"/>
    </row>
    <row r="475">
      <c r="A475" s="7" t="e">
        <v>#VALUE!</v>
      </c>
      <c r="B475" s="58" t="s">
        <v>1139</v>
      </c>
      <c r="C475" s="58" t="s">
        <v>810</v>
      </c>
      <c r="D475" s="79" t="s">
        <v>701</v>
      </c>
      <c r="E475" s="24" t="str">
        <f>IF(ISNA(MATCH(A475, 'A-Z player stats'!A:A, 0)), "Delete", "Keep")</f>
        <v>Keep</v>
      </c>
      <c r="F475" s="7"/>
      <c r="G475" s="7"/>
      <c r="H475" s="7"/>
      <c r="I475" s="7" t="e">
        <v>#VALUE!</v>
      </c>
      <c r="J475" s="1" t="s">
        <v>1139</v>
      </c>
      <c r="K475" s="1" t="s">
        <v>810</v>
      </c>
      <c r="L475" s="24" t="s">
        <v>701</v>
      </c>
      <c r="M475" s="24" t="s">
        <v>2267</v>
      </c>
      <c r="O475" s="84"/>
    </row>
    <row r="476">
      <c r="A476" s="7" t="e">
        <v>#VALUE!</v>
      </c>
      <c r="B476" s="58" t="s">
        <v>2093</v>
      </c>
      <c r="C476" s="58" t="s">
        <v>698</v>
      </c>
      <c r="D476" s="91" t="s">
        <v>708</v>
      </c>
      <c r="E476" s="24" t="str">
        <f>IF(ISNA(MATCH(A476, 'A-Z player stats'!A:A, 0)), "Delete", "Keep")</f>
        <v>Keep</v>
      </c>
      <c r="I476" s="7" t="e">
        <v>#VALUE!</v>
      </c>
      <c r="J476" s="1" t="s">
        <v>2093</v>
      </c>
      <c r="K476" s="1" t="s">
        <v>698</v>
      </c>
      <c r="L476" s="24" t="s">
        <v>708</v>
      </c>
      <c r="M476" s="24" t="s">
        <v>2267</v>
      </c>
    </row>
    <row r="477">
      <c r="A477" s="7" t="e">
        <v>#VALUE!</v>
      </c>
      <c r="B477" s="58" t="s">
        <v>1908</v>
      </c>
      <c r="C477" s="58" t="s">
        <v>704</v>
      </c>
      <c r="D477" s="81" t="s">
        <v>2706</v>
      </c>
      <c r="E477" s="24" t="str">
        <f>IF(ISNA(MATCH(A477, 'A-Z player stats'!A:A, 0)), "Delete", "Keep")</f>
        <v>Keep</v>
      </c>
      <c r="I477" s="7" t="e">
        <v>#VALUE!</v>
      </c>
      <c r="J477" s="1" t="s">
        <v>1908</v>
      </c>
      <c r="K477" s="1" t="s">
        <v>704</v>
      </c>
      <c r="L477" s="1" t="s">
        <v>668</v>
      </c>
      <c r="M477" s="24" t="s">
        <v>2267</v>
      </c>
    </row>
    <row r="478">
      <c r="A478" s="7" t="e">
        <v>#VALUE!</v>
      </c>
      <c r="B478" s="58" t="s">
        <v>1139</v>
      </c>
      <c r="C478" s="58" t="s">
        <v>810</v>
      </c>
      <c r="D478" s="79" t="s">
        <v>677</v>
      </c>
      <c r="E478" s="24" t="str">
        <f>IF(ISNA(MATCH(A478, 'A-Z player stats'!A:A, 0)), "Delete", "Keep")</f>
        <v>Keep</v>
      </c>
      <c r="F478" s="7"/>
      <c r="G478" s="7"/>
      <c r="H478" s="7"/>
      <c r="I478" s="7" t="e">
        <v>#VALUE!</v>
      </c>
      <c r="J478" s="1" t="s">
        <v>1139</v>
      </c>
      <c r="K478" s="1" t="s">
        <v>810</v>
      </c>
      <c r="L478" s="24" t="s">
        <v>677</v>
      </c>
      <c r="M478" s="24" t="s">
        <v>2267</v>
      </c>
      <c r="N478" s="7"/>
      <c r="O478" s="82"/>
    </row>
    <row r="479">
      <c r="A479" s="7" t="e">
        <v>#VALUE!</v>
      </c>
      <c r="B479" s="58" t="s">
        <v>1371</v>
      </c>
      <c r="C479" s="58" t="s">
        <v>676</v>
      </c>
      <c r="D479" s="95" t="s">
        <v>702</v>
      </c>
      <c r="E479" s="24" t="str">
        <f>IF(ISNA(MATCH(A479, 'A-Z player stats'!A:A, 0)), "Delete", "Keep")</f>
        <v>Keep</v>
      </c>
      <c r="F479" s="7"/>
      <c r="G479" s="7"/>
      <c r="H479" s="7"/>
      <c r="I479" s="7" t="e">
        <v>#VALUE!</v>
      </c>
      <c r="J479" s="1" t="s">
        <v>1371</v>
      </c>
      <c r="K479" s="1" t="s">
        <v>676</v>
      </c>
      <c r="L479" s="24" t="s">
        <v>702</v>
      </c>
      <c r="M479" s="24" t="s">
        <v>2267</v>
      </c>
      <c r="N479" s="7"/>
      <c r="O479" s="82"/>
    </row>
    <row r="480">
      <c r="A480" s="7" t="e">
        <v>#VALUE!</v>
      </c>
      <c r="B480" s="58" t="s">
        <v>1577</v>
      </c>
      <c r="C480" s="58" t="s">
        <v>718</v>
      </c>
      <c r="D480" s="92" t="s">
        <v>2707</v>
      </c>
      <c r="E480" s="24" t="str">
        <f>IF(ISNA(MATCH(A480, 'A-Z player stats'!A:A, 0)), "Delete", "Keep")</f>
        <v>Keep</v>
      </c>
      <c r="I480" s="7" t="e">
        <v>#VALUE!</v>
      </c>
      <c r="J480" s="1" t="s">
        <v>1577</v>
      </c>
      <c r="K480" s="1" t="s">
        <v>718</v>
      </c>
      <c r="L480" s="1" t="s">
        <v>687</v>
      </c>
      <c r="M480" s="24" t="s">
        <v>2267</v>
      </c>
    </row>
    <row r="481">
      <c r="A481" s="7" t="e">
        <v>#VALUE!</v>
      </c>
      <c r="B481" s="58" t="s">
        <v>1569</v>
      </c>
      <c r="C481" s="58" t="s">
        <v>698</v>
      </c>
      <c r="D481" s="91" t="s">
        <v>697</v>
      </c>
      <c r="E481" s="24" t="str">
        <f>IF(ISNA(MATCH(A481, 'A-Z player stats'!A:A, 0)), "Delete", "Keep")</f>
        <v>Keep</v>
      </c>
      <c r="I481" s="7" t="e">
        <v>#VALUE!</v>
      </c>
      <c r="J481" s="1" t="s">
        <v>1569</v>
      </c>
      <c r="K481" s="1" t="s">
        <v>698</v>
      </c>
      <c r="L481" s="24" t="s">
        <v>697</v>
      </c>
      <c r="M481" s="24" t="s">
        <v>2267</v>
      </c>
    </row>
    <row r="482">
      <c r="A482" s="7" t="e">
        <v>#VALUE!</v>
      </c>
      <c r="B482" s="58" t="s">
        <v>1689</v>
      </c>
      <c r="C482" s="58" t="s">
        <v>685</v>
      </c>
      <c r="D482" s="91" t="s">
        <v>677</v>
      </c>
      <c r="E482" s="24" t="str">
        <f>IF(ISNA(MATCH(A482, 'A-Z player stats'!A:A, 0)), "Delete", "Keep")</f>
        <v>Keep</v>
      </c>
      <c r="F482" s="7"/>
      <c r="G482" s="7"/>
      <c r="H482" s="7"/>
      <c r="I482" s="7" t="e">
        <v>#VALUE!</v>
      </c>
      <c r="J482" s="1" t="s">
        <v>1689</v>
      </c>
      <c r="K482" s="1" t="s">
        <v>685</v>
      </c>
      <c r="L482" s="24" t="s">
        <v>677</v>
      </c>
      <c r="M482" s="24" t="s">
        <v>2267</v>
      </c>
    </row>
    <row r="483">
      <c r="A483" s="7" t="e">
        <v>#VALUE!</v>
      </c>
      <c r="B483" s="58" t="s">
        <v>1657</v>
      </c>
      <c r="C483" s="58" t="s">
        <v>717</v>
      </c>
      <c r="D483" s="91" t="s">
        <v>703</v>
      </c>
      <c r="E483" s="24" t="str">
        <f>IF(ISNA(MATCH(A483, 'A-Z player stats'!A:A, 0)), "Delete", "Keep")</f>
        <v>Keep</v>
      </c>
      <c r="I483" s="7" t="e">
        <v>#VALUE!</v>
      </c>
      <c r="J483" s="1" t="s">
        <v>1657</v>
      </c>
      <c r="K483" s="1" t="s">
        <v>717</v>
      </c>
      <c r="L483" s="24" t="s">
        <v>703</v>
      </c>
      <c r="M483" s="24" t="s">
        <v>2267</v>
      </c>
    </row>
    <row r="484">
      <c r="A484" s="7" t="e">
        <v>#VALUE!</v>
      </c>
      <c r="B484" s="58" t="s">
        <v>1973</v>
      </c>
      <c r="C484" s="58" t="s">
        <v>719</v>
      </c>
      <c r="D484" s="92" t="s">
        <v>2708</v>
      </c>
      <c r="E484" s="24" t="str">
        <f>IF(ISNA(MATCH(A484, 'A-Z player stats'!A:A, 0)), "Delete", "Keep")</f>
        <v>Keep</v>
      </c>
      <c r="I484" s="7" t="e">
        <v>#VALUE!</v>
      </c>
      <c r="J484" s="1" t="s">
        <v>1973</v>
      </c>
      <c r="K484" s="1" t="s">
        <v>719</v>
      </c>
      <c r="L484" s="1" t="s">
        <v>711</v>
      </c>
      <c r="M484" s="24" t="s">
        <v>2267</v>
      </c>
    </row>
    <row r="485">
      <c r="A485" s="7" t="e">
        <v>#VALUE!</v>
      </c>
      <c r="B485" s="58" t="s">
        <v>2055</v>
      </c>
      <c r="C485" s="58" t="s">
        <v>690</v>
      </c>
      <c r="D485" s="79" t="s">
        <v>708</v>
      </c>
      <c r="E485" s="24" t="str">
        <f>IF(ISNA(MATCH(A485, 'A-Z player stats'!A:A, 0)), "Delete", "Keep")</f>
        <v>Keep</v>
      </c>
      <c r="I485" s="7" t="e">
        <v>#VALUE!</v>
      </c>
      <c r="J485" s="1" t="s">
        <v>2055</v>
      </c>
      <c r="K485" s="1" t="s">
        <v>690</v>
      </c>
      <c r="L485" s="24" t="s">
        <v>708</v>
      </c>
      <c r="M485" s="24" t="s">
        <v>2267</v>
      </c>
    </row>
    <row r="486">
      <c r="A486" s="7" t="e">
        <v>#VALUE!</v>
      </c>
      <c r="B486" s="58" t="s">
        <v>1256</v>
      </c>
      <c r="C486" s="58" t="s">
        <v>690</v>
      </c>
      <c r="D486" s="81" t="s">
        <v>2709</v>
      </c>
      <c r="E486" s="24" t="str">
        <f>IF(ISNA(MATCH(A486, 'A-Z player stats'!A:A, 0)), "Delete", "Keep")</f>
        <v>Keep</v>
      </c>
      <c r="I486" s="7" t="e">
        <v>#VALUE!</v>
      </c>
      <c r="J486" s="1" t="s">
        <v>1256</v>
      </c>
      <c r="K486" s="1" t="s">
        <v>690</v>
      </c>
      <c r="L486" s="1" t="s">
        <v>732</v>
      </c>
      <c r="M486" s="24" t="s">
        <v>2267</v>
      </c>
    </row>
    <row r="487">
      <c r="A487" s="7" t="e">
        <v>#VALUE!</v>
      </c>
      <c r="B487" s="58" t="s">
        <v>2015</v>
      </c>
      <c r="C487" s="58" t="s">
        <v>693</v>
      </c>
      <c r="D487" s="91" t="s">
        <v>706</v>
      </c>
      <c r="E487" s="24" t="str">
        <f>IF(ISNA(MATCH(A487, 'A-Z player stats'!A:A, 0)), "Delete", "Keep")</f>
        <v>Keep</v>
      </c>
      <c r="I487" s="7" t="e">
        <v>#VALUE!</v>
      </c>
      <c r="J487" s="1" t="s">
        <v>2015</v>
      </c>
      <c r="K487" s="1" t="s">
        <v>693</v>
      </c>
      <c r="L487" s="24" t="s">
        <v>706</v>
      </c>
      <c r="M487" s="24" t="s">
        <v>2267</v>
      </c>
    </row>
    <row r="488">
      <c r="A488" s="7" t="e">
        <v>#VALUE!</v>
      </c>
      <c r="B488" s="58" t="s">
        <v>2241</v>
      </c>
      <c r="C488" s="58" t="s">
        <v>690</v>
      </c>
      <c r="D488" s="78" t="s">
        <v>2710</v>
      </c>
      <c r="E488" s="24" t="str">
        <f>IF(ISNA(MATCH(A488, 'A-Z player stats'!A:A, 0)), "Delete", "Keep")</f>
        <v>Keep</v>
      </c>
      <c r="F488" s="50"/>
      <c r="I488" s="7" t="e">
        <v>#VALUE!</v>
      </c>
      <c r="J488" s="99" t="s">
        <v>2241</v>
      </c>
      <c r="K488" s="99" t="s">
        <v>690</v>
      </c>
      <c r="L488" s="1" t="s">
        <v>694</v>
      </c>
      <c r="M488" s="24" t="s">
        <v>2267</v>
      </c>
    </row>
    <row r="489">
      <c r="A489" s="7" t="e">
        <v>#VALUE!</v>
      </c>
      <c r="B489" s="58" t="s">
        <v>1582</v>
      </c>
      <c r="C489" s="58" t="s">
        <v>678</v>
      </c>
      <c r="D489" s="91" t="s">
        <v>697</v>
      </c>
      <c r="E489" s="24" t="str">
        <f>IF(ISNA(MATCH(A489, 'A-Z player stats'!A:A, 0)), "Delete", "Keep")</f>
        <v>Keep</v>
      </c>
      <c r="I489" s="7" t="e">
        <v>#VALUE!</v>
      </c>
      <c r="J489" s="1" t="s">
        <v>1582</v>
      </c>
      <c r="K489" s="1" t="s">
        <v>678</v>
      </c>
      <c r="L489" s="24" t="s">
        <v>697</v>
      </c>
      <c r="M489" s="24" t="s">
        <v>2267</v>
      </c>
    </row>
    <row r="490">
      <c r="A490" s="7" t="e">
        <v>#VALUE!</v>
      </c>
      <c r="B490" s="58" t="s">
        <v>1563</v>
      </c>
      <c r="C490" s="58" t="s">
        <v>678</v>
      </c>
      <c r="D490" s="91" t="s">
        <v>697</v>
      </c>
      <c r="E490" s="24" t="str">
        <f>IF(ISNA(MATCH(A490, 'A-Z player stats'!A:A, 0)), "Delete", "Keep")</f>
        <v>Keep</v>
      </c>
      <c r="I490" s="7" t="e">
        <v>#VALUE!</v>
      </c>
      <c r="J490" s="1" t="s">
        <v>1563</v>
      </c>
      <c r="K490" s="1" t="s">
        <v>678</v>
      </c>
      <c r="L490" s="24" t="s">
        <v>697</v>
      </c>
      <c r="M490" s="24" t="s">
        <v>2267</v>
      </c>
    </row>
    <row r="491">
      <c r="A491" s="7" t="e">
        <v>#VALUE!</v>
      </c>
      <c r="B491" s="58" t="s">
        <v>1416</v>
      </c>
      <c r="C491" s="58" t="s">
        <v>810</v>
      </c>
      <c r="D491" s="79" t="s">
        <v>700</v>
      </c>
      <c r="E491" s="24" t="str">
        <f>IF(ISNA(MATCH(A491, 'A-Z player stats'!A:A, 0)), "Delete", "Keep")</f>
        <v>Keep</v>
      </c>
      <c r="I491" s="7" t="e">
        <v>#VALUE!</v>
      </c>
      <c r="J491" s="1" t="s">
        <v>1416</v>
      </c>
      <c r="K491" s="1" t="s">
        <v>810</v>
      </c>
      <c r="L491" s="24" t="s">
        <v>700</v>
      </c>
      <c r="M491" s="24" t="s">
        <v>2267</v>
      </c>
    </row>
    <row r="492">
      <c r="A492" s="7" t="e">
        <v>#VALUE!</v>
      </c>
      <c r="B492" s="58" t="s">
        <v>2033</v>
      </c>
      <c r="C492" s="58" t="s">
        <v>810</v>
      </c>
      <c r="D492" s="79" t="s">
        <v>701</v>
      </c>
      <c r="E492" s="24" t="str">
        <f>IF(ISNA(MATCH(A492, 'A-Z player stats'!A:A, 0)), "Delete", "Keep")</f>
        <v>Keep</v>
      </c>
      <c r="F492" s="7"/>
      <c r="G492" s="7"/>
      <c r="H492" s="7"/>
      <c r="I492" s="7" t="e">
        <v>#VALUE!</v>
      </c>
      <c r="J492" s="1" t="s">
        <v>2033</v>
      </c>
      <c r="K492" s="1" t="s">
        <v>810</v>
      </c>
      <c r="L492" s="24" t="s">
        <v>701</v>
      </c>
      <c r="M492" s="24" t="s">
        <v>2267</v>
      </c>
    </row>
    <row r="493">
      <c r="A493" s="7" t="e">
        <v>#VALUE!</v>
      </c>
      <c r="B493" s="58" t="s">
        <v>1686</v>
      </c>
      <c r="C493" s="58" t="s">
        <v>685</v>
      </c>
      <c r="D493" s="79" t="s">
        <v>677</v>
      </c>
      <c r="E493" s="24" t="str">
        <f>IF(ISNA(MATCH(A493, 'A-Z player stats'!A:A, 0)), "Delete", "Keep")</f>
        <v>Keep</v>
      </c>
      <c r="F493" s="7"/>
      <c r="G493" s="7"/>
      <c r="H493" s="7"/>
      <c r="I493" s="7" t="e">
        <v>#VALUE!</v>
      </c>
      <c r="J493" s="1" t="s">
        <v>1686</v>
      </c>
      <c r="K493" s="1" t="s">
        <v>685</v>
      </c>
      <c r="L493" s="24" t="s">
        <v>677</v>
      </c>
      <c r="M493" s="24" t="s">
        <v>2267</v>
      </c>
    </row>
  </sheetData>
  <hyperlinks>
    <hyperlink r:id="rId1" ref="D15"/>
    <hyperlink r:id="rId2" ref="D20"/>
    <hyperlink r:id="rId3" ref="D27"/>
    <hyperlink r:id="rId4" ref="D29"/>
    <hyperlink r:id="rId5" ref="D32"/>
    <hyperlink r:id="rId6" ref="D35"/>
    <hyperlink r:id="rId7" ref="D42"/>
    <hyperlink r:id="rId8" ref="D43"/>
    <hyperlink r:id="rId9" ref="D52"/>
    <hyperlink r:id="rId10" ref="D54"/>
    <hyperlink r:id="rId11" ref="D60"/>
    <hyperlink r:id="rId12" ref="D63"/>
    <hyperlink r:id="rId13" ref="D64"/>
    <hyperlink r:id="rId14" ref="D66"/>
    <hyperlink r:id="rId15" ref="D77"/>
    <hyperlink r:id="rId16" ref="D78"/>
    <hyperlink r:id="rId17" ref="D81"/>
    <hyperlink r:id="rId18" ref="D95"/>
    <hyperlink r:id="rId19" ref="D98"/>
    <hyperlink r:id="rId20" ref="D100"/>
    <hyperlink r:id="rId21" ref="D104"/>
    <hyperlink r:id="rId22" ref="D105"/>
    <hyperlink r:id="rId23" ref="D108"/>
    <hyperlink r:id="rId24" ref="D109"/>
    <hyperlink r:id="rId25" ref="D110"/>
    <hyperlink r:id="rId26" ref="D128"/>
    <hyperlink r:id="rId27" ref="D131"/>
    <hyperlink r:id="rId28" ref="D132"/>
    <hyperlink r:id="rId29" ref="D136"/>
    <hyperlink r:id="rId30" ref="D138"/>
    <hyperlink r:id="rId31" ref="D142"/>
    <hyperlink r:id="rId32" ref="D143"/>
    <hyperlink r:id="rId33" ref="D149"/>
    <hyperlink r:id="rId34" ref="D158"/>
    <hyperlink r:id="rId35" ref="D159"/>
    <hyperlink r:id="rId36" ref="D172"/>
    <hyperlink r:id="rId37" ref="D175"/>
    <hyperlink r:id="rId38" ref="D182"/>
    <hyperlink r:id="rId39" ref="D187"/>
    <hyperlink r:id="rId40" ref="D198"/>
    <hyperlink r:id="rId41" ref="D201"/>
    <hyperlink r:id="rId42" ref="D202"/>
    <hyperlink r:id="rId43" ref="D210"/>
    <hyperlink r:id="rId44" ref="D211"/>
    <hyperlink r:id="rId45" ref="D212"/>
    <hyperlink r:id="rId46" ref="D217"/>
    <hyperlink r:id="rId47" ref="D221"/>
    <hyperlink r:id="rId48" ref="D230"/>
    <hyperlink r:id="rId49" ref="D231"/>
    <hyperlink r:id="rId50" ref="D232"/>
    <hyperlink r:id="rId51" ref="D244"/>
    <hyperlink r:id="rId52" ref="D246"/>
    <hyperlink r:id="rId53" ref="D252"/>
    <hyperlink r:id="rId54" ref="D255"/>
    <hyperlink r:id="rId55" ref="D256"/>
    <hyperlink r:id="rId56" ref="D260"/>
    <hyperlink r:id="rId57" ref="D261"/>
    <hyperlink r:id="rId58" ref="D262"/>
    <hyperlink r:id="rId59" ref="D263"/>
    <hyperlink r:id="rId60" ref="D264"/>
    <hyperlink r:id="rId61" ref="D266"/>
    <hyperlink r:id="rId62" ref="D267"/>
    <hyperlink r:id="rId63" ref="D271"/>
    <hyperlink r:id="rId64" ref="D275"/>
    <hyperlink r:id="rId65" ref="D277"/>
    <hyperlink r:id="rId66" ref="D279"/>
    <hyperlink r:id="rId67" ref="D280"/>
    <hyperlink r:id="rId68" ref="D281"/>
    <hyperlink r:id="rId69" ref="D283"/>
    <hyperlink r:id="rId70" ref="D292"/>
    <hyperlink r:id="rId71" ref="D306"/>
    <hyperlink r:id="rId72" ref="D308"/>
    <hyperlink r:id="rId73" ref="D309"/>
    <hyperlink r:id="rId74" ref="D323"/>
    <hyperlink r:id="rId75" ref="D327"/>
    <hyperlink r:id="rId76" ref="D328"/>
    <hyperlink r:id="rId77" ref="D341"/>
    <hyperlink r:id="rId78" ref="D344"/>
    <hyperlink r:id="rId79" ref="D345"/>
    <hyperlink r:id="rId80" ref="D346"/>
    <hyperlink r:id="rId81" ref="D352"/>
    <hyperlink r:id="rId82" ref="D353"/>
    <hyperlink r:id="rId83" ref="D355"/>
    <hyperlink r:id="rId84" ref="D360"/>
    <hyperlink r:id="rId85" ref="D363"/>
    <hyperlink r:id="rId86" ref="D367"/>
    <hyperlink r:id="rId87" ref="D370"/>
    <hyperlink r:id="rId88" ref="D371"/>
    <hyperlink r:id="rId89" ref="D373"/>
    <hyperlink r:id="rId90" ref="D374"/>
    <hyperlink r:id="rId91" ref="D375"/>
    <hyperlink r:id="rId92" ref="D376"/>
    <hyperlink r:id="rId93" ref="D378"/>
    <hyperlink r:id="rId94" ref="D380"/>
    <hyperlink r:id="rId95" ref="D381"/>
    <hyperlink r:id="rId96" ref="D382"/>
    <hyperlink r:id="rId97" ref="D387"/>
    <hyperlink r:id="rId98" ref="D391"/>
    <hyperlink r:id="rId99" ref="D392"/>
    <hyperlink r:id="rId100" ref="D393"/>
    <hyperlink r:id="rId101" ref="D394"/>
    <hyperlink r:id="rId102" ref="D395"/>
    <hyperlink r:id="rId103" ref="D399"/>
    <hyperlink r:id="rId104" ref="D403"/>
    <hyperlink r:id="rId105" ref="D409"/>
    <hyperlink r:id="rId106" ref="D412"/>
    <hyperlink r:id="rId107" ref="D414"/>
    <hyperlink r:id="rId108" ref="D416"/>
    <hyperlink r:id="rId109" ref="D419"/>
    <hyperlink r:id="rId110" ref="D422"/>
    <hyperlink r:id="rId111" ref="D427"/>
    <hyperlink r:id="rId112" ref="D428"/>
    <hyperlink r:id="rId113" ref="D429"/>
    <hyperlink r:id="rId114" ref="D432"/>
    <hyperlink r:id="rId115" ref="D447"/>
    <hyperlink r:id="rId116" ref="D449"/>
    <hyperlink r:id="rId117" ref="D450"/>
    <hyperlink r:id="rId118" ref="D457"/>
    <hyperlink r:id="rId119" ref="D458"/>
    <hyperlink r:id="rId120" ref="D460"/>
    <hyperlink r:id="rId121" ref="D463"/>
    <hyperlink r:id="rId122" ref="D477"/>
    <hyperlink r:id="rId123" ref="D480"/>
    <hyperlink r:id="rId124" ref="D484"/>
    <hyperlink r:id="rId125" ref="D486"/>
  </hyperlinks>
  <drawing r:id="rId126"/>
</worksheet>
</file>